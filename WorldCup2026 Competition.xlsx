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Matches" sheetId="1" state="visible" r:id="rId3"/>
    <sheet name="📊 Predictions" sheetId="2" state="visible" r:id="rId4"/>
    <sheet name="🏆 Leaderboard" sheetId="3" state="visible" r:id="rId5"/>
  </sheets>
  <definedNames>
    <definedName function="false" hidden="true" localSheetId="1" name="_xlnm._FilterDatabase" vbProcedure="false">'📊 Predictions'!$A$1:$L$3265</definedName>
    <definedName function="false" hidden="true" localSheetId="0" name="_xlnm._FilterDatabase" vbProcedure="false">'📋 Matches'!$A$1:$I$73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<sst xmlns="http://schemas.openxmlformats.org/spreadsheetml/2006/main" count="19460" uniqueCount="220">
  <si>
    <t xml:space="preserve">Round</t>
  </si>
  <si>
    <t xml:space="preserve">Match</t>
  </si>
  <si>
    <t xml:space="preserve">🏠</t>
  </si>
  <si>
    <t xml:space="preserve">Home Team</t>
  </si>
  <si>
    <t xml:space="preserve">Score
Home</t>
  </si>
  <si>
    <t xml:space="preserve">Score
Away</t>
  </si>
  <si>
    <t xml:space="preserve">🚩</t>
  </si>
  <si>
    <t xml:space="preserve">Away Team</t>
  </si>
  <si>
    <t xml:space="preserve">Status</t>
  </si>
  <si>
    <t xml:space="preserve">R1</t>
  </si>
  <si>
    <t xml:space="preserve">Mexico vs South Africa</t>
  </si>
  <si>
    <t xml:space="preserve">Mexico</t>
  </si>
  <si>
    <t xml:space="preserve">South Africa</t>
  </si>
  <si>
    <t xml:space="preserve">✅ Done</t>
  </si>
  <si>
    <t xml:space="preserve">South Korea vs Czechia</t>
  </si>
  <si>
    <t xml:space="preserve">South Korea</t>
  </si>
  <si>
    <t xml:space="preserve">Czechia</t>
  </si>
  <si>
    <t xml:space="preserve">Canada vs Bosnia and Herzeg</t>
  </si>
  <si>
    <t xml:space="preserve">Canada</t>
  </si>
  <si>
    <t xml:space="preserve">Bosnia and Herzeg</t>
  </si>
  <si>
    <t xml:space="preserve">United States vs Paraguay</t>
  </si>
  <si>
    <t xml:space="preserve">United States</t>
  </si>
  <si>
    <t xml:space="preserve">Paraguay</t>
  </si>
  <si>
    <t xml:space="preserve">Qatar vs Switzerland</t>
  </si>
  <si>
    <t xml:space="preserve">Qatar</t>
  </si>
  <si>
    <t xml:space="preserve">Switzerland</t>
  </si>
  <si>
    <t xml:space="preserve">⏳ Pending</t>
  </si>
  <si>
    <t xml:space="preserve">Brazil vs Morocco</t>
  </si>
  <si>
    <t xml:space="preserve">Brazil</t>
  </si>
  <si>
    <t xml:space="preserve">Morocco</t>
  </si>
  <si>
    <t xml:space="preserve">Haiti vs Scotland</t>
  </si>
  <si>
    <t xml:space="preserve">Haiti</t>
  </si>
  <si>
    <t xml:space="preserve">Scotland</t>
  </si>
  <si>
    <t xml:space="preserve">Australia vs Türkiye</t>
  </si>
  <si>
    <t xml:space="preserve">Australia</t>
  </si>
  <si>
    <t xml:space="preserve">Türkiye</t>
  </si>
  <si>
    <t xml:space="preserve">Germany vs Curacao</t>
  </si>
  <si>
    <t xml:space="preserve">Germany</t>
  </si>
  <si>
    <t xml:space="preserve">Curacao</t>
  </si>
  <si>
    <t xml:space="preserve">Netherlands vs Japan</t>
  </si>
  <si>
    <t xml:space="preserve">Netherlands</t>
  </si>
  <si>
    <t xml:space="preserve">Japan</t>
  </si>
  <si>
    <t xml:space="preserve">Ivory Coast vs Ecuador</t>
  </si>
  <si>
    <t xml:space="preserve">Ivory Coast</t>
  </si>
  <si>
    <t xml:space="preserve">Ecuador</t>
  </si>
  <si>
    <t xml:space="preserve">Sweden vs Tunisia</t>
  </si>
  <si>
    <t xml:space="preserve">Sweden</t>
  </si>
  <si>
    <t xml:space="preserve">Tunisia</t>
  </si>
  <si>
    <t xml:space="preserve">Spain vs Cape Verde</t>
  </si>
  <si>
    <t xml:space="preserve">Spain</t>
  </si>
  <si>
    <t xml:space="preserve">Cape Verde</t>
  </si>
  <si>
    <t xml:space="preserve">Belgium vs Egypt</t>
  </si>
  <si>
    <t xml:space="preserve">Belgium</t>
  </si>
  <si>
    <t xml:space="preserve">Egypt</t>
  </si>
  <si>
    <t xml:space="preserve">Saudi Arabia vs Uruguay</t>
  </si>
  <si>
    <t xml:space="preserve">Saudi Arabia</t>
  </si>
  <si>
    <t xml:space="preserve">Uruguay</t>
  </si>
  <si>
    <t xml:space="preserve">Iran vs New Zealand</t>
  </si>
  <si>
    <t xml:space="preserve">Iran</t>
  </si>
  <si>
    <t xml:space="preserve">New Zealand</t>
  </si>
  <si>
    <t xml:space="preserve">France vs Senegal</t>
  </si>
  <si>
    <t xml:space="preserve">France</t>
  </si>
  <si>
    <t xml:space="preserve">Senegal</t>
  </si>
  <si>
    <t xml:space="preserve">Iraq vs Norway</t>
  </si>
  <si>
    <t xml:space="preserve">Iraq</t>
  </si>
  <si>
    <t xml:space="preserve">Norway</t>
  </si>
  <si>
    <t xml:space="preserve">Argentina vs Algeria</t>
  </si>
  <si>
    <t xml:space="preserve">Argentina</t>
  </si>
  <si>
    <t xml:space="preserve">Algeria</t>
  </si>
  <si>
    <t xml:space="preserve">Austria vs Jordan</t>
  </si>
  <si>
    <t xml:space="preserve">Austria</t>
  </si>
  <si>
    <t xml:space="preserve">Jordan</t>
  </si>
  <si>
    <t xml:space="preserve">Portugal vs Congo DR</t>
  </si>
  <si>
    <t xml:space="preserve">Portugal</t>
  </si>
  <si>
    <t xml:space="preserve">Congo DR</t>
  </si>
  <si>
    <t xml:space="preserve">England vs Croatia</t>
  </si>
  <si>
    <t xml:space="preserve">England</t>
  </si>
  <si>
    <t xml:space="preserve">Croatia</t>
  </si>
  <si>
    <t xml:space="preserve">Ghana vs Panama</t>
  </si>
  <si>
    <t xml:space="preserve">Ghana</t>
  </si>
  <si>
    <t xml:space="preserve">Panama</t>
  </si>
  <si>
    <t xml:space="preserve">Uzbekistan vs Colombia</t>
  </si>
  <si>
    <t xml:space="preserve">Uzbekistan</t>
  </si>
  <si>
    <t xml:space="preserve">Colombia</t>
  </si>
  <si>
    <t xml:space="preserve">R2</t>
  </si>
  <si>
    <t xml:space="preserve">Czech Republic vs. South Africa</t>
  </si>
  <si>
    <t xml:space="preserve">Czech Republic</t>
  </si>
  <si>
    <t xml:space="preserve">Switzerland vs. Bosnia and Herzegovina</t>
  </si>
  <si>
    <t xml:space="preserve">Bosnia and Herzegovina</t>
  </si>
  <si>
    <t xml:space="preserve">Canada vs. Qatar</t>
  </si>
  <si>
    <t xml:space="preserve">Mexico vs. South Korea</t>
  </si>
  <si>
    <t xml:space="preserve">United States vs. Australia</t>
  </si>
  <si>
    <t xml:space="preserve">Scotland vs. Morocco</t>
  </si>
  <si>
    <t xml:space="preserve">Brazil vs. Haiti</t>
  </si>
  <si>
    <t xml:space="preserve">Turkey vs. Paraguay</t>
  </si>
  <si>
    <t xml:space="preserve">Turkey</t>
  </si>
  <si>
    <t xml:space="preserve">Netherlands vs. Sweden</t>
  </si>
  <si>
    <t xml:space="preserve">Germany vs. Ivory Coast</t>
  </si>
  <si>
    <t xml:space="preserve">Ecuador vs. Curaçao</t>
  </si>
  <si>
    <t xml:space="preserve">Curaçao</t>
  </si>
  <si>
    <t xml:space="preserve">Tunisia vs. Japan</t>
  </si>
  <si>
    <t xml:space="preserve">Spain vs. Saudi Arabia</t>
  </si>
  <si>
    <t xml:space="preserve">Belgium vs. Iran</t>
  </si>
  <si>
    <t xml:space="preserve">Uruguay vs. Cape Verde</t>
  </si>
  <si>
    <t xml:space="preserve">New Zealand vs. Egypt</t>
  </si>
  <si>
    <t xml:space="preserve">Argentina vs. Austria</t>
  </si>
  <si>
    <t xml:space="preserve">France vs. Iraq</t>
  </si>
  <si>
    <t xml:space="preserve">Norway vs. Senegal</t>
  </si>
  <si>
    <t xml:space="preserve">Jordan vs. Algeria</t>
  </si>
  <si>
    <t xml:space="preserve">Portugal vs. Uzbekistan</t>
  </si>
  <si>
    <t xml:space="preserve">England vs. Ghana</t>
  </si>
  <si>
    <t xml:space="preserve">Panama vs. Croatia</t>
  </si>
  <si>
    <t xml:space="preserve">Colombia vs. DR Congo</t>
  </si>
  <si>
    <t xml:space="preserve">DR Congo</t>
  </si>
  <si>
    <t xml:space="preserve">R3</t>
  </si>
  <si>
    <t xml:space="preserve">Switzerland vs. Canada</t>
  </si>
  <si>
    <t xml:space="preserve">Bosnia and Herzegovina vs. Qatar</t>
  </si>
  <si>
    <t xml:space="preserve">Scotland vs. Brazil</t>
  </si>
  <si>
    <t xml:space="preserve">Morocco vs. Haiti</t>
  </si>
  <si>
    <t xml:space="preserve">Czech Republic vs. Mexico</t>
  </si>
  <si>
    <t xml:space="preserve">South Africa vs. South Korea</t>
  </si>
  <si>
    <t xml:space="preserve">Curaçao vs. Ivory Coast</t>
  </si>
  <si>
    <t xml:space="preserve">Ecuador vs. Germany</t>
  </si>
  <si>
    <t xml:space="preserve">Japan vs. Sweden</t>
  </si>
  <si>
    <t xml:space="preserve">Tunisia vs. Netherlands</t>
  </si>
  <si>
    <t xml:space="preserve">Turkey vs. United States</t>
  </si>
  <si>
    <t xml:space="preserve">Paraguay vs. Australia</t>
  </si>
  <si>
    <t xml:space="preserve">Norway vs. France</t>
  </si>
  <si>
    <t xml:space="preserve">Senegal vs. Iraq</t>
  </si>
  <si>
    <t xml:space="preserve">Cape Verde vs. Saudi Arabia</t>
  </si>
  <si>
    <t xml:space="preserve">Uruguay vs. Spain</t>
  </si>
  <si>
    <t xml:space="preserve">Egypt vs. Iran</t>
  </si>
  <si>
    <t xml:space="preserve">New Zealand vs. Belgium</t>
  </si>
  <si>
    <t xml:space="preserve">Panama vs. England</t>
  </si>
  <si>
    <t xml:space="preserve">Croatia vs. Ghana</t>
  </si>
  <si>
    <t xml:space="preserve">Colombia vs. Portugal</t>
  </si>
  <si>
    <t xml:space="preserve">DR Congo vs. Uzbekistan</t>
  </si>
  <si>
    <t xml:space="preserve">Algeria vs. Austria</t>
  </si>
  <si>
    <t xml:space="preserve">Jordan vs. Argentina</t>
  </si>
  <si>
    <t xml:space="preserve">Participant</t>
  </si>
  <si>
    <t xml:space="preserve">Pred
Home</t>
  </si>
  <si>
    <t xml:space="preserve">Pred
Away</t>
  </si>
  <si>
    <t xml:space="preserve">🏆 Win
(48pts)</t>
  </si>
  <si>
    <t xml:space="preserve">🎯 Home
Goals(15)</t>
  </si>
  <si>
    <t xml:space="preserve">🎯 Away
Goals(15)</t>
  </si>
  <si>
    <t xml:space="preserve">↔ Diff
(12pts)</t>
  </si>
  <si>
    <t xml:space="preserve">Total
Points</t>
  </si>
  <si>
    <t xml:space="preserve">Duaij Alsaleh</t>
  </si>
  <si>
    <t xml:space="preserve">N/A</t>
  </si>
  <si>
    <t xml:space="preserve">Sulaiman Alsaleh</t>
  </si>
  <si>
    <t xml:space="preserve">HJS Alsaleh</t>
  </si>
  <si>
    <t xml:space="preserve">Dana</t>
  </si>
  <si>
    <t xml:space="preserve">عبدالعزيز بوشهري</t>
  </si>
  <si>
    <t xml:space="preserve">Mohammad Alsaleh</t>
  </si>
  <si>
    <t xml:space="preserve">Dalal Abuhaimed</t>
  </si>
  <si>
    <r>
      <rPr>
        <b val="true"/>
        <sz val="9"/>
        <color rgb="FF1A1A2E"/>
        <rFont val="FreeSans"/>
        <family val="2"/>
      </rPr>
      <t xml:space="preserve">منيرة </t>
    </r>
    <r>
      <rPr>
        <b val="true"/>
        <sz val="9"/>
        <color rgb="FF1A1A2E"/>
        <rFont val="Calibri"/>
        <family val="0"/>
        <charset val="1"/>
      </rPr>
      <t xml:space="preserve">(</t>
    </r>
    <r>
      <rPr>
        <b val="true"/>
        <sz val="9"/>
        <color rgb="FF1A1A2E"/>
        <rFont val="FreeSans"/>
        <family val="2"/>
      </rPr>
      <t xml:space="preserve">حمد الصالح </t>
    </r>
    <r>
      <rPr>
        <b val="true"/>
        <sz val="9"/>
        <color rgb="FF1A1A2E"/>
        <rFont val="Calibri"/>
        <family val="0"/>
        <charset val="1"/>
      </rPr>
      <t xml:space="preserve">)</t>
    </r>
  </si>
  <si>
    <t xml:space="preserve">فهد الصالح</t>
  </si>
  <si>
    <t xml:space="preserve">Saud Alsaleh</t>
  </si>
  <si>
    <t xml:space="preserve">Fai Khalid</t>
  </si>
  <si>
    <t xml:space="preserve">bader R.</t>
  </si>
  <si>
    <t xml:space="preserve">محمد عبدالهادي</t>
  </si>
  <si>
    <t xml:space="preserve">صلاح عبدالهادي</t>
  </si>
  <si>
    <t xml:space="preserve">مورقن أم ليلى</t>
  </si>
  <si>
    <t xml:space="preserve">Talal Abdulhadi 1</t>
  </si>
  <si>
    <r>
      <rPr>
        <b val="true"/>
        <sz val="9"/>
        <color rgb="FF1A1A2E"/>
        <rFont val="FreeSans"/>
        <family val="2"/>
      </rPr>
      <t xml:space="preserve">طلال عبدالهادي </t>
    </r>
    <r>
      <rPr>
        <b val="true"/>
        <sz val="9"/>
        <color rgb="FF1A1A2E"/>
        <rFont val="Calibri"/>
        <family val="0"/>
        <charset val="1"/>
      </rPr>
      <t xml:space="preserve">2</t>
    </r>
  </si>
  <si>
    <t xml:space="preserve">فهد عبدالهادي</t>
  </si>
  <si>
    <t xml:space="preserve">فيصل عبدالهادي</t>
  </si>
  <si>
    <t xml:space="preserve">مريم جمعة</t>
  </si>
  <si>
    <t xml:space="preserve">علي عبدالهادي</t>
  </si>
  <si>
    <t xml:space="preserve">Shahad Abdulhadi</t>
  </si>
  <si>
    <t xml:space="preserve">Arwa Faisal</t>
  </si>
  <si>
    <t xml:space="preserve">Ahmed Khalid</t>
  </si>
  <si>
    <t xml:space="preserve">سلطان خالد</t>
  </si>
  <si>
    <t xml:space="preserve">Ghanima Meshari</t>
  </si>
  <si>
    <t xml:space="preserve">Yousef Boushari</t>
  </si>
  <si>
    <t xml:space="preserve">Abdulrahman Khalid</t>
  </si>
  <si>
    <t xml:space="preserve">Fajer Almaithem</t>
  </si>
  <si>
    <t xml:space="preserve">Sulaiman Alkhattaf</t>
  </si>
  <si>
    <t xml:space="preserve">فاطمة عبدالرسول</t>
  </si>
  <si>
    <t xml:space="preserve">Zalikha Alqabandi</t>
  </si>
  <si>
    <t xml:space="preserve">Mohamed Khalid</t>
  </si>
  <si>
    <t xml:space="preserve">بدرية عبدالهادي</t>
  </si>
  <si>
    <t xml:space="preserve">?</t>
  </si>
  <si>
    <t xml:space="preserve">Bader Almansour</t>
  </si>
  <si>
    <t xml:space="preserve">Ibrahim Almansour</t>
  </si>
  <si>
    <t xml:space="preserve">Ahmad Alqabandi</t>
  </si>
  <si>
    <t xml:space="preserve">نوره شبكوه</t>
  </si>
  <si>
    <t xml:space="preserve">عبدالله القبندي</t>
  </si>
  <si>
    <t xml:space="preserve">ناصر البحري</t>
  </si>
  <si>
    <t xml:space="preserve">Hessa Abdulhadi</t>
  </si>
  <si>
    <t xml:space="preserve">Omar Albahri</t>
  </si>
  <si>
    <t xml:space="preserve">Rawan Alkandari</t>
  </si>
  <si>
    <t xml:space="preserve">Musaed Bahri</t>
  </si>
  <si>
    <t xml:space="preserve">Hana Ayada</t>
  </si>
  <si>
    <t xml:space="preserve">Laila Albahri</t>
  </si>
  <si>
    <t xml:space="preserve">عبدالرحمن النوري</t>
  </si>
  <si>
    <t xml:space="preserve">باسمه عبدالهادي</t>
  </si>
  <si>
    <t xml:space="preserve">Anwar Alnoori</t>
  </si>
  <si>
    <t xml:space="preserve">خالد البكر</t>
  </si>
  <si>
    <t xml:space="preserve">Abdulaziz Alkandari</t>
  </si>
  <si>
    <t xml:space="preserve">Alaa Alnouri</t>
  </si>
  <si>
    <t xml:space="preserve">Sara Alnouri</t>
  </si>
  <si>
    <t xml:space="preserve">Fatema Alnori</t>
  </si>
  <si>
    <t xml:space="preserve">Shaikha Almawash</t>
  </si>
  <si>
    <t xml:space="preserve">ناصر المواش</t>
  </si>
  <si>
    <t xml:space="preserve">إيمان عبدالهادي</t>
  </si>
  <si>
    <t xml:space="preserve">Khalid Almawash</t>
  </si>
  <si>
    <t xml:space="preserve">Sultan Almawash</t>
  </si>
  <si>
    <t xml:space="preserve">Feras</t>
  </si>
  <si>
    <t xml:space="preserve">Mohammad Alsafi</t>
  </si>
  <si>
    <t xml:space="preserve">خليفة بولند</t>
  </si>
  <si>
    <t xml:space="preserve">Rank</t>
  </si>
  <si>
    <t xml:space="preserve">Win
Pts</t>
  </si>
  <si>
    <t xml:space="preserve">Home
Goal Pts</t>
  </si>
  <si>
    <t xml:space="preserve">Away
Goal Pts</t>
  </si>
  <si>
    <t xml:space="preserve">Diff
Pts</t>
  </si>
  <si>
    <t xml:space="preserve">Matches
Scored</t>
  </si>
  <si>
    <r>
      <rPr>
        <sz val="10"/>
        <color rgb="FF000000"/>
        <rFont val="FreeSans"/>
        <family val="2"/>
      </rPr>
      <t xml:space="preserve">منيرة </t>
    </r>
    <r>
      <rPr>
        <sz val="10"/>
        <color rgb="FF000000"/>
        <rFont val="Calibri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حمد الصالح </t>
    </r>
    <r>
      <rPr>
        <sz val="10"/>
        <color rgb="FF000000"/>
        <rFont val="Calibri"/>
        <family val="0"/>
        <charset val="1"/>
      </rPr>
      <t xml:space="preserve">)</t>
    </r>
  </si>
  <si>
    <r>
      <rPr>
        <sz val="10"/>
        <color rgb="FF000000"/>
        <rFont val="FreeSans"/>
        <family val="2"/>
      </rPr>
      <t xml:space="preserve">طلال عبدالهادي </t>
    </r>
    <r>
      <rPr>
        <sz val="10"/>
        <color rgb="FF000000"/>
        <rFont val="Calibri"/>
        <family val="0"/>
        <charset val="1"/>
      </rPr>
      <t xml:space="preserve">2</t>
    </r>
  </si>
  <si>
    <t xml:space="preserve">⚠️ Re-sort by Column C (Total Points) descending after each score update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</si>
</sst>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sz val="10"/>
      <color rgb="FF1A1A2E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E94560"/>
      <name val="Calibri"/>
      <family val="0"/>
      <charset val="1"/>
    </font>
    <font>
      <b val="true"/>
      <sz val="10"/>
      <color rgb="FFCCCCCC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1A1A2E"/>
      <name val="Calibri"/>
      <family val="0"/>
      <charset val="1"/>
    </font>
    <font>
      <sz val="9"/>
      <color rgb="FF333333"/>
      <name val="Calibri"/>
      <family val="0"/>
      <charset val="1"/>
    </font>
    <font>
      <b val="true"/>
      <sz val="9"/>
      <color rgb="FF2980B9"/>
      <name val="Calibri"/>
      <family val="0"/>
      <charset val="1"/>
    </font>
    <font>
      <b val="true"/>
      <sz val="9"/>
      <color rgb="FFE94560"/>
      <name val="Calibri"/>
      <family val="0"/>
      <charset val="1"/>
    </font>
    <font>
      <sz val="9"/>
      <color rgb="FFCCCCCC"/>
      <name val="Calibri"/>
      <family val="0"/>
      <charset val="1"/>
    </font>
    <font>
      <b val="true"/>
      <sz val="9"/>
      <color rgb="FF1A1A2E"/>
      <name val="FreeSans"/>
      <family val="2"/>
    </font>
    <font>
      <b val="true"/>
      <sz val="10"/>
      <color rgb="FF000000"/>
      <name val="Calibri"/>
      <family val="0"/>
      <charset val="1"/>
    </font>
    <font>
      <sz val="10"/>
      <color rgb="FF888888"/>
      <name val="Calibri"/>
      <family val="0"/>
      <charset val="1"/>
    </font>
    <font>
      <sz val="10"/>
      <color rgb="FF000000"/>
      <name val="FreeSans"/>
      <family val="2"/>
    </font>
    <font>
      <i val="true"/>
      <sz val="9"/>
      <color rgb="FF888888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FFF"/>
        <bgColor rgb="FFFFF9E6"/>
      </patternFill>
    </fill>
    <fill>
      <patternFill patternType="solid">
        <fgColor rgb="FFD5F5E3"/>
        <bgColor rgb="FFF0F0F0"/>
      </patternFill>
    </fill>
    <fill>
      <patternFill patternType="solid">
        <fgColor rgb="FFF0F0F0"/>
        <bgColor rgb="FFEEF2FF"/>
      </patternFill>
    </fill>
    <fill>
      <patternFill patternType="solid">
        <fgColor rgb="FFFFF3CD"/>
        <bgColor rgb="FFFFF9E6"/>
      </patternFill>
    </fill>
    <fill>
      <patternFill patternType="solid">
        <fgColor rgb="FFEEF2FF"/>
        <bgColor rgb="FFF0F0F0"/>
      </patternFill>
    </fill>
    <fill>
      <patternFill patternType="solid">
        <fgColor rgb="FFE94560"/>
        <bgColor rgb="FF993366"/>
      </patternFill>
    </fill>
    <fill>
      <patternFill patternType="solid">
        <fgColor rgb="FFFFD700"/>
        <bgColor rgb="FFFFFF00"/>
      </patternFill>
    </fill>
    <fill>
      <patternFill patternType="solid">
        <fgColor rgb="FFFFF9E6"/>
        <bgColor rgb="FFFFFFFF"/>
      </patternFill>
    </fill>
    <fill>
      <patternFill patternType="solid">
        <fgColor rgb="FFC0C0C0"/>
        <bgColor rgb="FFCCCCCC"/>
      </patternFill>
    </fill>
    <fill>
      <patternFill patternType="solid">
        <fgColor rgb="FFCD7F32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6213E"/>
      </left>
      <right style="thin">
        <color rgb="FF16213E"/>
      </right>
      <top style="thin">
        <color rgb="FF16213E"/>
      </top>
      <bottom style="thin">
        <color rgb="FF16213E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E94560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EEF2FF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2980B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88888"/>
      <rgbColor rgb="FF9999FF"/>
      <rgbColor rgb="FFE94560"/>
      <rgbColor rgb="FFFFF3CD"/>
      <rgbColor rgb="FFEEF2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5F5E3"/>
      <rgbColor rgb="FFFFF9E6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CD7F32"/>
      <rgbColor rgb="FF666699"/>
      <rgbColor rgb="FF969696"/>
      <rgbColor rgb="FF16213E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7" min="5" style="0" width="5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1.75" hidden="false" customHeight="true" outlineLevel="0" collapsed="false">
      <c r="A2" s="2" t="s">
        <v>9</v>
      </c>
      <c r="B2" s="3" t="s">
        <v>10</v>
      </c>
      <c r="C2" s="4" t="s">
        <v>2</v>
      </c>
      <c r="D2" s="5" t="s">
        <v>11</v>
      </c>
      <c r="E2" s="6" t="n">
        <v>2</v>
      </c>
      <c r="F2" s="6" t="n">
        <v>0</v>
      </c>
      <c r="G2" s="4" t="s">
        <v>6</v>
      </c>
      <c r="H2" s="5" t="s">
        <v>12</v>
      </c>
      <c r="I2" s="7" t="s">
        <v>13</v>
      </c>
    </row>
    <row r="3" customFormat="false" ht="21.75" hidden="false" customHeight="true" outlineLevel="0" collapsed="false">
      <c r="A3" s="8" t="s">
        <v>9</v>
      </c>
      <c r="B3" s="9" t="s">
        <v>14</v>
      </c>
      <c r="C3" s="10" t="s">
        <v>2</v>
      </c>
      <c r="D3" s="11" t="s">
        <v>15</v>
      </c>
      <c r="E3" s="12" t="n">
        <v>2</v>
      </c>
      <c r="F3" s="12" t="n">
        <v>1</v>
      </c>
      <c r="G3" s="10" t="s">
        <v>6</v>
      </c>
      <c r="H3" s="11" t="s">
        <v>16</v>
      </c>
      <c r="I3" s="7" t="s">
        <v>13</v>
      </c>
    </row>
    <row r="4" customFormat="false" ht="21.75" hidden="false" customHeight="true" outlineLevel="0" collapsed="false">
      <c r="A4" s="2" t="s">
        <v>9</v>
      </c>
      <c r="B4" s="3" t="s">
        <v>17</v>
      </c>
      <c r="C4" s="4" t="s">
        <v>2</v>
      </c>
      <c r="D4" s="5" t="s">
        <v>18</v>
      </c>
      <c r="E4" s="6" t="n">
        <v>1</v>
      </c>
      <c r="F4" s="6" t="n">
        <v>1</v>
      </c>
      <c r="G4" s="4" t="s">
        <v>6</v>
      </c>
      <c r="H4" s="5" t="s">
        <v>19</v>
      </c>
      <c r="I4" s="7" t="s">
        <v>13</v>
      </c>
    </row>
    <row r="5" customFormat="false" ht="21.75" hidden="false" customHeight="true" outlineLevel="0" collapsed="false">
      <c r="A5" s="8" t="s">
        <v>9</v>
      </c>
      <c r="B5" s="9" t="s">
        <v>20</v>
      </c>
      <c r="C5" s="10" t="s">
        <v>2</v>
      </c>
      <c r="D5" s="11" t="s">
        <v>21</v>
      </c>
      <c r="E5" s="12" t="n">
        <v>4</v>
      </c>
      <c r="F5" s="12" t="n">
        <v>1</v>
      </c>
      <c r="G5" s="10" t="s">
        <v>6</v>
      </c>
      <c r="H5" s="11" t="s">
        <v>22</v>
      </c>
      <c r="I5" s="7" t="s">
        <v>13</v>
      </c>
    </row>
    <row r="6" customFormat="false" ht="21.75" hidden="false" customHeight="true" outlineLevel="0" collapsed="false">
      <c r="A6" s="2" t="s">
        <v>9</v>
      </c>
      <c r="B6" s="3" t="s">
        <v>23</v>
      </c>
      <c r="C6" s="4" t="s">
        <v>2</v>
      </c>
      <c r="D6" s="5" t="s">
        <v>24</v>
      </c>
      <c r="E6" s="13"/>
      <c r="F6" s="13"/>
      <c r="G6" s="4" t="s">
        <v>6</v>
      </c>
      <c r="H6" s="5" t="s">
        <v>25</v>
      </c>
      <c r="I6" s="14" t="s">
        <v>26</v>
      </c>
    </row>
    <row r="7" customFormat="false" ht="21.75" hidden="false" customHeight="true" outlineLevel="0" collapsed="false">
      <c r="A7" s="8" t="s">
        <v>9</v>
      </c>
      <c r="B7" s="9" t="s">
        <v>27</v>
      </c>
      <c r="C7" s="10" t="s">
        <v>2</v>
      </c>
      <c r="D7" s="11" t="s">
        <v>28</v>
      </c>
      <c r="E7" s="15"/>
      <c r="F7" s="15"/>
      <c r="G7" s="10" t="s">
        <v>6</v>
      </c>
      <c r="H7" s="11" t="s">
        <v>29</v>
      </c>
      <c r="I7" s="14" t="s">
        <v>26</v>
      </c>
    </row>
    <row r="8" customFormat="false" ht="21.75" hidden="false" customHeight="true" outlineLevel="0" collapsed="false">
      <c r="A8" s="2" t="s">
        <v>9</v>
      </c>
      <c r="B8" s="3" t="s">
        <v>30</v>
      </c>
      <c r="C8" s="4" t="s">
        <v>2</v>
      </c>
      <c r="D8" s="5" t="s">
        <v>31</v>
      </c>
      <c r="E8" s="13"/>
      <c r="F8" s="13"/>
      <c r="G8" s="4" t="s">
        <v>6</v>
      </c>
      <c r="H8" s="5" t="s">
        <v>32</v>
      </c>
      <c r="I8" s="14" t="s">
        <v>26</v>
      </c>
    </row>
    <row r="9" customFormat="false" ht="21.75" hidden="false" customHeight="true" outlineLevel="0" collapsed="false">
      <c r="A9" s="8" t="s">
        <v>9</v>
      </c>
      <c r="B9" s="9" t="s">
        <v>33</v>
      </c>
      <c r="C9" s="10" t="s">
        <v>2</v>
      </c>
      <c r="D9" s="11" t="s">
        <v>34</v>
      </c>
      <c r="E9" s="15"/>
      <c r="F9" s="15"/>
      <c r="G9" s="10" t="s">
        <v>6</v>
      </c>
      <c r="H9" s="11" t="s">
        <v>35</v>
      </c>
      <c r="I9" s="14" t="s">
        <v>26</v>
      </c>
    </row>
    <row r="10" customFormat="false" ht="21.75" hidden="false" customHeight="true" outlineLevel="0" collapsed="false">
      <c r="A10" s="2" t="s">
        <v>9</v>
      </c>
      <c r="B10" s="3" t="s">
        <v>36</v>
      </c>
      <c r="C10" s="4" t="s">
        <v>2</v>
      </c>
      <c r="D10" s="5" t="s">
        <v>37</v>
      </c>
      <c r="E10" s="13"/>
      <c r="F10" s="13"/>
      <c r="G10" s="4" t="s">
        <v>6</v>
      </c>
      <c r="H10" s="5" t="s">
        <v>38</v>
      </c>
      <c r="I10" s="14" t="s">
        <v>26</v>
      </c>
    </row>
    <row r="11" customFormat="false" ht="21.75" hidden="false" customHeight="true" outlineLevel="0" collapsed="false">
      <c r="A11" s="8" t="s">
        <v>9</v>
      </c>
      <c r="B11" s="9" t="s">
        <v>39</v>
      </c>
      <c r="C11" s="10" t="s">
        <v>2</v>
      </c>
      <c r="D11" s="11" t="s">
        <v>40</v>
      </c>
      <c r="E11" s="15"/>
      <c r="F11" s="15"/>
      <c r="G11" s="10" t="s">
        <v>6</v>
      </c>
      <c r="H11" s="11" t="s">
        <v>41</v>
      </c>
      <c r="I11" s="14" t="s">
        <v>26</v>
      </c>
    </row>
    <row r="12" customFormat="false" ht="21.75" hidden="false" customHeight="true" outlineLevel="0" collapsed="false">
      <c r="A12" s="2" t="s">
        <v>9</v>
      </c>
      <c r="B12" s="3" t="s">
        <v>42</v>
      </c>
      <c r="C12" s="4" t="s">
        <v>2</v>
      </c>
      <c r="D12" s="5" t="s">
        <v>43</v>
      </c>
      <c r="E12" s="13"/>
      <c r="F12" s="13"/>
      <c r="G12" s="4" t="s">
        <v>6</v>
      </c>
      <c r="H12" s="5" t="s">
        <v>44</v>
      </c>
      <c r="I12" s="14" t="s">
        <v>26</v>
      </c>
    </row>
    <row r="13" customFormat="false" ht="21.75" hidden="false" customHeight="true" outlineLevel="0" collapsed="false">
      <c r="A13" s="8" t="s">
        <v>9</v>
      </c>
      <c r="B13" s="9" t="s">
        <v>45</v>
      </c>
      <c r="C13" s="10" t="s">
        <v>2</v>
      </c>
      <c r="D13" s="11" t="s">
        <v>46</v>
      </c>
      <c r="E13" s="15"/>
      <c r="F13" s="15"/>
      <c r="G13" s="10" t="s">
        <v>6</v>
      </c>
      <c r="H13" s="11" t="s">
        <v>47</v>
      </c>
      <c r="I13" s="14" t="s">
        <v>26</v>
      </c>
    </row>
    <row r="14" customFormat="false" ht="21.75" hidden="false" customHeight="true" outlineLevel="0" collapsed="false">
      <c r="A14" s="2" t="s">
        <v>9</v>
      </c>
      <c r="B14" s="3" t="s">
        <v>48</v>
      </c>
      <c r="C14" s="4" t="s">
        <v>2</v>
      </c>
      <c r="D14" s="5" t="s">
        <v>49</v>
      </c>
      <c r="E14" s="13"/>
      <c r="F14" s="13"/>
      <c r="G14" s="4" t="s">
        <v>6</v>
      </c>
      <c r="H14" s="5" t="s">
        <v>50</v>
      </c>
      <c r="I14" s="14" t="s">
        <v>26</v>
      </c>
    </row>
    <row r="15" customFormat="false" ht="21.75" hidden="false" customHeight="true" outlineLevel="0" collapsed="false">
      <c r="A15" s="8" t="s">
        <v>9</v>
      </c>
      <c r="B15" s="9" t="s">
        <v>51</v>
      </c>
      <c r="C15" s="10" t="s">
        <v>2</v>
      </c>
      <c r="D15" s="11" t="s">
        <v>52</v>
      </c>
      <c r="E15" s="15"/>
      <c r="F15" s="15"/>
      <c r="G15" s="10" t="s">
        <v>6</v>
      </c>
      <c r="H15" s="11" t="s">
        <v>53</v>
      </c>
      <c r="I15" s="14" t="s">
        <v>26</v>
      </c>
    </row>
    <row r="16" customFormat="false" ht="21.75" hidden="false" customHeight="true" outlineLevel="0" collapsed="false">
      <c r="A16" s="2" t="s">
        <v>9</v>
      </c>
      <c r="B16" s="3" t="s">
        <v>54</v>
      </c>
      <c r="C16" s="4" t="s">
        <v>2</v>
      </c>
      <c r="D16" s="5" t="s">
        <v>55</v>
      </c>
      <c r="E16" s="13"/>
      <c r="F16" s="13"/>
      <c r="G16" s="4" t="s">
        <v>6</v>
      </c>
      <c r="H16" s="5" t="s">
        <v>56</v>
      </c>
      <c r="I16" s="14" t="s">
        <v>26</v>
      </c>
    </row>
    <row r="17" customFormat="false" ht="21.75" hidden="false" customHeight="true" outlineLevel="0" collapsed="false">
      <c r="A17" s="8" t="s">
        <v>9</v>
      </c>
      <c r="B17" s="9" t="s">
        <v>57</v>
      </c>
      <c r="C17" s="10" t="s">
        <v>2</v>
      </c>
      <c r="D17" s="11" t="s">
        <v>58</v>
      </c>
      <c r="E17" s="15"/>
      <c r="F17" s="15"/>
      <c r="G17" s="10" t="s">
        <v>6</v>
      </c>
      <c r="H17" s="11" t="s">
        <v>59</v>
      </c>
      <c r="I17" s="14" t="s">
        <v>26</v>
      </c>
    </row>
    <row r="18" customFormat="false" ht="21.75" hidden="false" customHeight="true" outlineLevel="0" collapsed="false">
      <c r="A18" s="2" t="s">
        <v>9</v>
      </c>
      <c r="B18" s="3" t="s">
        <v>60</v>
      </c>
      <c r="C18" s="4" t="s">
        <v>2</v>
      </c>
      <c r="D18" s="5" t="s">
        <v>61</v>
      </c>
      <c r="E18" s="13"/>
      <c r="F18" s="13"/>
      <c r="G18" s="4" t="s">
        <v>6</v>
      </c>
      <c r="H18" s="5" t="s">
        <v>62</v>
      </c>
      <c r="I18" s="14" t="s">
        <v>26</v>
      </c>
    </row>
    <row r="19" customFormat="false" ht="21.75" hidden="false" customHeight="true" outlineLevel="0" collapsed="false">
      <c r="A19" s="8" t="s">
        <v>9</v>
      </c>
      <c r="B19" s="9" t="s">
        <v>63</v>
      </c>
      <c r="C19" s="10" t="s">
        <v>2</v>
      </c>
      <c r="D19" s="11" t="s">
        <v>64</v>
      </c>
      <c r="E19" s="15"/>
      <c r="F19" s="15"/>
      <c r="G19" s="10" t="s">
        <v>6</v>
      </c>
      <c r="H19" s="11" t="s">
        <v>65</v>
      </c>
      <c r="I19" s="14" t="s">
        <v>26</v>
      </c>
    </row>
    <row r="20" customFormat="false" ht="21.75" hidden="false" customHeight="true" outlineLevel="0" collapsed="false">
      <c r="A20" s="2" t="s">
        <v>9</v>
      </c>
      <c r="B20" s="3" t="s">
        <v>66</v>
      </c>
      <c r="C20" s="4" t="s">
        <v>2</v>
      </c>
      <c r="D20" s="5" t="s">
        <v>67</v>
      </c>
      <c r="E20" s="13"/>
      <c r="F20" s="13"/>
      <c r="G20" s="4" t="s">
        <v>6</v>
      </c>
      <c r="H20" s="5" t="s">
        <v>68</v>
      </c>
      <c r="I20" s="14" t="s">
        <v>26</v>
      </c>
    </row>
    <row r="21" customFormat="false" ht="21.75" hidden="false" customHeight="true" outlineLevel="0" collapsed="false">
      <c r="A21" s="8" t="s">
        <v>9</v>
      </c>
      <c r="B21" s="9" t="s">
        <v>69</v>
      </c>
      <c r="C21" s="10" t="s">
        <v>2</v>
      </c>
      <c r="D21" s="11" t="s">
        <v>70</v>
      </c>
      <c r="E21" s="15"/>
      <c r="F21" s="15"/>
      <c r="G21" s="10" t="s">
        <v>6</v>
      </c>
      <c r="H21" s="11" t="s">
        <v>71</v>
      </c>
      <c r="I21" s="14" t="s">
        <v>26</v>
      </c>
    </row>
    <row r="22" customFormat="false" ht="21.75" hidden="false" customHeight="true" outlineLevel="0" collapsed="false">
      <c r="A22" s="2" t="s">
        <v>9</v>
      </c>
      <c r="B22" s="3" t="s">
        <v>72</v>
      </c>
      <c r="C22" s="4" t="s">
        <v>2</v>
      </c>
      <c r="D22" s="5" t="s">
        <v>73</v>
      </c>
      <c r="E22" s="13"/>
      <c r="F22" s="13"/>
      <c r="G22" s="4" t="s">
        <v>6</v>
      </c>
      <c r="H22" s="5" t="s">
        <v>74</v>
      </c>
      <c r="I22" s="14" t="s">
        <v>26</v>
      </c>
    </row>
    <row r="23" customFormat="false" ht="21.75" hidden="false" customHeight="true" outlineLevel="0" collapsed="false">
      <c r="A23" s="8" t="s">
        <v>9</v>
      </c>
      <c r="B23" s="9" t="s">
        <v>75</v>
      </c>
      <c r="C23" s="10" t="s">
        <v>2</v>
      </c>
      <c r="D23" s="11" t="s">
        <v>76</v>
      </c>
      <c r="E23" s="15"/>
      <c r="F23" s="15"/>
      <c r="G23" s="10" t="s">
        <v>6</v>
      </c>
      <c r="H23" s="11" t="s">
        <v>77</v>
      </c>
      <c r="I23" s="14" t="s">
        <v>26</v>
      </c>
    </row>
    <row r="24" customFormat="false" ht="21.75" hidden="false" customHeight="true" outlineLevel="0" collapsed="false">
      <c r="A24" s="2" t="s">
        <v>9</v>
      </c>
      <c r="B24" s="3" t="s">
        <v>78</v>
      </c>
      <c r="C24" s="4" t="s">
        <v>2</v>
      </c>
      <c r="D24" s="5" t="s">
        <v>79</v>
      </c>
      <c r="E24" s="13"/>
      <c r="F24" s="13"/>
      <c r="G24" s="4" t="s">
        <v>6</v>
      </c>
      <c r="H24" s="5" t="s">
        <v>80</v>
      </c>
      <c r="I24" s="14" t="s">
        <v>26</v>
      </c>
    </row>
    <row r="25" customFormat="false" ht="21.75" hidden="false" customHeight="true" outlineLevel="0" collapsed="false">
      <c r="A25" s="8" t="s">
        <v>9</v>
      </c>
      <c r="B25" s="9" t="s">
        <v>81</v>
      </c>
      <c r="C25" s="10" t="s">
        <v>2</v>
      </c>
      <c r="D25" s="11" t="s">
        <v>82</v>
      </c>
      <c r="E25" s="15"/>
      <c r="F25" s="15"/>
      <c r="G25" s="10" t="s">
        <v>6</v>
      </c>
      <c r="H25" s="11" t="s">
        <v>83</v>
      </c>
      <c r="I25" s="14" t="s">
        <v>26</v>
      </c>
    </row>
    <row r="26" customFormat="false" ht="21.75" hidden="false" customHeight="true" outlineLevel="0" collapsed="false">
      <c r="A26" s="2" t="s">
        <v>84</v>
      </c>
      <c r="B26" s="3" t="s">
        <v>85</v>
      </c>
      <c r="C26" s="4" t="s">
        <v>2</v>
      </c>
      <c r="D26" s="5" t="s">
        <v>86</v>
      </c>
      <c r="E26" s="13"/>
      <c r="F26" s="13"/>
      <c r="G26" s="4" t="s">
        <v>6</v>
      </c>
      <c r="H26" s="5" t="s">
        <v>12</v>
      </c>
      <c r="I26" s="14" t="s">
        <v>26</v>
      </c>
    </row>
    <row r="27" customFormat="false" ht="21.75" hidden="false" customHeight="true" outlineLevel="0" collapsed="false">
      <c r="A27" s="8" t="s">
        <v>84</v>
      </c>
      <c r="B27" s="9" t="s">
        <v>87</v>
      </c>
      <c r="C27" s="10" t="s">
        <v>2</v>
      </c>
      <c r="D27" s="11" t="s">
        <v>25</v>
      </c>
      <c r="E27" s="15"/>
      <c r="F27" s="15"/>
      <c r="G27" s="10" t="s">
        <v>6</v>
      </c>
      <c r="H27" s="11" t="s">
        <v>88</v>
      </c>
      <c r="I27" s="14" t="s">
        <v>26</v>
      </c>
    </row>
    <row r="28" customFormat="false" ht="21.75" hidden="false" customHeight="true" outlineLevel="0" collapsed="false">
      <c r="A28" s="2" t="s">
        <v>84</v>
      </c>
      <c r="B28" s="3" t="s">
        <v>89</v>
      </c>
      <c r="C28" s="4" t="s">
        <v>2</v>
      </c>
      <c r="D28" s="5" t="s">
        <v>18</v>
      </c>
      <c r="E28" s="13"/>
      <c r="F28" s="13"/>
      <c r="G28" s="4" t="s">
        <v>6</v>
      </c>
      <c r="H28" s="5" t="s">
        <v>24</v>
      </c>
      <c r="I28" s="14" t="s">
        <v>26</v>
      </c>
    </row>
    <row r="29" customFormat="false" ht="21.75" hidden="false" customHeight="true" outlineLevel="0" collapsed="false">
      <c r="A29" s="8" t="s">
        <v>84</v>
      </c>
      <c r="B29" s="9" t="s">
        <v>90</v>
      </c>
      <c r="C29" s="10" t="s">
        <v>2</v>
      </c>
      <c r="D29" s="11" t="s">
        <v>11</v>
      </c>
      <c r="E29" s="15"/>
      <c r="F29" s="15"/>
      <c r="G29" s="10" t="s">
        <v>6</v>
      </c>
      <c r="H29" s="11" t="s">
        <v>15</v>
      </c>
      <c r="I29" s="14" t="s">
        <v>26</v>
      </c>
    </row>
    <row r="30" customFormat="false" ht="21.75" hidden="false" customHeight="true" outlineLevel="0" collapsed="false">
      <c r="A30" s="2" t="s">
        <v>84</v>
      </c>
      <c r="B30" s="3" t="s">
        <v>91</v>
      </c>
      <c r="C30" s="4" t="s">
        <v>2</v>
      </c>
      <c r="D30" s="5" t="s">
        <v>21</v>
      </c>
      <c r="E30" s="13"/>
      <c r="F30" s="13"/>
      <c r="G30" s="4" t="s">
        <v>6</v>
      </c>
      <c r="H30" s="5" t="s">
        <v>34</v>
      </c>
      <c r="I30" s="14" t="s">
        <v>26</v>
      </c>
    </row>
    <row r="31" customFormat="false" ht="21.75" hidden="false" customHeight="true" outlineLevel="0" collapsed="false">
      <c r="A31" s="8" t="s">
        <v>84</v>
      </c>
      <c r="B31" s="9" t="s">
        <v>92</v>
      </c>
      <c r="C31" s="10" t="s">
        <v>2</v>
      </c>
      <c r="D31" s="11" t="s">
        <v>32</v>
      </c>
      <c r="E31" s="15"/>
      <c r="F31" s="15"/>
      <c r="G31" s="10" t="s">
        <v>6</v>
      </c>
      <c r="H31" s="11" t="s">
        <v>29</v>
      </c>
      <c r="I31" s="14" t="s">
        <v>26</v>
      </c>
    </row>
    <row r="32" customFormat="false" ht="21.75" hidden="false" customHeight="true" outlineLevel="0" collapsed="false">
      <c r="A32" s="2" t="s">
        <v>84</v>
      </c>
      <c r="B32" s="3" t="s">
        <v>93</v>
      </c>
      <c r="C32" s="4" t="s">
        <v>2</v>
      </c>
      <c r="D32" s="5" t="s">
        <v>28</v>
      </c>
      <c r="E32" s="13"/>
      <c r="F32" s="13"/>
      <c r="G32" s="4" t="s">
        <v>6</v>
      </c>
      <c r="H32" s="5" t="s">
        <v>31</v>
      </c>
      <c r="I32" s="14" t="s">
        <v>26</v>
      </c>
    </row>
    <row r="33" customFormat="false" ht="21.75" hidden="false" customHeight="true" outlineLevel="0" collapsed="false">
      <c r="A33" s="8" t="s">
        <v>84</v>
      </c>
      <c r="B33" s="9" t="s">
        <v>94</v>
      </c>
      <c r="C33" s="10" t="s">
        <v>2</v>
      </c>
      <c r="D33" s="11" t="s">
        <v>95</v>
      </c>
      <c r="E33" s="15"/>
      <c r="F33" s="15"/>
      <c r="G33" s="10" t="s">
        <v>6</v>
      </c>
      <c r="H33" s="11" t="s">
        <v>22</v>
      </c>
      <c r="I33" s="14" t="s">
        <v>26</v>
      </c>
    </row>
    <row r="34" customFormat="false" ht="21.75" hidden="false" customHeight="true" outlineLevel="0" collapsed="false">
      <c r="A34" s="2" t="s">
        <v>84</v>
      </c>
      <c r="B34" s="3" t="s">
        <v>96</v>
      </c>
      <c r="C34" s="4" t="s">
        <v>2</v>
      </c>
      <c r="D34" s="5" t="s">
        <v>40</v>
      </c>
      <c r="E34" s="13"/>
      <c r="F34" s="13"/>
      <c r="G34" s="4" t="s">
        <v>6</v>
      </c>
      <c r="H34" s="5" t="s">
        <v>46</v>
      </c>
      <c r="I34" s="14" t="s">
        <v>26</v>
      </c>
    </row>
    <row r="35" customFormat="false" ht="21.75" hidden="false" customHeight="true" outlineLevel="0" collapsed="false">
      <c r="A35" s="8" t="s">
        <v>84</v>
      </c>
      <c r="B35" s="9" t="s">
        <v>97</v>
      </c>
      <c r="C35" s="10" t="s">
        <v>2</v>
      </c>
      <c r="D35" s="11" t="s">
        <v>37</v>
      </c>
      <c r="E35" s="15"/>
      <c r="F35" s="15"/>
      <c r="G35" s="10" t="s">
        <v>6</v>
      </c>
      <c r="H35" s="11" t="s">
        <v>43</v>
      </c>
      <c r="I35" s="14" t="s">
        <v>26</v>
      </c>
    </row>
    <row r="36" customFormat="false" ht="21.75" hidden="false" customHeight="true" outlineLevel="0" collapsed="false">
      <c r="A36" s="2" t="s">
        <v>84</v>
      </c>
      <c r="B36" s="3" t="s">
        <v>98</v>
      </c>
      <c r="C36" s="4" t="s">
        <v>2</v>
      </c>
      <c r="D36" s="5" t="s">
        <v>44</v>
      </c>
      <c r="E36" s="13"/>
      <c r="F36" s="13"/>
      <c r="G36" s="4" t="s">
        <v>6</v>
      </c>
      <c r="H36" s="5" t="s">
        <v>99</v>
      </c>
      <c r="I36" s="14" t="s">
        <v>26</v>
      </c>
    </row>
    <row r="37" customFormat="false" ht="21.75" hidden="false" customHeight="true" outlineLevel="0" collapsed="false">
      <c r="A37" s="8" t="s">
        <v>84</v>
      </c>
      <c r="B37" s="9" t="s">
        <v>100</v>
      </c>
      <c r="C37" s="10" t="s">
        <v>2</v>
      </c>
      <c r="D37" s="11" t="s">
        <v>47</v>
      </c>
      <c r="E37" s="15"/>
      <c r="F37" s="15"/>
      <c r="G37" s="10" t="s">
        <v>6</v>
      </c>
      <c r="H37" s="11" t="s">
        <v>41</v>
      </c>
      <c r="I37" s="14" t="s">
        <v>26</v>
      </c>
    </row>
    <row r="38" customFormat="false" ht="21.75" hidden="false" customHeight="true" outlineLevel="0" collapsed="false">
      <c r="A38" s="2" t="s">
        <v>84</v>
      </c>
      <c r="B38" s="3" t="s">
        <v>101</v>
      </c>
      <c r="C38" s="4" t="s">
        <v>2</v>
      </c>
      <c r="D38" s="5" t="s">
        <v>49</v>
      </c>
      <c r="E38" s="13"/>
      <c r="F38" s="13"/>
      <c r="G38" s="4" t="s">
        <v>6</v>
      </c>
      <c r="H38" s="5" t="s">
        <v>55</v>
      </c>
      <c r="I38" s="14" t="s">
        <v>26</v>
      </c>
    </row>
    <row r="39" customFormat="false" ht="21.75" hidden="false" customHeight="true" outlineLevel="0" collapsed="false">
      <c r="A39" s="8" t="s">
        <v>84</v>
      </c>
      <c r="B39" s="9" t="s">
        <v>102</v>
      </c>
      <c r="C39" s="10" t="s">
        <v>2</v>
      </c>
      <c r="D39" s="11" t="s">
        <v>52</v>
      </c>
      <c r="E39" s="15"/>
      <c r="F39" s="15"/>
      <c r="G39" s="10" t="s">
        <v>6</v>
      </c>
      <c r="H39" s="11" t="s">
        <v>58</v>
      </c>
      <c r="I39" s="14" t="s">
        <v>26</v>
      </c>
    </row>
    <row r="40" customFormat="false" ht="21.75" hidden="false" customHeight="true" outlineLevel="0" collapsed="false">
      <c r="A40" s="2" t="s">
        <v>84</v>
      </c>
      <c r="B40" s="3" t="s">
        <v>103</v>
      </c>
      <c r="C40" s="4" t="s">
        <v>2</v>
      </c>
      <c r="D40" s="5" t="s">
        <v>56</v>
      </c>
      <c r="E40" s="13"/>
      <c r="F40" s="13"/>
      <c r="G40" s="4" t="s">
        <v>6</v>
      </c>
      <c r="H40" s="5" t="s">
        <v>50</v>
      </c>
      <c r="I40" s="14" t="s">
        <v>26</v>
      </c>
    </row>
    <row r="41" customFormat="false" ht="21.75" hidden="false" customHeight="true" outlineLevel="0" collapsed="false">
      <c r="A41" s="8" t="s">
        <v>84</v>
      </c>
      <c r="B41" s="9" t="s">
        <v>104</v>
      </c>
      <c r="C41" s="10" t="s">
        <v>2</v>
      </c>
      <c r="D41" s="11" t="s">
        <v>59</v>
      </c>
      <c r="E41" s="15"/>
      <c r="F41" s="15"/>
      <c r="G41" s="10" t="s">
        <v>6</v>
      </c>
      <c r="H41" s="11" t="s">
        <v>53</v>
      </c>
      <c r="I41" s="14" t="s">
        <v>26</v>
      </c>
    </row>
    <row r="42" customFormat="false" ht="21.75" hidden="false" customHeight="true" outlineLevel="0" collapsed="false">
      <c r="A42" s="2" t="s">
        <v>84</v>
      </c>
      <c r="B42" s="3" t="s">
        <v>105</v>
      </c>
      <c r="C42" s="4" t="s">
        <v>2</v>
      </c>
      <c r="D42" s="5" t="s">
        <v>67</v>
      </c>
      <c r="E42" s="13"/>
      <c r="F42" s="13"/>
      <c r="G42" s="4" t="s">
        <v>6</v>
      </c>
      <c r="H42" s="5" t="s">
        <v>70</v>
      </c>
      <c r="I42" s="14" t="s">
        <v>26</v>
      </c>
    </row>
    <row r="43" customFormat="false" ht="21.75" hidden="false" customHeight="true" outlineLevel="0" collapsed="false">
      <c r="A43" s="8" t="s">
        <v>84</v>
      </c>
      <c r="B43" s="9" t="s">
        <v>106</v>
      </c>
      <c r="C43" s="10" t="s">
        <v>2</v>
      </c>
      <c r="D43" s="11" t="s">
        <v>61</v>
      </c>
      <c r="E43" s="15"/>
      <c r="F43" s="15"/>
      <c r="G43" s="10" t="s">
        <v>6</v>
      </c>
      <c r="H43" s="11" t="s">
        <v>64</v>
      </c>
      <c r="I43" s="14" t="s">
        <v>26</v>
      </c>
    </row>
    <row r="44" customFormat="false" ht="21.75" hidden="false" customHeight="true" outlineLevel="0" collapsed="false">
      <c r="A44" s="2" t="s">
        <v>84</v>
      </c>
      <c r="B44" s="3" t="s">
        <v>107</v>
      </c>
      <c r="C44" s="4" t="s">
        <v>2</v>
      </c>
      <c r="D44" s="5" t="s">
        <v>65</v>
      </c>
      <c r="E44" s="13"/>
      <c r="F44" s="13"/>
      <c r="G44" s="4" t="s">
        <v>6</v>
      </c>
      <c r="H44" s="5" t="s">
        <v>62</v>
      </c>
      <c r="I44" s="14" t="s">
        <v>26</v>
      </c>
    </row>
    <row r="45" customFormat="false" ht="21.75" hidden="false" customHeight="true" outlineLevel="0" collapsed="false">
      <c r="A45" s="8" t="s">
        <v>84</v>
      </c>
      <c r="B45" s="9" t="s">
        <v>108</v>
      </c>
      <c r="C45" s="10" t="s">
        <v>2</v>
      </c>
      <c r="D45" s="11" t="s">
        <v>71</v>
      </c>
      <c r="E45" s="15"/>
      <c r="F45" s="15"/>
      <c r="G45" s="10" t="s">
        <v>6</v>
      </c>
      <c r="H45" s="11" t="s">
        <v>68</v>
      </c>
      <c r="I45" s="14" t="s">
        <v>26</v>
      </c>
    </row>
    <row r="46" customFormat="false" ht="21.75" hidden="false" customHeight="true" outlineLevel="0" collapsed="false">
      <c r="A46" s="2" t="s">
        <v>84</v>
      </c>
      <c r="B46" s="3" t="s">
        <v>109</v>
      </c>
      <c r="C46" s="4" t="s">
        <v>2</v>
      </c>
      <c r="D46" s="5" t="s">
        <v>73</v>
      </c>
      <c r="E46" s="13"/>
      <c r="F46" s="13"/>
      <c r="G46" s="4" t="s">
        <v>6</v>
      </c>
      <c r="H46" s="5" t="s">
        <v>82</v>
      </c>
      <c r="I46" s="14" t="s">
        <v>26</v>
      </c>
    </row>
    <row r="47" customFormat="false" ht="21.75" hidden="false" customHeight="true" outlineLevel="0" collapsed="false">
      <c r="A47" s="8" t="s">
        <v>84</v>
      </c>
      <c r="B47" s="9" t="s">
        <v>110</v>
      </c>
      <c r="C47" s="10" t="s">
        <v>2</v>
      </c>
      <c r="D47" s="11" t="s">
        <v>76</v>
      </c>
      <c r="E47" s="15"/>
      <c r="F47" s="15"/>
      <c r="G47" s="10" t="s">
        <v>6</v>
      </c>
      <c r="H47" s="11" t="s">
        <v>79</v>
      </c>
      <c r="I47" s="14" t="s">
        <v>26</v>
      </c>
    </row>
    <row r="48" customFormat="false" ht="21.75" hidden="false" customHeight="true" outlineLevel="0" collapsed="false">
      <c r="A48" s="2" t="s">
        <v>84</v>
      </c>
      <c r="B48" s="3" t="s">
        <v>111</v>
      </c>
      <c r="C48" s="4" t="s">
        <v>2</v>
      </c>
      <c r="D48" s="5" t="s">
        <v>80</v>
      </c>
      <c r="E48" s="13"/>
      <c r="F48" s="13"/>
      <c r="G48" s="4" t="s">
        <v>6</v>
      </c>
      <c r="H48" s="5" t="s">
        <v>77</v>
      </c>
      <c r="I48" s="14" t="s">
        <v>26</v>
      </c>
    </row>
    <row r="49" customFormat="false" ht="21.75" hidden="false" customHeight="true" outlineLevel="0" collapsed="false">
      <c r="A49" s="8" t="s">
        <v>84</v>
      </c>
      <c r="B49" s="9" t="s">
        <v>112</v>
      </c>
      <c r="C49" s="10" t="s">
        <v>2</v>
      </c>
      <c r="D49" s="11" t="s">
        <v>83</v>
      </c>
      <c r="E49" s="15"/>
      <c r="F49" s="15"/>
      <c r="G49" s="10" t="s">
        <v>6</v>
      </c>
      <c r="H49" s="11" t="s">
        <v>113</v>
      </c>
      <c r="I49" s="14" t="s">
        <v>26</v>
      </c>
    </row>
    <row r="50" customFormat="false" ht="21.75" hidden="false" customHeight="true" outlineLevel="0" collapsed="false">
      <c r="A50" s="2" t="s">
        <v>114</v>
      </c>
      <c r="B50" s="3" t="s">
        <v>115</v>
      </c>
      <c r="C50" s="4" t="s">
        <v>2</v>
      </c>
      <c r="D50" s="5" t="s">
        <v>25</v>
      </c>
      <c r="E50" s="13"/>
      <c r="F50" s="13"/>
      <c r="G50" s="4" t="s">
        <v>6</v>
      </c>
      <c r="H50" s="5" t="s">
        <v>18</v>
      </c>
      <c r="I50" s="14" t="s">
        <v>26</v>
      </c>
    </row>
    <row r="51" customFormat="false" ht="21.75" hidden="false" customHeight="true" outlineLevel="0" collapsed="false">
      <c r="A51" s="8" t="s">
        <v>114</v>
      </c>
      <c r="B51" s="9" t="s">
        <v>116</v>
      </c>
      <c r="C51" s="10" t="s">
        <v>2</v>
      </c>
      <c r="D51" s="11" t="s">
        <v>88</v>
      </c>
      <c r="E51" s="15"/>
      <c r="F51" s="15"/>
      <c r="G51" s="10" t="s">
        <v>6</v>
      </c>
      <c r="H51" s="11" t="s">
        <v>24</v>
      </c>
      <c r="I51" s="14" t="s">
        <v>26</v>
      </c>
    </row>
    <row r="52" customFormat="false" ht="21.75" hidden="false" customHeight="true" outlineLevel="0" collapsed="false">
      <c r="A52" s="2" t="s">
        <v>114</v>
      </c>
      <c r="B52" s="3" t="s">
        <v>117</v>
      </c>
      <c r="C52" s="4" t="s">
        <v>2</v>
      </c>
      <c r="D52" s="5" t="s">
        <v>32</v>
      </c>
      <c r="E52" s="13"/>
      <c r="F52" s="13"/>
      <c r="G52" s="4" t="s">
        <v>6</v>
      </c>
      <c r="H52" s="5" t="s">
        <v>28</v>
      </c>
      <c r="I52" s="14" t="s">
        <v>26</v>
      </c>
    </row>
    <row r="53" customFormat="false" ht="21.75" hidden="false" customHeight="true" outlineLevel="0" collapsed="false">
      <c r="A53" s="8" t="s">
        <v>114</v>
      </c>
      <c r="B53" s="9" t="s">
        <v>118</v>
      </c>
      <c r="C53" s="10" t="s">
        <v>2</v>
      </c>
      <c r="D53" s="11" t="s">
        <v>29</v>
      </c>
      <c r="E53" s="15"/>
      <c r="F53" s="15"/>
      <c r="G53" s="10" t="s">
        <v>6</v>
      </c>
      <c r="H53" s="11" t="s">
        <v>31</v>
      </c>
      <c r="I53" s="14" t="s">
        <v>26</v>
      </c>
    </row>
    <row r="54" customFormat="false" ht="21.75" hidden="false" customHeight="true" outlineLevel="0" collapsed="false">
      <c r="A54" s="2" t="s">
        <v>114</v>
      </c>
      <c r="B54" s="3" t="s">
        <v>119</v>
      </c>
      <c r="C54" s="4" t="s">
        <v>2</v>
      </c>
      <c r="D54" s="5" t="s">
        <v>86</v>
      </c>
      <c r="E54" s="13"/>
      <c r="F54" s="13"/>
      <c r="G54" s="4" t="s">
        <v>6</v>
      </c>
      <c r="H54" s="5" t="s">
        <v>11</v>
      </c>
      <c r="I54" s="14" t="s">
        <v>26</v>
      </c>
    </row>
    <row r="55" customFormat="false" ht="21.75" hidden="false" customHeight="true" outlineLevel="0" collapsed="false">
      <c r="A55" s="8" t="s">
        <v>114</v>
      </c>
      <c r="B55" s="9" t="s">
        <v>120</v>
      </c>
      <c r="C55" s="10" t="s">
        <v>2</v>
      </c>
      <c r="D55" s="11" t="s">
        <v>12</v>
      </c>
      <c r="E55" s="15"/>
      <c r="F55" s="15"/>
      <c r="G55" s="10" t="s">
        <v>6</v>
      </c>
      <c r="H55" s="11" t="s">
        <v>15</v>
      </c>
      <c r="I55" s="14" t="s">
        <v>26</v>
      </c>
    </row>
    <row r="56" customFormat="false" ht="21.75" hidden="false" customHeight="true" outlineLevel="0" collapsed="false">
      <c r="A56" s="2" t="s">
        <v>114</v>
      </c>
      <c r="B56" s="3" t="s">
        <v>121</v>
      </c>
      <c r="C56" s="4" t="s">
        <v>2</v>
      </c>
      <c r="D56" s="5" t="s">
        <v>99</v>
      </c>
      <c r="E56" s="13"/>
      <c r="F56" s="13"/>
      <c r="G56" s="4" t="s">
        <v>6</v>
      </c>
      <c r="H56" s="5" t="s">
        <v>43</v>
      </c>
      <c r="I56" s="14" t="s">
        <v>26</v>
      </c>
    </row>
    <row r="57" customFormat="false" ht="21.75" hidden="false" customHeight="true" outlineLevel="0" collapsed="false">
      <c r="A57" s="8" t="s">
        <v>114</v>
      </c>
      <c r="B57" s="9" t="s">
        <v>122</v>
      </c>
      <c r="C57" s="10" t="s">
        <v>2</v>
      </c>
      <c r="D57" s="11" t="s">
        <v>44</v>
      </c>
      <c r="E57" s="15"/>
      <c r="F57" s="15"/>
      <c r="G57" s="10" t="s">
        <v>6</v>
      </c>
      <c r="H57" s="11" t="s">
        <v>37</v>
      </c>
      <c r="I57" s="14" t="s">
        <v>26</v>
      </c>
    </row>
    <row r="58" customFormat="false" ht="21.75" hidden="false" customHeight="true" outlineLevel="0" collapsed="false">
      <c r="A58" s="2" t="s">
        <v>114</v>
      </c>
      <c r="B58" s="3" t="s">
        <v>123</v>
      </c>
      <c r="C58" s="4" t="s">
        <v>2</v>
      </c>
      <c r="D58" s="5" t="s">
        <v>41</v>
      </c>
      <c r="E58" s="13"/>
      <c r="F58" s="13"/>
      <c r="G58" s="4" t="s">
        <v>6</v>
      </c>
      <c r="H58" s="5" t="s">
        <v>46</v>
      </c>
      <c r="I58" s="14" t="s">
        <v>26</v>
      </c>
    </row>
    <row r="59" customFormat="false" ht="21.75" hidden="false" customHeight="true" outlineLevel="0" collapsed="false">
      <c r="A59" s="8" t="s">
        <v>114</v>
      </c>
      <c r="B59" s="9" t="s">
        <v>124</v>
      </c>
      <c r="C59" s="10" t="s">
        <v>2</v>
      </c>
      <c r="D59" s="11" t="s">
        <v>47</v>
      </c>
      <c r="E59" s="15"/>
      <c r="F59" s="15"/>
      <c r="G59" s="10" t="s">
        <v>6</v>
      </c>
      <c r="H59" s="11" t="s">
        <v>40</v>
      </c>
      <c r="I59" s="14" t="s">
        <v>26</v>
      </c>
    </row>
    <row r="60" customFormat="false" ht="21.75" hidden="false" customHeight="true" outlineLevel="0" collapsed="false">
      <c r="A60" s="2" t="s">
        <v>114</v>
      </c>
      <c r="B60" s="3" t="s">
        <v>125</v>
      </c>
      <c r="C60" s="4" t="s">
        <v>2</v>
      </c>
      <c r="D60" s="5" t="s">
        <v>95</v>
      </c>
      <c r="E60" s="13"/>
      <c r="F60" s="13"/>
      <c r="G60" s="4" t="s">
        <v>6</v>
      </c>
      <c r="H60" s="5" t="s">
        <v>21</v>
      </c>
      <c r="I60" s="14" t="s">
        <v>26</v>
      </c>
    </row>
    <row r="61" customFormat="false" ht="21.75" hidden="false" customHeight="true" outlineLevel="0" collapsed="false">
      <c r="A61" s="8" t="s">
        <v>114</v>
      </c>
      <c r="B61" s="9" t="s">
        <v>126</v>
      </c>
      <c r="C61" s="10" t="s">
        <v>2</v>
      </c>
      <c r="D61" s="11" t="s">
        <v>22</v>
      </c>
      <c r="E61" s="15"/>
      <c r="F61" s="15"/>
      <c r="G61" s="10" t="s">
        <v>6</v>
      </c>
      <c r="H61" s="11" t="s">
        <v>34</v>
      </c>
      <c r="I61" s="14" t="s">
        <v>26</v>
      </c>
    </row>
    <row r="62" customFormat="false" ht="21.75" hidden="false" customHeight="true" outlineLevel="0" collapsed="false">
      <c r="A62" s="2" t="s">
        <v>114</v>
      </c>
      <c r="B62" s="3" t="s">
        <v>127</v>
      </c>
      <c r="C62" s="4" t="s">
        <v>2</v>
      </c>
      <c r="D62" s="5" t="s">
        <v>65</v>
      </c>
      <c r="E62" s="13"/>
      <c r="F62" s="13"/>
      <c r="G62" s="4" t="s">
        <v>6</v>
      </c>
      <c r="H62" s="5" t="s">
        <v>61</v>
      </c>
      <c r="I62" s="14" t="s">
        <v>26</v>
      </c>
    </row>
    <row r="63" customFormat="false" ht="21.75" hidden="false" customHeight="true" outlineLevel="0" collapsed="false">
      <c r="A63" s="8" t="s">
        <v>114</v>
      </c>
      <c r="B63" s="9" t="s">
        <v>128</v>
      </c>
      <c r="C63" s="10" t="s">
        <v>2</v>
      </c>
      <c r="D63" s="11" t="s">
        <v>62</v>
      </c>
      <c r="E63" s="15"/>
      <c r="F63" s="15"/>
      <c r="G63" s="10" t="s">
        <v>6</v>
      </c>
      <c r="H63" s="11" t="s">
        <v>64</v>
      </c>
      <c r="I63" s="14" t="s">
        <v>26</v>
      </c>
    </row>
    <row r="64" customFormat="false" ht="21.75" hidden="false" customHeight="true" outlineLevel="0" collapsed="false">
      <c r="A64" s="2" t="s">
        <v>114</v>
      </c>
      <c r="B64" s="3" t="s">
        <v>129</v>
      </c>
      <c r="C64" s="4" t="s">
        <v>2</v>
      </c>
      <c r="D64" s="5" t="s">
        <v>50</v>
      </c>
      <c r="E64" s="13"/>
      <c r="F64" s="13"/>
      <c r="G64" s="4" t="s">
        <v>6</v>
      </c>
      <c r="H64" s="5" t="s">
        <v>55</v>
      </c>
      <c r="I64" s="14" t="s">
        <v>26</v>
      </c>
    </row>
    <row r="65" customFormat="false" ht="21.75" hidden="false" customHeight="true" outlineLevel="0" collapsed="false">
      <c r="A65" s="8" t="s">
        <v>114</v>
      </c>
      <c r="B65" s="9" t="s">
        <v>130</v>
      </c>
      <c r="C65" s="10" t="s">
        <v>2</v>
      </c>
      <c r="D65" s="11" t="s">
        <v>56</v>
      </c>
      <c r="E65" s="15"/>
      <c r="F65" s="15"/>
      <c r="G65" s="10" t="s">
        <v>6</v>
      </c>
      <c r="H65" s="11" t="s">
        <v>49</v>
      </c>
      <c r="I65" s="14" t="s">
        <v>26</v>
      </c>
    </row>
    <row r="66" customFormat="false" ht="21.75" hidden="false" customHeight="true" outlineLevel="0" collapsed="false">
      <c r="A66" s="2" t="s">
        <v>114</v>
      </c>
      <c r="B66" s="3" t="s">
        <v>131</v>
      </c>
      <c r="C66" s="4" t="s">
        <v>2</v>
      </c>
      <c r="D66" s="5" t="s">
        <v>53</v>
      </c>
      <c r="E66" s="13"/>
      <c r="F66" s="13"/>
      <c r="G66" s="4" t="s">
        <v>6</v>
      </c>
      <c r="H66" s="5" t="s">
        <v>58</v>
      </c>
      <c r="I66" s="14" t="s">
        <v>26</v>
      </c>
    </row>
    <row r="67" customFormat="false" ht="21.75" hidden="false" customHeight="true" outlineLevel="0" collapsed="false">
      <c r="A67" s="8" t="s">
        <v>114</v>
      </c>
      <c r="B67" s="9" t="s">
        <v>132</v>
      </c>
      <c r="C67" s="10" t="s">
        <v>2</v>
      </c>
      <c r="D67" s="11" t="s">
        <v>59</v>
      </c>
      <c r="E67" s="15"/>
      <c r="F67" s="15"/>
      <c r="G67" s="10" t="s">
        <v>6</v>
      </c>
      <c r="H67" s="11" t="s">
        <v>52</v>
      </c>
      <c r="I67" s="14" t="s">
        <v>26</v>
      </c>
    </row>
    <row r="68" customFormat="false" ht="21.75" hidden="false" customHeight="true" outlineLevel="0" collapsed="false">
      <c r="A68" s="2" t="s">
        <v>114</v>
      </c>
      <c r="B68" s="3" t="s">
        <v>133</v>
      </c>
      <c r="C68" s="4" t="s">
        <v>2</v>
      </c>
      <c r="D68" s="5" t="s">
        <v>80</v>
      </c>
      <c r="E68" s="13"/>
      <c r="F68" s="13"/>
      <c r="G68" s="4" t="s">
        <v>6</v>
      </c>
      <c r="H68" s="5" t="s">
        <v>76</v>
      </c>
      <c r="I68" s="14" t="s">
        <v>26</v>
      </c>
    </row>
    <row r="69" customFormat="false" ht="21.75" hidden="false" customHeight="true" outlineLevel="0" collapsed="false">
      <c r="A69" s="8" t="s">
        <v>114</v>
      </c>
      <c r="B69" s="9" t="s">
        <v>134</v>
      </c>
      <c r="C69" s="10" t="s">
        <v>2</v>
      </c>
      <c r="D69" s="11" t="s">
        <v>77</v>
      </c>
      <c r="E69" s="15"/>
      <c r="F69" s="15"/>
      <c r="G69" s="10" t="s">
        <v>6</v>
      </c>
      <c r="H69" s="11" t="s">
        <v>79</v>
      </c>
      <c r="I69" s="14" t="s">
        <v>26</v>
      </c>
    </row>
    <row r="70" customFormat="false" ht="21.75" hidden="false" customHeight="true" outlineLevel="0" collapsed="false">
      <c r="A70" s="2" t="s">
        <v>114</v>
      </c>
      <c r="B70" s="3" t="s">
        <v>135</v>
      </c>
      <c r="C70" s="4" t="s">
        <v>2</v>
      </c>
      <c r="D70" s="5" t="s">
        <v>83</v>
      </c>
      <c r="E70" s="13"/>
      <c r="F70" s="13"/>
      <c r="G70" s="4" t="s">
        <v>6</v>
      </c>
      <c r="H70" s="5" t="s">
        <v>73</v>
      </c>
      <c r="I70" s="14" t="s">
        <v>26</v>
      </c>
    </row>
    <row r="71" customFormat="false" ht="21.75" hidden="false" customHeight="true" outlineLevel="0" collapsed="false">
      <c r="A71" s="8" t="s">
        <v>114</v>
      </c>
      <c r="B71" s="9" t="s">
        <v>136</v>
      </c>
      <c r="C71" s="10" t="s">
        <v>2</v>
      </c>
      <c r="D71" s="11" t="s">
        <v>113</v>
      </c>
      <c r="E71" s="15"/>
      <c r="F71" s="15"/>
      <c r="G71" s="10" t="s">
        <v>6</v>
      </c>
      <c r="H71" s="11" t="s">
        <v>82</v>
      </c>
      <c r="I71" s="14" t="s">
        <v>26</v>
      </c>
    </row>
    <row r="72" customFormat="false" ht="21.75" hidden="false" customHeight="true" outlineLevel="0" collapsed="false">
      <c r="A72" s="2" t="s">
        <v>114</v>
      </c>
      <c r="B72" s="3" t="s">
        <v>137</v>
      </c>
      <c r="C72" s="4" t="s">
        <v>2</v>
      </c>
      <c r="D72" s="5" t="s">
        <v>68</v>
      </c>
      <c r="E72" s="13"/>
      <c r="F72" s="13"/>
      <c r="G72" s="4" t="s">
        <v>6</v>
      </c>
      <c r="H72" s="5" t="s">
        <v>70</v>
      </c>
      <c r="I72" s="14" t="s">
        <v>26</v>
      </c>
    </row>
    <row r="73" customFormat="false" ht="21.75" hidden="false" customHeight="true" outlineLevel="0" collapsed="false">
      <c r="A73" s="8" t="s">
        <v>114</v>
      </c>
      <c r="B73" s="9" t="s">
        <v>138</v>
      </c>
      <c r="C73" s="10" t="s">
        <v>2</v>
      </c>
      <c r="D73" s="11" t="s">
        <v>71</v>
      </c>
      <c r="E73" s="15"/>
      <c r="F73" s="15"/>
      <c r="G73" s="10" t="s">
        <v>6</v>
      </c>
      <c r="H73" s="11" t="s">
        <v>67</v>
      </c>
      <c r="I73" s="14" t="s">
        <v>26</v>
      </c>
    </row>
  </sheetData>
  <autoFilter ref="A1:I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7" min="4" style="0" width="7"/>
    <col collapsed="false" customWidth="true" hidden="false" outlineLevel="0" max="11" min="8" style="0" width="12"/>
    <col collapsed="false" customWidth="true" hidden="false" outlineLevel="0" max="12" min="12" style="0" width="14"/>
  </cols>
  <sheetData>
    <row r="1" customFormat="false" ht="39.75" hidden="false" customHeight="true" outlineLevel="0" collapsed="false">
      <c r="A1" s="16" t="s">
        <v>0</v>
      </c>
      <c r="B1" s="16" t="s">
        <v>139</v>
      </c>
      <c r="C1" s="16" t="s">
        <v>1</v>
      </c>
      <c r="D1" s="16" t="s">
        <v>140</v>
      </c>
      <c r="E1" s="16" t="s">
        <v>141</v>
      </c>
      <c r="F1" s="16" t="s">
        <v>4</v>
      </c>
      <c r="G1" s="16" t="s">
        <v>5</v>
      </c>
      <c r="H1" s="16" t="s">
        <v>142</v>
      </c>
      <c r="I1" s="16" t="s">
        <v>143</v>
      </c>
      <c r="J1" s="16" t="s">
        <v>144</v>
      </c>
      <c r="K1" s="16" t="s">
        <v>145</v>
      </c>
      <c r="L1" s="16" t="s">
        <v>146</v>
      </c>
    </row>
    <row r="2" customFormat="false" ht="18" hidden="false" customHeight="true" outlineLevel="0" collapsed="false">
      <c r="A2" s="17" t="s">
        <v>9</v>
      </c>
      <c r="B2" s="18" t="s">
        <v>147</v>
      </c>
      <c r="C2" s="19" t="s">
        <v>10</v>
      </c>
      <c r="D2" s="20" t="n">
        <v>3</v>
      </c>
      <c r="E2" s="20" t="n">
        <v>1</v>
      </c>
      <c r="F2" s="21" t="n">
        <f aca="false">'📋 Matches'!E2</f>
        <v>2</v>
      </c>
      <c r="G2" s="21" t="n">
        <f aca="false">'📋 Matches'!F2</f>
        <v>0</v>
      </c>
      <c r="H2" s="22" t="n">
        <f aca="false">IF(AND(ISNUMBER(F2),ISNUMBER(G2)),IF(SIGN(D2-E2)=SIGN(F2-G2),48,0),"")</f>
        <v>48</v>
      </c>
      <c r="I2" s="22" t="n">
        <f aca="false">IF(AND(ISNUMBER(F2),ISNUMBER(G2)),IF(D2=F2,15,0),"")</f>
        <v>0</v>
      </c>
      <c r="J2" s="22" t="n">
        <f aca="false">IF(AND(ISNUMBER(F2),ISNUMBER(G2)),IF(E2=G2,15,0),"")</f>
        <v>0</v>
      </c>
      <c r="K2" s="22" t="n">
        <f aca="false">IF(AND(ISNUMBER(F2),ISNUMBER(G2)),IF(ABS(D2-E2)=ABS(F2-G2),12,0),"")</f>
        <v>12</v>
      </c>
      <c r="L2" s="23" t="n">
        <f aca="false">IF(ISNUMBER(H2),H2+I2+J2+K2,"")</f>
        <v>60</v>
      </c>
    </row>
    <row r="3" customFormat="false" ht="18" hidden="false" customHeight="true" outlineLevel="0" collapsed="false">
      <c r="A3" s="17" t="s">
        <v>9</v>
      </c>
      <c r="B3" s="18" t="s">
        <v>147</v>
      </c>
      <c r="C3" s="19" t="s">
        <v>14</v>
      </c>
      <c r="D3" s="20" t="n">
        <v>1</v>
      </c>
      <c r="E3" s="20" t="n">
        <v>2</v>
      </c>
      <c r="F3" s="21" t="n">
        <f aca="false">'📋 Matches'!E3</f>
        <v>2</v>
      </c>
      <c r="G3" s="21" t="n">
        <f aca="false">'📋 Matches'!F3</f>
        <v>1</v>
      </c>
      <c r="H3" s="22" t="n">
        <f aca="false">IF(AND(ISNUMBER(F3),ISNUMBER(G3)),IF(SIGN(D3-E3)=SIGN(F3-G3),48,0),"")</f>
        <v>0</v>
      </c>
      <c r="I3" s="22" t="n">
        <f aca="false">IF(AND(ISNUMBER(F3),ISNUMBER(G3)),IF(D3=F3,15,0),"")</f>
        <v>0</v>
      </c>
      <c r="J3" s="22" t="n">
        <f aca="false">IF(AND(ISNUMBER(F3),ISNUMBER(G3)),IF(E3=G3,15,0),"")</f>
        <v>0</v>
      </c>
      <c r="K3" s="22" t="n">
        <f aca="false">IF(AND(ISNUMBER(F3),ISNUMBER(G3)),IF(ABS(D3-E3)=ABS(F3-G3),12,0),"")</f>
        <v>12</v>
      </c>
      <c r="L3" s="23" t="n">
        <f aca="false">IF(ISNUMBER(H3),H3+I3+J3+K3,"")</f>
        <v>12</v>
      </c>
    </row>
    <row r="4" customFormat="false" ht="18" hidden="false" customHeight="true" outlineLevel="0" collapsed="false">
      <c r="A4" s="17" t="s">
        <v>9</v>
      </c>
      <c r="B4" s="18" t="s">
        <v>147</v>
      </c>
      <c r="C4" s="19" t="s">
        <v>17</v>
      </c>
      <c r="D4" s="20" t="n">
        <v>0</v>
      </c>
      <c r="E4" s="20" t="n">
        <v>2</v>
      </c>
      <c r="F4" s="21" t="n">
        <f aca="false">'📋 Matches'!E4</f>
        <v>1</v>
      </c>
      <c r="G4" s="21" t="n">
        <f aca="false">'📋 Matches'!F4</f>
        <v>1</v>
      </c>
      <c r="H4" s="22" t="n">
        <f aca="false">IF(AND(ISNUMBER(F4),ISNUMBER(G4)),IF(SIGN(D4-E4)=SIGN(F4-G4),48,0),"")</f>
        <v>0</v>
      </c>
      <c r="I4" s="22" t="n">
        <f aca="false">IF(AND(ISNUMBER(F4),ISNUMBER(G4)),IF(D4=F4,15,0),"")</f>
        <v>0</v>
      </c>
      <c r="J4" s="22" t="n">
        <f aca="false">IF(AND(ISNUMBER(F4),ISNUMBER(G4)),IF(E4=G4,15,0),"")</f>
        <v>0</v>
      </c>
      <c r="K4" s="22" t="n">
        <f aca="false">IF(AND(ISNUMBER(F4),ISNUMBER(G4)),IF(ABS(D4-E4)=ABS(F4-G4),12,0),"")</f>
        <v>0</v>
      </c>
      <c r="L4" s="23" t="n">
        <f aca="false">IF(ISNUMBER(H4),H4+I4+J4+K4,"")</f>
        <v>0</v>
      </c>
    </row>
    <row r="5" customFormat="false" ht="18" hidden="false" customHeight="true" outlineLevel="0" collapsed="false">
      <c r="A5" s="17" t="s">
        <v>9</v>
      </c>
      <c r="B5" s="18" t="s">
        <v>147</v>
      </c>
      <c r="C5" s="19" t="s">
        <v>20</v>
      </c>
      <c r="D5" s="20" t="n">
        <v>1</v>
      </c>
      <c r="E5" s="20" t="n">
        <v>1</v>
      </c>
      <c r="F5" s="21" t="n">
        <f aca="false">'📋 Matches'!E5</f>
        <v>4</v>
      </c>
      <c r="G5" s="21" t="n">
        <f aca="false">'📋 Matches'!F5</f>
        <v>1</v>
      </c>
      <c r="H5" s="22" t="n">
        <f aca="false">IF(AND(ISNUMBER(F5),ISNUMBER(G5)),IF(SIGN(D5-E5)=SIGN(F5-G5),48,0),"")</f>
        <v>0</v>
      </c>
      <c r="I5" s="22" t="n">
        <f aca="false">IF(AND(ISNUMBER(F5),ISNUMBER(G5)),IF(D5=F5,15,0),"")</f>
        <v>0</v>
      </c>
      <c r="J5" s="22" t="n">
        <f aca="false">IF(AND(ISNUMBER(F5),ISNUMBER(G5)),IF(E5=G5,15,0),"")</f>
        <v>15</v>
      </c>
      <c r="K5" s="22" t="n">
        <f aca="false">IF(AND(ISNUMBER(F5),ISNUMBER(G5)),IF(ABS(D5-E5)=ABS(F5-G5),12,0),"")</f>
        <v>0</v>
      </c>
      <c r="L5" s="23" t="n">
        <f aca="false">IF(ISNUMBER(H5),H5+I5+J5+K5,"")</f>
        <v>15</v>
      </c>
    </row>
    <row r="6" customFormat="false" ht="18" hidden="false" customHeight="true" outlineLevel="0" collapsed="false">
      <c r="A6" s="17" t="s">
        <v>9</v>
      </c>
      <c r="B6" s="18" t="s">
        <v>147</v>
      </c>
      <c r="C6" s="19" t="s">
        <v>23</v>
      </c>
      <c r="D6" s="20" t="n">
        <v>0</v>
      </c>
      <c r="E6" s="20" t="n">
        <v>4</v>
      </c>
      <c r="F6" s="21" t="n">
        <f aca="false">'📋 Matches'!E6</f>
        <v>0</v>
      </c>
      <c r="G6" s="21" t="n">
        <f aca="false">'📋 Matches'!F6</f>
        <v>0</v>
      </c>
      <c r="H6" s="22" t="str">
        <f aca="false">IF(AND(ISNUMBER(F6),ISNUMBER(G6)),IF(SIGN(D6-E6)=SIGN(F6-G6),48,0),"")</f>
        <v/>
      </c>
      <c r="I6" s="22" t="str">
        <f aca="false">IF(AND(ISNUMBER(F6),ISNUMBER(G6)),IF(D6=F6,15,0),"")</f>
        <v/>
      </c>
      <c r="J6" s="22" t="str">
        <f aca="false">IF(AND(ISNUMBER(F6),ISNUMBER(G6)),IF(E6=G6,15,0),"")</f>
        <v/>
      </c>
      <c r="K6" s="22" t="str">
        <f aca="false">IF(AND(ISNUMBER(F6),ISNUMBER(G6)),IF(ABS(D6-E6)=ABS(F6-G6),12,0),"")</f>
        <v/>
      </c>
      <c r="L6" s="23" t="str">
        <f aca="false">IF(ISNUMBER(H6),H6+I6+J6+K6,"")</f>
        <v/>
      </c>
    </row>
    <row r="7" customFormat="false" ht="18" hidden="false" customHeight="true" outlineLevel="0" collapsed="false">
      <c r="A7" s="17" t="s">
        <v>9</v>
      </c>
      <c r="B7" s="18" t="s">
        <v>147</v>
      </c>
      <c r="C7" s="19" t="s">
        <v>27</v>
      </c>
      <c r="D7" s="20" t="n">
        <v>2</v>
      </c>
      <c r="E7" s="20" t="n">
        <v>1</v>
      </c>
      <c r="F7" s="21" t="n">
        <f aca="false">'📋 Matches'!E7</f>
        <v>0</v>
      </c>
      <c r="G7" s="21" t="n">
        <f aca="false">'📋 Matches'!F7</f>
        <v>0</v>
      </c>
      <c r="H7" s="22" t="str">
        <f aca="false">IF(AND(ISNUMBER(F7),ISNUMBER(G7)),IF(SIGN(D7-E7)=SIGN(F7-G7),48,0),"")</f>
        <v/>
      </c>
      <c r="I7" s="22" t="str">
        <f aca="false">IF(AND(ISNUMBER(F7),ISNUMBER(G7)),IF(D7=F7,15,0),"")</f>
        <v/>
      </c>
      <c r="J7" s="22" t="str">
        <f aca="false">IF(AND(ISNUMBER(F7),ISNUMBER(G7)),IF(E7=G7,15,0),"")</f>
        <v/>
      </c>
      <c r="K7" s="22" t="str">
        <f aca="false">IF(AND(ISNUMBER(F7),ISNUMBER(G7)),IF(ABS(D7-E7)=ABS(F7-G7),12,0),"")</f>
        <v/>
      </c>
      <c r="L7" s="23" t="str">
        <f aca="false">IF(ISNUMBER(H7),H7+I7+J7+K7,"")</f>
        <v/>
      </c>
    </row>
    <row r="8" customFormat="false" ht="18" hidden="false" customHeight="true" outlineLevel="0" collapsed="false">
      <c r="A8" s="17" t="s">
        <v>9</v>
      </c>
      <c r="B8" s="18" t="s">
        <v>147</v>
      </c>
      <c r="C8" s="19" t="s">
        <v>30</v>
      </c>
      <c r="D8" s="20" t="n">
        <v>0</v>
      </c>
      <c r="E8" s="20" t="n">
        <v>6</v>
      </c>
      <c r="F8" s="21" t="n">
        <f aca="false">'📋 Matches'!E8</f>
        <v>0</v>
      </c>
      <c r="G8" s="21" t="n">
        <f aca="false">'📋 Matches'!F8</f>
        <v>0</v>
      </c>
      <c r="H8" s="22" t="str">
        <f aca="false">IF(AND(ISNUMBER(F8),ISNUMBER(G8)),IF(SIGN(D8-E8)=SIGN(F8-G8),48,0),"")</f>
        <v/>
      </c>
      <c r="I8" s="22" t="str">
        <f aca="false">IF(AND(ISNUMBER(F8),ISNUMBER(G8)),IF(D8=F8,15,0),"")</f>
        <v/>
      </c>
      <c r="J8" s="22" t="str">
        <f aca="false">IF(AND(ISNUMBER(F8),ISNUMBER(G8)),IF(E8=G8,15,0),"")</f>
        <v/>
      </c>
      <c r="K8" s="22" t="str">
        <f aca="false">IF(AND(ISNUMBER(F8),ISNUMBER(G8)),IF(ABS(D8-E8)=ABS(F8-G8),12,0),"")</f>
        <v/>
      </c>
      <c r="L8" s="23" t="str">
        <f aca="false">IF(ISNUMBER(H8),H8+I8+J8+K8,"")</f>
        <v/>
      </c>
    </row>
    <row r="9" customFormat="false" ht="18" hidden="false" customHeight="true" outlineLevel="0" collapsed="false">
      <c r="A9" s="17" t="s">
        <v>9</v>
      </c>
      <c r="B9" s="18" t="s">
        <v>147</v>
      </c>
      <c r="C9" s="19" t="s">
        <v>33</v>
      </c>
      <c r="D9" s="20" t="n">
        <v>1</v>
      </c>
      <c r="E9" s="20" t="n">
        <v>3</v>
      </c>
      <c r="F9" s="21" t="n">
        <f aca="false">'📋 Matches'!E9</f>
        <v>0</v>
      </c>
      <c r="G9" s="21" t="n">
        <f aca="false">'📋 Matches'!F9</f>
        <v>0</v>
      </c>
      <c r="H9" s="22" t="str">
        <f aca="false">IF(AND(ISNUMBER(F9),ISNUMBER(G9)),IF(SIGN(D9-E9)=SIGN(F9-G9),48,0),"")</f>
        <v/>
      </c>
      <c r="I9" s="22" t="str">
        <f aca="false">IF(AND(ISNUMBER(F9),ISNUMBER(G9)),IF(D9=F9,15,0),"")</f>
        <v/>
      </c>
      <c r="J9" s="22" t="str">
        <f aca="false">IF(AND(ISNUMBER(F9),ISNUMBER(G9)),IF(E9=G9,15,0),"")</f>
        <v/>
      </c>
      <c r="K9" s="22" t="str">
        <f aca="false">IF(AND(ISNUMBER(F9),ISNUMBER(G9)),IF(ABS(D9-E9)=ABS(F9-G9),12,0),"")</f>
        <v/>
      </c>
      <c r="L9" s="23" t="str">
        <f aca="false">IF(ISNUMBER(H9),H9+I9+J9+K9,"")</f>
        <v/>
      </c>
    </row>
    <row r="10" customFormat="false" ht="18" hidden="false" customHeight="true" outlineLevel="0" collapsed="false">
      <c r="A10" s="17" t="s">
        <v>9</v>
      </c>
      <c r="B10" s="18" t="s">
        <v>147</v>
      </c>
      <c r="C10" s="19" t="s">
        <v>36</v>
      </c>
      <c r="D10" s="20" t="n">
        <v>5</v>
      </c>
      <c r="E10" s="20" t="n">
        <v>0</v>
      </c>
      <c r="F10" s="21" t="n">
        <f aca="false">'📋 Matches'!E10</f>
        <v>0</v>
      </c>
      <c r="G10" s="21" t="n">
        <f aca="false">'📋 Matches'!F10</f>
        <v>0</v>
      </c>
      <c r="H10" s="22" t="str">
        <f aca="false">IF(AND(ISNUMBER(F10),ISNUMBER(G10)),IF(SIGN(D10-E10)=SIGN(F10-G10),48,0),"")</f>
        <v/>
      </c>
      <c r="I10" s="22" t="str">
        <f aca="false">IF(AND(ISNUMBER(F10),ISNUMBER(G10)),IF(D10=F10,15,0),"")</f>
        <v/>
      </c>
      <c r="J10" s="22" t="str">
        <f aca="false">IF(AND(ISNUMBER(F10),ISNUMBER(G10)),IF(E10=G10,15,0),"")</f>
        <v/>
      </c>
      <c r="K10" s="22" t="str">
        <f aca="false">IF(AND(ISNUMBER(F10),ISNUMBER(G10)),IF(ABS(D10-E10)=ABS(F10-G10),12,0),"")</f>
        <v/>
      </c>
      <c r="L10" s="23" t="str">
        <f aca="false">IF(ISNUMBER(H10),H10+I10+J10+K10,"")</f>
        <v/>
      </c>
    </row>
    <row r="11" customFormat="false" ht="18" hidden="false" customHeight="true" outlineLevel="0" collapsed="false">
      <c r="A11" s="17" t="s">
        <v>9</v>
      </c>
      <c r="B11" s="18" t="s">
        <v>147</v>
      </c>
      <c r="C11" s="19" t="s">
        <v>39</v>
      </c>
      <c r="D11" s="20" t="n">
        <v>4</v>
      </c>
      <c r="E11" s="20" t="n">
        <v>0</v>
      </c>
      <c r="F11" s="21" t="n">
        <f aca="false">'📋 Matches'!E11</f>
        <v>0</v>
      </c>
      <c r="G11" s="21" t="n">
        <f aca="false">'📋 Matches'!F11</f>
        <v>0</v>
      </c>
      <c r="H11" s="22" t="str">
        <f aca="false">IF(AND(ISNUMBER(F11),ISNUMBER(G11)),IF(SIGN(D11-E11)=SIGN(F11-G11),48,0),"")</f>
        <v/>
      </c>
      <c r="I11" s="22" t="str">
        <f aca="false">IF(AND(ISNUMBER(F11),ISNUMBER(G11)),IF(D11=F11,15,0),"")</f>
        <v/>
      </c>
      <c r="J11" s="22" t="str">
        <f aca="false">IF(AND(ISNUMBER(F11),ISNUMBER(G11)),IF(E11=G11,15,0),"")</f>
        <v/>
      </c>
      <c r="K11" s="22" t="str">
        <f aca="false">IF(AND(ISNUMBER(F11),ISNUMBER(G11)),IF(ABS(D11-E11)=ABS(F11-G11),12,0),"")</f>
        <v/>
      </c>
      <c r="L11" s="23" t="str">
        <f aca="false">IF(ISNUMBER(H11),H11+I11+J11+K11,"")</f>
        <v/>
      </c>
    </row>
    <row r="12" customFormat="false" ht="18" hidden="false" customHeight="true" outlineLevel="0" collapsed="false">
      <c r="A12" s="17" t="s">
        <v>9</v>
      </c>
      <c r="B12" s="18" t="s">
        <v>147</v>
      </c>
      <c r="C12" s="19" t="s">
        <v>42</v>
      </c>
      <c r="D12" s="20" t="n">
        <v>2</v>
      </c>
      <c r="E12" s="20" t="n">
        <v>1</v>
      </c>
      <c r="F12" s="21" t="n">
        <f aca="false">'📋 Matches'!E12</f>
        <v>0</v>
      </c>
      <c r="G12" s="21" t="n">
        <f aca="false">'📋 Matches'!F12</f>
        <v>0</v>
      </c>
      <c r="H12" s="22" t="str">
        <f aca="false">IF(AND(ISNUMBER(F12),ISNUMBER(G12)),IF(SIGN(D12-E12)=SIGN(F12-G12),48,0),"")</f>
        <v/>
      </c>
      <c r="I12" s="22" t="str">
        <f aca="false">IF(AND(ISNUMBER(F12),ISNUMBER(G12)),IF(D12=F12,15,0),"")</f>
        <v/>
      </c>
      <c r="J12" s="22" t="str">
        <f aca="false">IF(AND(ISNUMBER(F12),ISNUMBER(G12)),IF(E12=G12,15,0),"")</f>
        <v/>
      </c>
      <c r="K12" s="22" t="str">
        <f aca="false">IF(AND(ISNUMBER(F12),ISNUMBER(G12)),IF(ABS(D12-E12)=ABS(F12-G12),12,0),"")</f>
        <v/>
      </c>
      <c r="L12" s="23" t="str">
        <f aca="false">IF(ISNUMBER(H12),H12+I12+J12+K12,"")</f>
        <v/>
      </c>
    </row>
    <row r="13" customFormat="false" ht="18" hidden="false" customHeight="true" outlineLevel="0" collapsed="false">
      <c r="A13" s="17" t="s">
        <v>9</v>
      </c>
      <c r="B13" s="18" t="s">
        <v>147</v>
      </c>
      <c r="C13" s="19" t="s">
        <v>45</v>
      </c>
      <c r="D13" s="20" t="n">
        <v>1</v>
      </c>
      <c r="E13" s="20" t="n">
        <v>1</v>
      </c>
      <c r="F13" s="21" t="n">
        <f aca="false">'📋 Matches'!E13</f>
        <v>0</v>
      </c>
      <c r="G13" s="21" t="n">
        <f aca="false">'📋 Matches'!F13</f>
        <v>0</v>
      </c>
      <c r="H13" s="22" t="str">
        <f aca="false">IF(AND(ISNUMBER(F13),ISNUMBER(G13)),IF(SIGN(D13-E13)=SIGN(F13-G13),48,0),"")</f>
        <v/>
      </c>
      <c r="I13" s="22" t="str">
        <f aca="false">IF(AND(ISNUMBER(F13),ISNUMBER(G13)),IF(D13=F13,15,0),"")</f>
        <v/>
      </c>
      <c r="J13" s="22" t="str">
        <f aca="false">IF(AND(ISNUMBER(F13),ISNUMBER(G13)),IF(E13=G13,15,0),"")</f>
        <v/>
      </c>
      <c r="K13" s="22" t="str">
        <f aca="false">IF(AND(ISNUMBER(F13),ISNUMBER(G13)),IF(ABS(D13-E13)=ABS(F13-G13),12,0),"")</f>
        <v/>
      </c>
      <c r="L13" s="23" t="str">
        <f aca="false">IF(ISNUMBER(H13),H13+I13+J13+K13,"")</f>
        <v/>
      </c>
    </row>
    <row r="14" customFormat="false" ht="18" hidden="false" customHeight="true" outlineLevel="0" collapsed="false">
      <c r="A14" s="17" t="s">
        <v>9</v>
      </c>
      <c r="B14" s="18" t="s">
        <v>147</v>
      </c>
      <c r="C14" s="19" t="s">
        <v>48</v>
      </c>
      <c r="D14" s="20" t="n">
        <v>3</v>
      </c>
      <c r="E14" s="20" t="n">
        <v>0</v>
      </c>
      <c r="F14" s="21" t="n">
        <f aca="false">'📋 Matches'!E14</f>
        <v>0</v>
      </c>
      <c r="G14" s="21" t="n">
        <f aca="false">'📋 Matches'!F14</f>
        <v>0</v>
      </c>
      <c r="H14" s="22" t="str">
        <f aca="false">IF(AND(ISNUMBER(F14),ISNUMBER(G14)),IF(SIGN(D14-E14)=SIGN(F14-G14),48,0),"")</f>
        <v/>
      </c>
      <c r="I14" s="22" t="str">
        <f aca="false">IF(AND(ISNUMBER(F14),ISNUMBER(G14)),IF(D14=F14,15,0),"")</f>
        <v/>
      </c>
      <c r="J14" s="22" t="str">
        <f aca="false">IF(AND(ISNUMBER(F14),ISNUMBER(G14)),IF(E14=G14,15,0),"")</f>
        <v/>
      </c>
      <c r="K14" s="22" t="str">
        <f aca="false">IF(AND(ISNUMBER(F14),ISNUMBER(G14)),IF(ABS(D14-E14)=ABS(F14-G14),12,0),"")</f>
        <v/>
      </c>
      <c r="L14" s="23" t="str">
        <f aca="false">IF(ISNUMBER(H14),H14+I14+J14+K14,"")</f>
        <v/>
      </c>
    </row>
    <row r="15" customFormat="false" ht="18" hidden="false" customHeight="true" outlineLevel="0" collapsed="false">
      <c r="A15" s="17" t="s">
        <v>9</v>
      </c>
      <c r="B15" s="18" t="s">
        <v>147</v>
      </c>
      <c r="C15" s="19" t="s">
        <v>51</v>
      </c>
      <c r="D15" s="20" t="n">
        <v>5</v>
      </c>
      <c r="E15" s="20" t="n">
        <v>1</v>
      </c>
      <c r="F15" s="21" t="n">
        <f aca="false">'📋 Matches'!E15</f>
        <v>0</v>
      </c>
      <c r="G15" s="21" t="n">
        <f aca="false">'📋 Matches'!F15</f>
        <v>0</v>
      </c>
      <c r="H15" s="22" t="str">
        <f aca="false">IF(AND(ISNUMBER(F15),ISNUMBER(G15)),IF(SIGN(D15-E15)=SIGN(F15-G15),48,0),"")</f>
        <v/>
      </c>
      <c r="I15" s="22" t="str">
        <f aca="false">IF(AND(ISNUMBER(F15),ISNUMBER(G15)),IF(D15=F15,15,0),"")</f>
        <v/>
      </c>
      <c r="J15" s="22" t="str">
        <f aca="false">IF(AND(ISNUMBER(F15),ISNUMBER(G15)),IF(E15=G15,15,0),"")</f>
        <v/>
      </c>
      <c r="K15" s="22" t="str">
        <f aca="false">IF(AND(ISNUMBER(F15),ISNUMBER(G15)),IF(ABS(D15-E15)=ABS(F15-G15),12,0),"")</f>
        <v/>
      </c>
      <c r="L15" s="23" t="str">
        <f aca="false">IF(ISNUMBER(H15),H15+I15+J15+K15,"")</f>
        <v/>
      </c>
    </row>
    <row r="16" customFormat="false" ht="18" hidden="false" customHeight="true" outlineLevel="0" collapsed="false">
      <c r="A16" s="17" t="s">
        <v>9</v>
      </c>
      <c r="B16" s="18" t="s">
        <v>147</v>
      </c>
      <c r="C16" s="19" t="s">
        <v>54</v>
      </c>
      <c r="D16" s="20" t="n">
        <v>2</v>
      </c>
      <c r="E16" s="20" t="n">
        <v>1</v>
      </c>
      <c r="F16" s="21" t="n">
        <f aca="false">'📋 Matches'!E16</f>
        <v>0</v>
      </c>
      <c r="G16" s="21" t="n">
        <f aca="false">'📋 Matches'!F16</f>
        <v>0</v>
      </c>
      <c r="H16" s="22" t="str">
        <f aca="false">IF(AND(ISNUMBER(F16),ISNUMBER(G16)),IF(SIGN(D16-E16)=SIGN(F16-G16),48,0),"")</f>
        <v/>
      </c>
      <c r="I16" s="22" t="str">
        <f aca="false">IF(AND(ISNUMBER(F16),ISNUMBER(G16)),IF(D16=F16,15,0),"")</f>
        <v/>
      </c>
      <c r="J16" s="22" t="str">
        <f aca="false">IF(AND(ISNUMBER(F16),ISNUMBER(G16)),IF(E16=G16,15,0),"")</f>
        <v/>
      </c>
      <c r="K16" s="22" t="str">
        <f aca="false">IF(AND(ISNUMBER(F16),ISNUMBER(G16)),IF(ABS(D16-E16)=ABS(F16-G16),12,0),"")</f>
        <v/>
      </c>
      <c r="L16" s="23" t="str">
        <f aca="false">IF(ISNUMBER(H16),H16+I16+J16+K16,"")</f>
        <v/>
      </c>
    </row>
    <row r="17" customFormat="false" ht="18" hidden="false" customHeight="true" outlineLevel="0" collapsed="false">
      <c r="A17" s="17" t="s">
        <v>9</v>
      </c>
      <c r="B17" s="18" t="s">
        <v>147</v>
      </c>
      <c r="C17" s="19" t="s">
        <v>57</v>
      </c>
      <c r="D17" s="20" t="n">
        <v>0</v>
      </c>
      <c r="E17" s="20" t="n">
        <v>1</v>
      </c>
      <c r="F17" s="21" t="n">
        <f aca="false">'📋 Matches'!E17</f>
        <v>0</v>
      </c>
      <c r="G17" s="21" t="n">
        <f aca="false">'📋 Matches'!F17</f>
        <v>0</v>
      </c>
      <c r="H17" s="22" t="str">
        <f aca="false">IF(AND(ISNUMBER(F17),ISNUMBER(G17)),IF(SIGN(D17-E17)=SIGN(F17-G17),48,0),"")</f>
        <v/>
      </c>
      <c r="I17" s="22" t="str">
        <f aca="false">IF(AND(ISNUMBER(F17),ISNUMBER(G17)),IF(D17=F17,15,0),"")</f>
        <v/>
      </c>
      <c r="J17" s="22" t="str">
        <f aca="false">IF(AND(ISNUMBER(F17),ISNUMBER(G17)),IF(E17=G17,15,0),"")</f>
        <v/>
      </c>
      <c r="K17" s="22" t="str">
        <f aca="false">IF(AND(ISNUMBER(F17),ISNUMBER(G17)),IF(ABS(D17-E17)=ABS(F17-G17),12,0),"")</f>
        <v/>
      </c>
      <c r="L17" s="23" t="str">
        <f aca="false">IF(ISNUMBER(H17),H17+I17+J17+K17,"")</f>
        <v/>
      </c>
    </row>
    <row r="18" customFormat="false" ht="18" hidden="false" customHeight="true" outlineLevel="0" collapsed="false">
      <c r="A18" s="17" t="s">
        <v>9</v>
      </c>
      <c r="B18" s="18" t="s">
        <v>147</v>
      </c>
      <c r="C18" s="19" t="s">
        <v>60</v>
      </c>
      <c r="D18" s="20" t="n">
        <v>3</v>
      </c>
      <c r="E18" s="20" t="n">
        <v>2</v>
      </c>
      <c r="F18" s="21" t="n">
        <f aca="false">'📋 Matches'!E18</f>
        <v>0</v>
      </c>
      <c r="G18" s="21" t="n">
        <f aca="false">'📋 Matches'!F18</f>
        <v>0</v>
      </c>
      <c r="H18" s="22" t="str">
        <f aca="false">IF(AND(ISNUMBER(F18),ISNUMBER(G18)),IF(SIGN(D18-E18)=SIGN(F18-G18),48,0),"")</f>
        <v/>
      </c>
      <c r="I18" s="22" t="str">
        <f aca="false">IF(AND(ISNUMBER(F18),ISNUMBER(G18)),IF(D18=F18,15,0),"")</f>
        <v/>
      </c>
      <c r="J18" s="22" t="str">
        <f aca="false">IF(AND(ISNUMBER(F18),ISNUMBER(G18)),IF(E18=G18,15,0),"")</f>
        <v/>
      </c>
      <c r="K18" s="22" t="str">
        <f aca="false">IF(AND(ISNUMBER(F18),ISNUMBER(G18)),IF(ABS(D18-E18)=ABS(F18-G18),12,0),"")</f>
        <v/>
      </c>
      <c r="L18" s="23" t="str">
        <f aca="false">IF(ISNUMBER(H18),H18+I18+J18+K18,"")</f>
        <v/>
      </c>
    </row>
    <row r="19" customFormat="false" ht="18" hidden="false" customHeight="true" outlineLevel="0" collapsed="false">
      <c r="A19" s="17" t="s">
        <v>9</v>
      </c>
      <c r="B19" s="18" t="s">
        <v>147</v>
      </c>
      <c r="C19" s="19" t="s">
        <v>63</v>
      </c>
      <c r="D19" s="20" t="n">
        <v>0</v>
      </c>
      <c r="E19" s="20" t="n">
        <v>6</v>
      </c>
      <c r="F19" s="21" t="n">
        <f aca="false">'📋 Matches'!E19</f>
        <v>0</v>
      </c>
      <c r="G19" s="21" t="n">
        <f aca="false">'📋 Matches'!F19</f>
        <v>0</v>
      </c>
      <c r="H19" s="22" t="str">
        <f aca="false">IF(AND(ISNUMBER(F19),ISNUMBER(G19)),IF(SIGN(D19-E19)=SIGN(F19-G19),48,0),"")</f>
        <v/>
      </c>
      <c r="I19" s="22" t="str">
        <f aca="false">IF(AND(ISNUMBER(F19),ISNUMBER(G19)),IF(D19=F19,15,0),"")</f>
        <v/>
      </c>
      <c r="J19" s="22" t="str">
        <f aca="false">IF(AND(ISNUMBER(F19),ISNUMBER(G19)),IF(E19=G19,15,0),"")</f>
        <v/>
      </c>
      <c r="K19" s="22" t="str">
        <f aca="false">IF(AND(ISNUMBER(F19),ISNUMBER(G19)),IF(ABS(D19-E19)=ABS(F19-G19),12,0),"")</f>
        <v/>
      </c>
      <c r="L19" s="23" t="str">
        <f aca="false">IF(ISNUMBER(H19),H19+I19+J19+K19,"")</f>
        <v/>
      </c>
    </row>
    <row r="20" customFormat="false" ht="18" hidden="false" customHeight="true" outlineLevel="0" collapsed="false">
      <c r="A20" s="17" t="s">
        <v>9</v>
      </c>
      <c r="B20" s="18" t="s">
        <v>147</v>
      </c>
      <c r="C20" s="19" t="s">
        <v>66</v>
      </c>
      <c r="D20" s="20" t="n">
        <v>2</v>
      </c>
      <c r="E20" s="20" t="n">
        <v>0</v>
      </c>
      <c r="F20" s="21" t="n">
        <f aca="false">'📋 Matches'!E20</f>
        <v>0</v>
      </c>
      <c r="G20" s="21" t="n">
        <f aca="false">'📋 Matches'!F20</f>
        <v>0</v>
      </c>
      <c r="H20" s="22" t="str">
        <f aca="false">IF(AND(ISNUMBER(F20),ISNUMBER(G20)),IF(SIGN(D20-E20)=SIGN(F20-G20),48,0),"")</f>
        <v/>
      </c>
      <c r="I20" s="22" t="str">
        <f aca="false">IF(AND(ISNUMBER(F20),ISNUMBER(G20)),IF(D20=F20,15,0),"")</f>
        <v/>
      </c>
      <c r="J20" s="22" t="str">
        <f aca="false">IF(AND(ISNUMBER(F20),ISNUMBER(G20)),IF(E20=G20,15,0),"")</f>
        <v/>
      </c>
      <c r="K20" s="22" t="str">
        <f aca="false">IF(AND(ISNUMBER(F20),ISNUMBER(G20)),IF(ABS(D20-E20)=ABS(F20-G20),12,0),"")</f>
        <v/>
      </c>
      <c r="L20" s="23" t="str">
        <f aca="false">IF(ISNUMBER(H20),H20+I20+J20+K20,"")</f>
        <v/>
      </c>
    </row>
    <row r="21" customFormat="false" ht="18" hidden="false" customHeight="true" outlineLevel="0" collapsed="false">
      <c r="A21" s="17" t="s">
        <v>9</v>
      </c>
      <c r="B21" s="18" t="s">
        <v>147</v>
      </c>
      <c r="C21" s="19" t="s">
        <v>69</v>
      </c>
      <c r="D21" s="20" t="n">
        <v>1</v>
      </c>
      <c r="E21" s="20" t="n">
        <v>0</v>
      </c>
      <c r="F21" s="21" t="n">
        <f aca="false">'📋 Matches'!E21</f>
        <v>0</v>
      </c>
      <c r="G21" s="21" t="n">
        <f aca="false">'📋 Matches'!F21</f>
        <v>0</v>
      </c>
      <c r="H21" s="22" t="str">
        <f aca="false">IF(AND(ISNUMBER(F21),ISNUMBER(G21)),IF(SIGN(D21-E21)=SIGN(F21-G21),48,0),"")</f>
        <v/>
      </c>
      <c r="I21" s="22" t="str">
        <f aca="false">IF(AND(ISNUMBER(F21),ISNUMBER(G21)),IF(D21=F21,15,0),"")</f>
        <v/>
      </c>
      <c r="J21" s="22" t="str">
        <f aca="false">IF(AND(ISNUMBER(F21),ISNUMBER(G21)),IF(E21=G21,15,0),"")</f>
        <v/>
      </c>
      <c r="K21" s="22" t="str">
        <f aca="false">IF(AND(ISNUMBER(F21),ISNUMBER(G21)),IF(ABS(D21-E21)=ABS(F21-G21),12,0),"")</f>
        <v/>
      </c>
      <c r="L21" s="23" t="str">
        <f aca="false">IF(ISNUMBER(H21),H21+I21+J21+K21,"")</f>
        <v/>
      </c>
    </row>
    <row r="22" customFormat="false" ht="18" hidden="false" customHeight="true" outlineLevel="0" collapsed="false">
      <c r="A22" s="17" t="s">
        <v>9</v>
      </c>
      <c r="B22" s="18" t="s">
        <v>147</v>
      </c>
      <c r="C22" s="19" t="s">
        <v>72</v>
      </c>
      <c r="D22" s="20" t="n">
        <v>3</v>
      </c>
      <c r="E22" s="20" t="n">
        <v>1</v>
      </c>
      <c r="F22" s="21" t="n">
        <f aca="false">'📋 Matches'!E22</f>
        <v>0</v>
      </c>
      <c r="G22" s="21" t="n">
        <f aca="false">'📋 Matches'!F22</f>
        <v>0</v>
      </c>
      <c r="H22" s="22" t="str">
        <f aca="false">IF(AND(ISNUMBER(F22),ISNUMBER(G22)),IF(SIGN(D22-E22)=SIGN(F22-G22),48,0),"")</f>
        <v/>
      </c>
      <c r="I22" s="22" t="str">
        <f aca="false">IF(AND(ISNUMBER(F22),ISNUMBER(G22)),IF(D22=F22,15,0),"")</f>
        <v/>
      </c>
      <c r="J22" s="22" t="str">
        <f aca="false">IF(AND(ISNUMBER(F22),ISNUMBER(G22)),IF(E22=G22,15,0),"")</f>
        <v/>
      </c>
      <c r="K22" s="22" t="str">
        <f aca="false">IF(AND(ISNUMBER(F22),ISNUMBER(G22)),IF(ABS(D22-E22)=ABS(F22-G22),12,0),"")</f>
        <v/>
      </c>
      <c r="L22" s="23" t="str">
        <f aca="false">IF(ISNUMBER(H22),H22+I22+J22+K22,"")</f>
        <v/>
      </c>
    </row>
    <row r="23" customFormat="false" ht="18" hidden="false" customHeight="true" outlineLevel="0" collapsed="false">
      <c r="A23" s="17" t="s">
        <v>9</v>
      </c>
      <c r="B23" s="18" t="s">
        <v>147</v>
      </c>
      <c r="C23" s="19" t="s">
        <v>75</v>
      </c>
      <c r="D23" s="20" t="n">
        <v>2</v>
      </c>
      <c r="E23" s="20" t="n">
        <v>1</v>
      </c>
      <c r="F23" s="21" t="n">
        <f aca="false">'📋 Matches'!E23</f>
        <v>0</v>
      </c>
      <c r="G23" s="21" t="n">
        <f aca="false">'📋 Matches'!F23</f>
        <v>0</v>
      </c>
      <c r="H23" s="22" t="str">
        <f aca="false">IF(AND(ISNUMBER(F23),ISNUMBER(G23)),IF(SIGN(D23-E23)=SIGN(F23-G23),48,0),"")</f>
        <v/>
      </c>
      <c r="I23" s="22" t="str">
        <f aca="false">IF(AND(ISNUMBER(F23),ISNUMBER(G23)),IF(D23=F23,15,0),"")</f>
        <v/>
      </c>
      <c r="J23" s="22" t="str">
        <f aca="false">IF(AND(ISNUMBER(F23),ISNUMBER(G23)),IF(E23=G23,15,0),"")</f>
        <v/>
      </c>
      <c r="K23" s="22" t="str">
        <f aca="false">IF(AND(ISNUMBER(F23),ISNUMBER(G23)),IF(ABS(D23-E23)=ABS(F23-G23),12,0),"")</f>
        <v/>
      </c>
      <c r="L23" s="23" t="str">
        <f aca="false">IF(ISNUMBER(H23),H23+I23+J23+K23,"")</f>
        <v/>
      </c>
    </row>
    <row r="24" customFormat="false" ht="18" hidden="false" customHeight="true" outlineLevel="0" collapsed="false">
      <c r="A24" s="17" t="s">
        <v>9</v>
      </c>
      <c r="B24" s="18" t="s">
        <v>147</v>
      </c>
      <c r="C24" s="19" t="s">
        <v>78</v>
      </c>
      <c r="D24" s="20" t="n">
        <v>3</v>
      </c>
      <c r="E24" s="20" t="n">
        <v>0</v>
      </c>
      <c r="F24" s="21" t="n">
        <f aca="false">'📋 Matches'!E24</f>
        <v>0</v>
      </c>
      <c r="G24" s="21" t="n">
        <f aca="false">'📋 Matches'!F24</f>
        <v>0</v>
      </c>
      <c r="H24" s="22" t="str">
        <f aca="false">IF(AND(ISNUMBER(F24),ISNUMBER(G24)),IF(SIGN(D24-E24)=SIGN(F24-G24),48,0),"")</f>
        <v/>
      </c>
      <c r="I24" s="22" t="str">
        <f aca="false">IF(AND(ISNUMBER(F24),ISNUMBER(G24)),IF(D24=F24,15,0),"")</f>
        <v/>
      </c>
      <c r="J24" s="22" t="str">
        <f aca="false">IF(AND(ISNUMBER(F24),ISNUMBER(G24)),IF(E24=G24,15,0),"")</f>
        <v/>
      </c>
      <c r="K24" s="22" t="str">
        <f aca="false">IF(AND(ISNUMBER(F24),ISNUMBER(G24)),IF(ABS(D24-E24)=ABS(F24-G24),12,0),"")</f>
        <v/>
      </c>
      <c r="L24" s="23" t="str">
        <f aca="false">IF(ISNUMBER(H24),H24+I24+J24+K24,"")</f>
        <v/>
      </c>
    </row>
    <row r="25" customFormat="false" ht="18" hidden="false" customHeight="true" outlineLevel="0" collapsed="false">
      <c r="A25" s="17" t="s">
        <v>9</v>
      </c>
      <c r="B25" s="18" t="s">
        <v>147</v>
      </c>
      <c r="C25" s="19" t="s">
        <v>81</v>
      </c>
      <c r="D25" s="20" t="n">
        <v>1</v>
      </c>
      <c r="E25" s="20" t="n">
        <v>1</v>
      </c>
      <c r="F25" s="21" t="n">
        <f aca="false">'📋 Matches'!E25</f>
        <v>0</v>
      </c>
      <c r="G25" s="21" t="n">
        <f aca="false">'📋 Matches'!F25</f>
        <v>0</v>
      </c>
      <c r="H25" s="22" t="str">
        <f aca="false">IF(AND(ISNUMBER(F25),ISNUMBER(G25)),IF(SIGN(D25-E25)=SIGN(F25-G25),48,0),"")</f>
        <v/>
      </c>
      <c r="I25" s="22" t="str">
        <f aca="false">IF(AND(ISNUMBER(F25),ISNUMBER(G25)),IF(D25=F25,15,0),"")</f>
        <v/>
      </c>
      <c r="J25" s="22" t="str">
        <f aca="false">IF(AND(ISNUMBER(F25),ISNUMBER(G25)),IF(E25=G25,15,0),"")</f>
        <v/>
      </c>
      <c r="K25" s="22" t="str">
        <f aca="false">IF(AND(ISNUMBER(F25),ISNUMBER(G25)),IF(ABS(D25-E25)=ABS(F25-G25),12,0),"")</f>
        <v/>
      </c>
      <c r="L25" s="23" t="str">
        <f aca="false">IF(ISNUMBER(H25),H25+I25+J25+K25,"")</f>
        <v/>
      </c>
    </row>
    <row r="26" customFormat="false" ht="18" hidden="false" customHeight="true" outlineLevel="0" collapsed="false">
      <c r="A26" s="17" t="s">
        <v>84</v>
      </c>
      <c r="B26" s="18" t="s">
        <v>147</v>
      </c>
      <c r="C26" s="19" t="s">
        <v>85</v>
      </c>
      <c r="D26" s="20"/>
      <c r="E26" s="20"/>
      <c r="F26" s="21" t="n">
        <f aca="false">'📋 Matches'!E26</f>
        <v>0</v>
      </c>
      <c r="G26" s="21" t="n">
        <f aca="false">'📋 Matches'!F26</f>
        <v>0</v>
      </c>
      <c r="H26" s="24" t="s">
        <v>148</v>
      </c>
      <c r="I26" s="24" t="s">
        <v>148</v>
      </c>
      <c r="J26" s="24" t="s">
        <v>148</v>
      </c>
      <c r="K26" s="24" t="s">
        <v>148</v>
      </c>
      <c r="L26" s="24" t="s">
        <v>148</v>
      </c>
    </row>
    <row r="27" customFormat="false" ht="18" hidden="false" customHeight="true" outlineLevel="0" collapsed="false">
      <c r="A27" s="17" t="s">
        <v>84</v>
      </c>
      <c r="B27" s="18" t="s">
        <v>147</v>
      </c>
      <c r="C27" s="19" t="s">
        <v>87</v>
      </c>
      <c r="D27" s="20"/>
      <c r="E27" s="20"/>
      <c r="F27" s="21" t="n">
        <f aca="false">'📋 Matches'!E27</f>
        <v>0</v>
      </c>
      <c r="G27" s="21" t="n">
        <f aca="false">'📋 Matches'!F27</f>
        <v>0</v>
      </c>
      <c r="H27" s="24" t="s">
        <v>148</v>
      </c>
      <c r="I27" s="24" t="s">
        <v>148</v>
      </c>
      <c r="J27" s="24" t="s">
        <v>148</v>
      </c>
      <c r="K27" s="24" t="s">
        <v>148</v>
      </c>
      <c r="L27" s="24" t="s">
        <v>148</v>
      </c>
    </row>
    <row r="28" customFormat="false" ht="18" hidden="false" customHeight="true" outlineLevel="0" collapsed="false">
      <c r="A28" s="17" t="s">
        <v>84</v>
      </c>
      <c r="B28" s="18" t="s">
        <v>147</v>
      </c>
      <c r="C28" s="19" t="s">
        <v>89</v>
      </c>
      <c r="D28" s="20"/>
      <c r="E28" s="20"/>
      <c r="F28" s="21" t="n">
        <f aca="false">'📋 Matches'!E28</f>
        <v>0</v>
      </c>
      <c r="G28" s="21" t="n">
        <f aca="false">'📋 Matches'!F28</f>
        <v>0</v>
      </c>
      <c r="H28" s="24" t="s">
        <v>148</v>
      </c>
      <c r="I28" s="24" t="s">
        <v>148</v>
      </c>
      <c r="J28" s="24" t="s">
        <v>148</v>
      </c>
      <c r="K28" s="24" t="s">
        <v>148</v>
      </c>
      <c r="L28" s="24" t="s">
        <v>148</v>
      </c>
    </row>
    <row r="29" customFormat="false" ht="18" hidden="false" customHeight="true" outlineLevel="0" collapsed="false">
      <c r="A29" s="17" t="s">
        <v>84</v>
      </c>
      <c r="B29" s="18" t="s">
        <v>147</v>
      </c>
      <c r="C29" s="19" t="s">
        <v>90</v>
      </c>
      <c r="D29" s="20"/>
      <c r="E29" s="20"/>
      <c r="F29" s="21" t="n">
        <f aca="false">'📋 Matches'!E29</f>
        <v>0</v>
      </c>
      <c r="G29" s="21" t="n">
        <f aca="false">'📋 Matches'!F29</f>
        <v>0</v>
      </c>
      <c r="H29" s="24" t="s">
        <v>148</v>
      </c>
      <c r="I29" s="24" t="s">
        <v>148</v>
      </c>
      <c r="J29" s="24" t="s">
        <v>148</v>
      </c>
      <c r="K29" s="24" t="s">
        <v>148</v>
      </c>
      <c r="L29" s="24" t="s">
        <v>148</v>
      </c>
    </row>
    <row r="30" customFormat="false" ht="18" hidden="false" customHeight="true" outlineLevel="0" collapsed="false">
      <c r="A30" s="17" t="s">
        <v>84</v>
      </c>
      <c r="B30" s="18" t="s">
        <v>147</v>
      </c>
      <c r="C30" s="19" t="s">
        <v>91</v>
      </c>
      <c r="D30" s="20"/>
      <c r="E30" s="20"/>
      <c r="F30" s="21" t="n">
        <f aca="false">'📋 Matches'!E30</f>
        <v>0</v>
      </c>
      <c r="G30" s="21" t="n">
        <f aca="false">'📋 Matches'!F30</f>
        <v>0</v>
      </c>
      <c r="H30" s="24" t="s">
        <v>148</v>
      </c>
      <c r="I30" s="24" t="s">
        <v>148</v>
      </c>
      <c r="J30" s="24" t="s">
        <v>148</v>
      </c>
      <c r="K30" s="24" t="s">
        <v>148</v>
      </c>
      <c r="L30" s="24" t="s">
        <v>148</v>
      </c>
    </row>
    <row r="31" customFormat="false" ht="18" hidden="false" customHeight="true" outlineLevel="0" collapsed="false">
      <c r="A31" s="17" t="s">
        <v>84</v>
      </c>
      <c r="B31" s="18" t="s">
        <v>147</v>
      </c>
      <c r="C31" s="19" t="s">
        <v>92</v>
      </c>
      <c r="D31" s="20"/>
      <c r="E31" s="20"/>
      <c r="F31" s="21" t="n">
        <f aca="false">'📋 Matches'!E31</f>
        <v>0</v>
      </c>
      <c r="G31" s="21" t="n">
        <f aca="false">'📋 Matches'!F31</f>
        <v>0</v>
      </c>
      <c r="H31" s="24" t="s">
        <v>148</v>
      </c>
      <c r="I31" s="24" t="s">
        <v>148</v>
      </c>
      <c r="J31" s="24" t="s">
        <v>148</v>
      </c>
      <c r="K31" s="24" t="s">
        <v>148</v>
      </c>
      <c r="L31" s="24" t="s">
        <v>148</v>
      </c>
    </row>
    <row r="32" customFormat="false" ht="18" hidden="false" customHeight="true" outlineLevel="0" collapsed="false">
      <c r="A32" s="17" t="s">
        <v>84</v>
      </c>
      <c r="B32" s="18" t="s">
        <v>147</v>
      </c>
      <c r="C32" s="19" t="s">
        <v>93</v>
      </c>
      <c r="D32" s="20"/>
      <c r="E32" s="20"/>
      <c r="F32" s="21" t="n">
        <f aca="false">'📋 Matches'!E32</f>
        <v>0</v>
      </c>
      <c r="G32" s="21" t="n">
        <f aca="false">'📋 Matches'!F32</f>
        <v>0</v>
      </c>
      <c r="H32" s="24" t="s">
        <v>148</v>
      </c>
      <c r="I32" s="24" t="s">
        <v>148</v>
      </c>
      <c r="J32" s="24" t="s">
        <v>148</v>
      </c>
      <c r="K32" s="24" t="s">
        <v>148</v>
      </c>
      <c r="L32" s="24" t="s">
        <v>148</v>
      </c>
    </row>
    <row r="33" customFormat="false" ht="18" hidden="false" customHeight="true" outlineLevel="0" collapsed="false">
      <c r="A33" s="17" t="s">
        <v>84</v>
      </c>
      <c r="B33" s="18" t="s">
        <v>147</v>
      </c>
      <c r="C33" s="19" t="s">
        <v>94</v>
      </c>
      <c r="D33" s="20"/>
      <c r="E33" s="20"/>
      <c r="F33" s="21" t="n">
        <f aca="false">'📋 Matches'!E33</f>
        <v>0</v>
      </c>
      <c r="G33" s="21" t="n">
        <f aca="false">'📋 Matches'!F33</f>
        <v>0</v>
      </c>
      <c r="H33" s="24" t="s">
        <v>148</v>
      </c>
      <c r="I33" s="24" t="s">
        <v>148</v>
      </c>
      <c r="J33" s="24" t="s">
        <v>148</v>
      </c>
      <c r="K33" s="24" t="s">
        <v>148</v>
      </c>
      <c r="L33" s="24" t="s">
        <v>148</v>
      </c>
    </row>
    <row r="34" customFormat="false" ht="18" hidden="false" customHeight="true" outlineLevel="0" collapsed="false">
      <c r="A34" s="17" t="s">
        <v>84</v>
      </c>
      <c r="B34" s="18" t="s">
        <v>147</v>
      </c>
      <c r="C34" s="19" t="s">
        <v>96</v>
      </c>
      <c r="D34" s="20"/>
      <c r="E34" s="20"/>
      <c r="F34" s="21" t="n">
        <f aca="false">'📋 Matches'!E34</f>
        <v>0</v>
      </c>
      <c r="G34" s="21" t="n">
        <f aca="false">'📋 Matches'!F34</f>
        <v>0</v>
      </c>
      <c r="H34" s="24" t="s">
        <v>148</v>
      </c>
      <c r="I34" s="24" t="s">
        <v>148</v>
      </c>
      <c r="J34" s="24" t="s">
        <v>148</v>
      </c>
      <c r="K34" s="24" t="s">
        <v>148</v>
      </c>
      <c r="L34" s="24" t="s">
        <v>148</v>
      </c>
    </row>
    <row r="35" customFormat="false" ht="18" hidden="false" customHeight="true" outlineLevel="0" collapsed="false">
      <c r="A35" s="17" t="s">
        <v>84</v>
      </c>
      <c r="B35" s="18" t="s">
        <v>147</v>
      </c>
      <c r="C35" s="19" t="s">
        <v>97</v>
      </c>
      <c r="D35" s="20"/>
      <c r="E35" s="20"/>
      <c r="F35" s="21" t="n">
        <f aca="false">'📋 Matches'!E35</f>
        <v>0</v>
      </c>
      <c r="G35" s="21" t="n">
        <f aca="false">'📋 Matches'!F35</f>
        <v>0</v>
      </c>
      <c r="H35" s="24" t="s">
        <v>148</v>
      </c>
      <c r="I35" s="24" t="s">
        <v>148</v>
      </c>
      <c r="J35" s="24" t="s">
        <v>148</v>
      </c>
      <c r="K35" s="24" t="s">
        <v>148</v>
      </c>
      <c r="L35" s="24" t="s">
        <v>148</v>
      </c>
    </row>
    <row r="36" customFormat="false" ht="18" hidden="false" customHeight="true" outlineLevel="0" collapsed="false">
      <c r="A36" s="17" t="s">
        <v>84</v>
      </c>
      <c r="B36" s="18" t="s">
        <v>147</v>
      </c>
      <c r="C36" s="19" t="s">
        <v>98</v>
      </c>
      <c r="D36" s="20"/>
      <c r="E36" s="20"/>
      <c r="F36" s="21" t="n">
        <f aca="false">'📋 Matches'!E36</f>
        <v>0</v>
      </c>
      <c r="G36" s="21" t="n">
        <f aca="false">'📋 Matches'!F36</f>
        <v>0</v>
      </c>
      <c r="H36" s="24" t="s">
        <v>148</v>
      </c>
      <c r="I36" s="24" t="s">
        <v>148</v>
      </c>
      <c r="J36" s="24" t="s">
        <v>148</v>
      </c>
      <c r="K36" s="24" t="s">
        <v>148</v>
      </c>
      <c r="L36" s="24" t="s">
        <v>148</v>
      </c>
    </row>
    <row r="37" customFormat="false" ht="18" hidden="false" customHeight="true" outlineLevel="0" collapsed="false">
      <c r="A37" s="17" t="s">
        <v>84</v>
      </c>
      <c r="B37" s="18" t="s">
        <v>147</v>
      </c>
      <c r="C37" s="19" t="s">
        <v>100</v>
      </c>
      <c r="D37" s="20"/>
      <c r="E37" s="20"/>
      <c r="F37" s="21" t="n">
        <f aca="false">'📋 Matches'!E37</f>
        <v>0</v>
      </c>
      <c r="G37" s="21" t="n">
        <f aca="false">'📋 Matches'!F37</f>
        <v>0</v>
      </c>
      <c r="H37" s="24" t="s">
        <v>148</v>
      </c>
      <c r="I37" s="24" t="s">
        <v>148</v>
      </c>
      <c r="J37" s="24" t="s">
        <v>148</v>
      </c>
      <c r="K37" s="24" t="s">
        <v>148</v>
      </c>
      <c r="L37" s="24" t="s">
        <v>148</v>
      </c>
    </row>
    <row r="38" customFormat="false" ht="18" hidden="false" customHeight="true" outlineLevel="0" collapsed="false">
      <c r="A38" s="17" t="s">
        <v>84</v>
      </c>
      <c r="B38" s="18" t="s">
        <v>147</v>
      </c>
      <c r="C38" s="19" t="s">
        <v>101</v>
      </c>
      <c r="D38" s="20"/>
      <c r="E38" s="20"/>
      <c r="F38" s="21" t="n">
        <f aca="false">'📋 Matches'!E38</f>
        <v>0</v>
      </c>
      <c r="G38" s="21" t="n">
        <f aca="false">'📋 Matches'!F38</f>
        <v>0</v>
      </c>
      <c r="H38" s="24" t="s">
        <v>148</v>
      </c>
      <c r="I38" s="24" t="s">
        <v>148</v>
      </c>
      <c r="J38" s="24" t="s">
        <v>148</v>
      </c>
      <c r="K38" s="24" t="s">
        <v>148</v>
      </c>
      <c r="L38" s="24" t="s">
        <v>148</v>
      </c>
    </row>
    <row r="39" customFormat="false" ht="18" hidden="false" customHeight="true" outlineLevel="0" collapsed="false">
      <c r="A39" s="17" t="s">
        <v>84</v>
      </c>
      <c r="B39" s="18" t="s">
        <v>147</v>
      </c>
      <c r="C39" s="19" t="s">
        <v>102</v>
      </c>
      <c r="D39" s="20"/>
      <c r="E39" s="20"/>
      <c r="F39" s="21" t="n">
        <f aca="false">'📋 Matches'!E39</f>
        <v>0</v>
      </c>
      <c r="G39" s="21" t="n">
        <f aca="false">'📋 Matches'!F39</f>
        <v>0</v>
      </c>
      <c r="H39" s="24" t="s">
        <v>148</v>
      </c>
      <c r="I39" s="24" t="s">
        <v>148</v>
      </c>
      <c r="J39" s="24" t="s">
        <v>148</v>
      </c>
      <c r="K39" s="24" t="s">
        <v>148</v>
      </c>
      <c r="L39" s="24" t="s">
        <v>148</v>
      </c>
    </row>
    <row r="40" customFormat="false" ht="18" hidden="false" customHeight="true" outlineLevel="0" collapsed="false">
      <c r="A40" s="17" t="s">
        <v>84</v>
      </c>
      <c r="B40" s="18" t="s">
        <v>147</v>
      </c>
      <c r="C40" s="19" t="s">
        <v>103</v>
      </c>
      <c r="D40" s="20"/>
      <c r="E40" s="20"/>
      <c r="F40" s="21" t="n">
        <f aca="false">'📋 Matches'!E40</f>
        <v>0</v>
      </c>
      <c r="G40" s="21" t="n">
        <f aca="false">'📋 Matches'!F40</f>
        <v>0</v>
      </c>
      <c r="H40" s="24" t="s">
        <v>148</v>
      </c>
      <c r="I40" s="24" t="s">
        <v>148</v>
      </c>
      <c r="J40" s="24" t="s">
        <v>148</v>
      </c>
      <c r="K40" s="24" t="s">
        <v>148</v>
      </c>
      <c r="L40" s="24" t="s">
        <v>148</v>
      </c>
    </row>
    <row r="41" customFormat="false" ht="18" hidden="false" customHeight="true" outlineLevel="0" collapsed="false">
      <c r="A41" s="17" t="s">
        <v>84</v>
      </c>
      <c r="B41" s="18" t="s">
        <v>147</v>
      </c>
      <c r="C41" s="19" t="s">
        <v>104</v>
      </c>
      <c r="D41" s="20"/>
      <c r="E41" s="20"/>
      <c r="F41" s="21" t="n">
        <f aca="false">'📋 Matches'!E41</f>
        <v>0</v>
      </c>
      <c r="G41" s="21" t="n">
        <f aca="false">'📋 Matches'!F41</f>
        <v>0</v>
      </c>
      <c r="H41" s="24" t="s">
        <v>148</v>
      </c>
      <c r="I41" s="24" t="s">
        <v>148</v>
      </c>
      <c r="J41" s="24" t="s">
        <v>148</v>
      </c>
      <c r="K41" s="24" t="s">
        <v>148</v>
      </c>
      <c r="L41" s="24" t="s">
        <v>148</v>
      </c>
    </row>
    <row r="42" customFormat="false" ht="18" hidden="false" customHeight="true" outlineLevel="0" collapsed="false">
      <c r="A42" s="17" t="s">
        <v>84</v>
      </c>
      <c r="B42" s="18" t="s">
        <v>147</v>
      </c>
      <c r="C42" s="19" t="s">
        <v>105</v>
      </c>
      <c r="D42" s="20"/>
      <c r="E42" s="20"/>
      <c r="F42" s="21" t="n">
        <f aca="false">'📋 Matches'!E42</f>
        <v>0</v>
      </c>
      <c r="G42" s="21" t="n">
        <f aca="false">'📋 Matches'!F42</f>
        <v>0</v>
      </c>
      <c r="H42" s="24" t="s">
        <v>148</v>
      </c>
      <c r="I42" s="24" t="s">
        <v>148</v>
      </c>
      <c r="J42" s="24" t="s">
        <v>148</v>
      </c>
      <c r="K42" s="24" t="s">
        <v>148</v>
      </c>
      <c r="L42" s="24" t="s">
        <v>148</v>
      </c>
    </row>
    <row r="43" customFormat="false" ht="18" hidden="false" customHeight="true" outlineLevel="0" collapsed="false">
      <c r="A43" s="17" t="s">
        <v>84</v>
      </c>
      <c r="B43" s="18" t="s">
        <v>147</v>
      </c>
      <c r="C43" s="19" t="s">
        <v>106</v>
      </c>
      <c r="D43" s="20"/>
      <c r="E43" s="20"/>
      <c r="F43" s="21" t="n">
        <f aca="false">'📋 Matches'!E43</f>
        <v>0</v>
      </c>
      <c r="G43" s="21" t="n">
        <f aca="false">'📋 Matches'!F43</f>
        <v>0</v>
      </c>
      <c r="H43" s="24" t="s">
        <v>148</v>
      </c>
      <c r="I43" s="24" t="s">
        <v>148</v>
      </c>
      <c r="J43" s="24" t="s">
        <v>148</v>
      </c>
      <c r="K43" s="24" t="s">
        <v>148</v>
      </c>
      <c r="L43" s="24" t="s">
        <v>148</v>
      </c>
    </row>
    <row r="44" customFormat="false" ht="18" hidden="false" customHeight="true" outlineLevel="0" collapsed="false">
      <c r="A44" s="17" t="s">
        <v>84</v>
      </c>
      <c r="B44" s="18" t="s">
        <v>147</v>
      </c>
      <c r="C44" s="19" t="s">
        <v>107</v>
      </c>
      <c r="D44" s="20"/>
      <c r="E44" s="20"/>
      <c r="F44" s="21" t="n">
        <f aca="false">'📋 Matches'!E44</f>
        <v>0</v>
      </c>
      <c r="G44" s="21" t="n">
        <f aca="false">'📋 Matches'!F44</f>
        <v>0</v>
      </c>
      <c r="H44" s="24" t="s">
        <v>148</v>
      </c>
      <c r="I44" s="24" t="s">
        <v>148</v>
      </c>
      <c r="J44" s="24" t="s">
        <v>148</v>
      </c>
      <c r="K44" s="24" t="s">
        <v>148</v>
      </c>
      <c r="L44" s="24" t="s">
        <v>148</v>
      </c>
    </row>
    <row r="45" customFormat="false" ht="18" hidden="false" customHeight="true" outlineLevel="0" collapsed="false">
      <c r="A45" s="17" t="s">
        <v>84</v>
      </c>
      <c r="B45" s="18" t="s">
        <v>147</v>
      </c>
      <c r="C45" s="19" t="s">
        <v>108</v>
      </c>
      <c r="D45" s="20"/>
      <c r="E45" s="20"/>
      <c r="F45" s="21" t="n">
        <f aca="false">'📋 Matches'!E45</f>
        <v>0</v>
      </c>
      <c r="G45" s="21" t="n">
        <f aca="false">'📋 Matches'!F45</f>
        <v>0</v>
      </c>
      <c r="H45" s="24" t="s">
        <v>148</v>
      </c>
      <c r="I45" s="24" t="s">
        <v>148</v>
      </c>
      <c r="J45" s="24" t="s">
        <v>148</v>
      </c>
      <c r="K45" s="24" t="s">
        <v>148</v>
      </c>
      <c r="L45" s="24" t="s">
        <v>148</v>
      </c>
    </row>
    <row r="46" customFormat="false" ht="18" hidden="false" customHeight="true" outlineLevel="0" collapsed="false">
      <c r="A46" s="17" t="s">
        <v>84</v>
      </c>
      <c r="B46" s="18" t="s">
        <v>147</v>
      </c>
      <c r="C46" s="19" t="s">
        <v>109</v>
      </c>
      <c r="D46" s="20"/>
      <c r="E46" s="20"/>
      <c r="F46" s="21" t="n">
        <f aca="false">'📋 Matches'!E46</f>
        <v>0</v>
      </c>
      <c r="G46" s="21" t="n">
        <f aca="false">'📋 Matches'!F46</f>
        <v>0</v>
      </c>
      <c r="H46" s="24" t="s">
        <v>148</v>
      </c>
      <c r="I46" s="24" t="s">
        <v>148</v>
      </c>
      <c r="J46" s="24" t="s">
        <v>148</v>
      </c>
      <c r="K46" s="24" t="s">
        <v>148</v>
      </c>
      <c r="L46" s="24" t="s">
        <v>148</v>
      </c>
    </row>
    <row r="47" customFormat="false" ht="18" hidden="false" customHeight="true" outlineLevel="0" collapsed="false">
      <c r="A47" s="17" t="s">
        <v>84</v>
      </c>
      <c r="B47" s="18" t="s">
        <v>147</v>
      </c>
      <c r="C47" s="19" t="s">
        <v>110</v>
      </c>
      <c r="D47" s="20"/>
      <c r="E47" s="20"/>
      <c r="F47" s="21" t="n">
        <f aca="false">'📋 Matches'!E47</f>
        <v>0</v>
      </c>
      <c r="G47" s="21" t="n">
        <f aca="false">'📋 Matches'!F47</f>
        <v>0</v>
      </c>
      <c r="H47" s="24" t="s">
        <v>148</v>
      </c>
      <c r="I47" s="24" t="s">
        <v>148</v>
      </c>
      <c r="J47" s="24" t="s">
        <v>148</v>
      </c>
      <c r="K47" s="24" t="s">
        <v>148</v>
      </c>
      <c r="L47" s="24" t="s">
        <v>148</v>
      </c>
    </row>
    <row r="48" customFormat="false" ht="18" hidden="false" customHeight="true" outlineLevel="0" collapsed="false">
      <c r="A48" s="17" t="s">
        <v>84</v>
      </c>
      <c r="B48" s="18" t="s">
        <v>147</v>
      </c>
      <c r="C48" s="19" t="s">
        <v>111</v>
      </c>
      <c r="D48" s="20"/>
      <c r="E48" s="20"/>
      <c r="F48" s="21" t="n">
        <f aca="false">'📋 Matches'!E48</f>
        <v>0</v>
      </c>
      <c r="G48" s="21" t="n">
        <f aca="false">'📋 Matches'!F48</f>
        <v>0</v>
      </c>
      <c r="H48" s="24" t="s">
        <v>148</v>
      </c>
      <c r="I48" s="24" t="s">
        <v>148</v>
      </c>
      <c r="J48" s="24" t="s">
        <v>148</v>
      </c>
      <c r="K48" s="24" t="s">
        <v>148</v>
      </c>
      <c r="L48" s="24" t="s">
        <v>148</v>
      </c>
    </row>
    <row r="49" customFormat="false" ht="18" hidden="false" customHeight="true" outlineLevel="0" collapsed="false">
      <c r="A49" s="17" t="s">
        <v>84</v>
      </c>
      <c r="B49" s="18" t="s">
        <v>147</v>
      </c>
      <c r="C49" s="19" t="s">
        <v>112</v>
      </c>
      <c r="D49" s="20"/>
      <c r="E49" s="20"/>
      <c r="F49" s="21" t="n">
        <f aca="false">'📋 Matches'!E49</f>
        <v>0</v>
      </c>
      <c r="G49" s="21" t="n">
        <f aca="false">'📋 Matches'!F49</f>
        <v>0</v>
      </c>
      <c r="H49" s="24" t="s">
        <v>148</v>
      </c>
      <c r="I49" s="24" t="s">
        <v>148</v>
      </c>
      <c r="J49" s="24" t="s">
        <v>148</v>
      </c>
      <c r="K49" s="24" t="s">
        <v>148</v>
      </c>
      <c r="L49" s="24" t="s">
        <v>148</v>
      </c>
    </row>
    <row r="50" customFormat="false" ht="18" hidden="false" customHeight="true" outlineLevel="0" collapsed="false">
      <c r="A50" s="17" t="s">
        <v>114</v>
      </c>
      <c r="B50" s="18" t="s">
        <v>147</v>
      </c>
      <c r="C50" s="19" t="s">
        <v>115</v>
      </c>
      <c r="D50" s="20"/>
      <c r="E50" s="20"/>
      <c r="F50" s="21" t="n">
        <f aca="false">'📋 Matches'!E50</f>
        <v>0</v>
      </c>
      <c r="G50" s="21" t="n">
        <f aca="false">'📋 Matches'!F50</f>
        <v>0</v>
      </c>
      <c r="H50" s="24" t="s">
        <v>148</v>
      </c>
      <c r="I50" s="24" t="s">
        <v>148</v>
      </c>
      <c r="J50" s="24" t="s">
        <v>148</v>
      </c>
      <c r="K50" s="24" t="s">
        <v>148</v>
      </c>
      <c r="L50" s="24" t="s">
        <v>148</v>
      </c>
    </row>
    <row r="51" customFormat="false" ht="18" hidden="false" customHeight="true" outlineLevel="0" collapsed="false">
      <c r="A51" s="17" t="s">
        <v>114</v>
      </c>
      <c r="B51" s="18" t="s">
        <v>147</v>
      </c>
      <c r="C51" s="19" t="s">
        <v>116</v>
      </c>
      <c r="D51" s="20"/>
      <c r="E51" s="20"/>
      <c r="F51" s="21" t="n">
        <f aca="false">'📋 Matches'!E51</f>
        <v>0</v>
      </c>
      <c r="G51" s="21" t="n">
        <f aca="false">'📋 Matches'!F51</f>
        <v>0</v>
      </c>
      <c r="H51" s="24" t="s">
        <v>148</v>
      </c>
      <c r="I51" s="24" t="s">
        <v>148</v>
      </c>
      <c r="J51" s="24" t="s">
        <v>148</v>
      </c>
      <c r="K51" s="24" t="s">
        <v>148</v>
      </c>
      <c r="L51" s="24" t="s">
        <v>148</v>
      </c>
    </row>
    <row r="52" customFormat="false" ht="18" hidden="false" customHeight="true" outlineLevel="0" collapsed="false">
      <c r="A52" s="17" t="s">
        <v>114</v>
      </c>
      <c r="B52" s="18" t="s">
        <v>147</v>
      </c>
      <c r="C52" s="19" t="s">
        <v>117</v>
      </c>
      <c r="D52" s="20"/>
      <c r="E52" s="20"/>
      <c r="F52" s="21" t="n">
        <f aca="false">'📋 Matches'!E52</f>
        <v>0</v>
      </c>
      <c r="G52" s="21" t="n">
        <f aca="false">'📋 Matches'!F52</f>
        <v>0</v>
      </c>
      <c r="H52" s="24" t="s">
        <v>148</v>
      </c>
      <c r="I52" s="24" t="s">
        <v>148</v>
      </c>
      <c r="J52" s="24" t="s">
        <v>148</v>
      </c>
      <c r="K52" s="24" t="s">
        <v>148</v>
      </c>
      <c r="L52" s="24" t="s">
        <v>148</v>
      </c>
    </row>
    <row r="53" customFormat="false" ht="18" hidden="false" customHeight="true" outlineLevel="0" collapsed="false">
      <c r="A53" s="17" t="s">
        <v>114</v>
      </c>
      <c r="B53" s="18" t="s">
        <v>147</v>
      </c>
      <c r="C53" s="19" t="s">
        <v>118</v>
      </c>
      <c r="D53" s="20"/>
      <c r="E53" s="20"/>
      <c r="F53" s="21" t="n">
        <f aca="false">'📋 Matches'!E53</f>
        <v>0</v>
      </c>
      <c r="G53" s="21" t="n">
        <f aca="false">'📋 Matches'!F53</f>
        <v>0</v>
      </c>
      <c r="H53" s="24" t="s">
        <v>148</v>
      </c>
      <c r="I53" s="24" t="s">
        <v>148</v>
      </c>
      <c r="J53" s="24" t="s">
        <v>148</v>
      </c>
      <c r="K53" s="24" t="s">
        <v>148</v>
      </c>
      <c r="L53" s="24" t="s">
        <v>148</v>
      </c>
    </row>
    <row r="54" customFormat="false" ht="18" hidden="false" customHeight="true" outlineLevel="0" collapsed="false">
      <c r="A54" s="17" t="s">
        <v>114</v>
      </c>
      <c r="B54" s="18" t="s">
        <v>147</v>
      </c>
      <c r="C54" s="19" t="s">
        <v>119</v>
      </c>
      <c r="D54" s="20"/>
      <c r="E54" s="20"/>
      <c r="F54" s="21" t="n">
        <f aca="false">'📋 Matches'!E54</f>
        <v>0</v>
      </c>
      <c r="G54" s="21" t="n">
        <f aca="false">'📋 Matches'!F54</f>
        <v>0</v>
      </c>
      <c r="H54" s="24" t="s">
        <v>148</v>
      </c>
      <c r="I54" s="24" t="s">
        <v>148</v>
      </c>
      <c r="J54" s="24" t="s">
        <v>148</v>
      </c>
      <c r="K54" s="24" t="s">
        <v>148</v>
      </c>
      <c r="L54" s="24" t="s">
        <v>148</v>
      </c>
    </row>
    <row r="55" customFormat="false" ht="18" hidden="false" customHeight="true" outlineLevel="0" collapsed="false">
      <c r="A55" s="17" t="s">
        <v>114</v>
      </c>
      <c r="B55" s="18" t="s">
        <v>147</v>
      </c>
      <c r="C55" s="19" t="s">
        <v>120</v>
      </c>
      <c r="D55" s="20"/>
      <c r="E55" s="20"/>
      <c r="F55" s="21" t="n">
        <f aca="false">'📋 Matches'!E55</f>
        <v>0</v>
      </c>
      <c r="G55" s="21" t="n">
        <f aca="false">'📋 Matches'!F55</f>
        <v>0</v>
      </c>
      <c r="H55" s="24" t="s">
        <v>148</v>
      </c>
      <c r="I55" s="24" t="s">
        <v>148</v>
      </c>
      <c r="J55" s="24" t="s">
        <v>148</v>
      </c>
      <c r="K55" s="24" t="s">
        <v>148</v>
      </c>
      <c r="L55" s="24" t="s">
        <v>148</v>
      </c>
    </row>
    <row r="56" customFormat="false" ht="18" hidden="false" customHeight="true" outlineLevel="0" collapsed="false">
      <c r="A56" s="17" t="s">
        <v>114</v>
      </c>
      <c r="B56" s="18" t="s">
        <v>147</v>
      </c>
      <c r="C56" s="19" t="s">
        <v>121</v>
      </c>
      <c r="D56" s="20"/>
      <c r="E56" s="20"/>
      <c r="F56" s="21" t="n">
        <f aca="false">'📋 Matches'!E56</f>
        <v>0</v>
      </c>
      <c r="G56" s="21" t="n">
        <f aca="false">'📋 Matches'!F56</f>
        <v>0</v>
      </c>
      <c r="H56" s="24" t="s">
        <v>148</v>
      </c>
      <c r="I56" s="24" t="s">
        <v>148</v>
      </c>
      <c r="J56" s="24" t="s">
        <v>148</v>
      </c>
      <c r="K56" s="24" t="s">
        <v>148</v>
      </c>
      <c r="L56" s="24" t="s">
        <v>148</v>
      </c>
    </row>
    <row r="57" customFormat="false" ht="18" hidden="false" customHeight="true" outlineLevel="0" collapsed="false">
      <c r="A57" s="17" t="s">
        <v>114</v>
      </c>
      <c r="B57" s="18" t="s">
        <v>147</v>
      </c>
      <c r="C57" s="19" t="s">
        <v>122</v>
      </c>
      <c r="D57" s="20"/>
      <c r="E57" s="20"/>
      <c r="F57" s="21" t="n">
        <f aca="false">'📋 Matches'!E57</f>
        <v>0</v>
      </c>
      <c r="G57" s="21" t="n">
        <f aca="false">'📋 Matches'!F57</f>
        <v>0</v>
      </c>
      <c r="H57" s="24" t="s">
        <v>148</v>
      </c>
      <c r="I57" s="24" t="s">
        <v>148</v>
      </c>
      <c r="J57" s="24" t="s">
        <v>148</v>
      </c>
      <c r="K57" s="24" t="s">
        <v>148</v>
      </c>
      <c r="L57" s="24" t="s">
        <v>148</v>
      </c>
    </row>
    <row r="58" customFormat="false" ht="18" hidden="false" customHeight="true" outlineLevel="0" collapsed="false">
      <c r="A58" s="17" t="s">
        <v>114</v>
      </c>
      <c r="B58" s="18" t="s">
        <v>147</v>
      </c>
      <c r="C58" s="19" t="s">
        <v>123</v>
      </c>
      <c r="D58" s="20"/>
      <c r="E58" s="20"/>
      <c r="F58" s="21" t="n">
        <f aca="false">'📋 Matches'!E58</f>
        <v>0</v>
      </c>
      <c r="G58" s="21" t="n">
        <f aca="false">'📋 Matches'!F58</f>
        <v>0</v>
      </c>
      <c r="H58" s="24" t="s">
        <v>148</v>
      </c>
      <c r="I58" s="24" t="s">
        <v>148</v>
      </c>
      <c r="J58" s="24" t="s">
        <v>148</v>
      </c>
      <c r="K58" s="24" t="s">
        <v>148</v>
      </c>
      <c r="L58" s="24" t="s">
        <v>148</v>
      </c>
    </row>
    <row r="59" customFormat="false" ht="18" hidden="false" customHeight="true" outlineLevel="0" collapsed="false">
      <c r="A59" s="17" t="s">
        <v>114</v>
      </c>
      <c r="B59" s="18" t="s">
        <v>147</v>
      </c>
      <c r="C59" s="19" t="s">
        <v>124</v>
      </c>
      <c r="D59" s="20"/>
      <c r="E59" s="20"/>
      <c r="F59" s="21" t="n">
        <f aca="false">'📋 Matches'!E59</f>
        <v>0</v>
      </c>
      <c r="G59" s="21" t="n">
        <f aca="false">'📋 Matches'!F59</f>
        <v>0</v>
      </c>
      <c r="H59" s="24" t="s">
        <v>148</v>
      </c>
      <c r="I59" s="24" t="s">
        <v>148</v>
      </c>
      <c r="J59" s="24" t="s">
        <v>148</v>
      </c>
      <c r="K59" s="24" t="s">
        <v>148</v>
      </c>
      <c r="L59" s="24" t="s">
        <v>148</v>
      </c>
    </row>
    <row r="60" customFormat="false" ht="18" hidden="false" customHeight="true" outlineLevel="0" collapsed="false">
      <c r="A60" s="17" t="s">
        <v>114</v>
      </c>
      <c r="B60" s="18" t="s">
        <v>147</v>
      </c>
      <c r="C60" s="19" t="s">
        <v>125</v>
      </c>
      <c r="D60" s="20"/>
      <c r="E60" s="20"/>
      <c r="F60" s="21" t="n">
        <f aca="false">'📋 Matches'!E60</f>
        <v>0</v>
      </c>
      <c r="G60" s="21" t="n">
        <f aca="false">'📋 Matches'!F60</f>
        <v>0</v>
      </c>
      <c r="H60" s="24" t="s">
        <v>148</v>
      </c>
      <c r="I60" s="24" t="s">
        <v>148</v>
      </c>
      <c r="J60" s="24" t="s">
        <v>148</v>
      </c>
      <c r="K60" s="24" t="s">
        <v>148</v>
      </c>
      <c r="L60" s="24" t="s">
        <v>148</v>
      </c>
    </row>
    <row r="61" customFormat="false" ht="18" hidden="false" customHeight="true" outlineLevel="0" collapsed="false">
      <c r="A61" s="17" t="s">
        <v>114</v>
      </c>
      <c r="B61" s="18" t="s">
        <v>147</v>
      </c>
      <c r="C61" s="19" t="s">
        <v>126</v>
      </c>
      <c r="D61" s="20"/>
      <c r="E61" s="20"/>
      <c r="F61" s="21" t="n">
        <f aca="false">'📋 Matches'!E61</f>
        <v>0</v>
      </c>
      <c r="G61" s="21" t="n">
        <f aca="false">'📋 Matches'!F61</f>
        <v>0</v>
      </c>
      <c r="H61" s="24" t="s">
        <v>148</v>
      </c>
      <c r="I61" s="24" t="s">
        <v>148</v>
      </c>
      <c r="J61" s="24" t="s">
        <v>148</v>
      </c>
      <c r="K61" s="24" t="s">
        <v>148</v>
      </c>
      <c r="L61" s="24" t="s">
        <v>148</v>
      </c>
    </row>
    <row r="62" customFormat="false" ht="18" hidden="false" customHeight="true" outlineLevel="0" collapsed="false">
      <c r="A62" s="17" t="s">
        <v>114</v>
      </c>
      <c r="B62" s="18" t="s">
        <v>147</v>
      </c>
      <c r="C62" s="19" t="s">
        <v>127</v>
      </c>
      <c r="D62" s="20"/>
      <c r="E62" s="20"/>
      <c r="F62" s="21" t="n">
        <f aca="false">'📋 Matches'!E62</f>
        <v>0</v>
      </c>
      <c r="G62" s="21" t="n">
        <f aca="false">'📋 Matches'!F62</f>
        <v>0</v>
      </c>
      <c r="H62" s="24" t="s">
        <v>148</v>
      </c>
      <c r="I62" s="24" t="s">
        <v>148</v>
      </c>
      <c r="J62" s="24" t="s">
        <v>148</v>
      </c>
      <c r="K62" s="24" t="s">
        <v>148</v>
      </c>
      <c r="L62" s="24" t="s">
        <v>148</v>
      </c>
    </row>
    <row r="63" customFormat="false" ht="18" hidden="false" customHeight="true" outlineLevel="0" collapsed="false">
      <c r="A63" s="17" t="s">
        <v>114</v>
      </c>
      <c r="B63" s="18" t="s">
        <v>147</v>
      </c>
      <c r="C63" s="19" t="s">
        <v>128</v>
      </c>
      <c r="D63" s="20"/>
      <c r="E63" s="20"/>
      <c r="F63" s="21" t="n">
        <f aca="false">'📋 Matches'!E63</f>
        <v>0</v>
      </c>
      <c r="G63" s="21" t="n">
        <f aca="false">'📋 Matches'!F63</f>
        <v>0</v>
      </c>
      <c r="H63" s="24" t="s">
        <v>148</v>
      </c>
      <c r="I63" s="24" t="s">
        <v>148</v>
      </c>
      <c r="J63" s="24" t="s">
        <v>148</v>
      </c>
      <c r="K63" s="24" t="s">
        <v>148</v>
      </c>
      <c r="L63" s="24" t="s">
        <v>148</v>
      </c>
    </row>
    <row r="64" customFormat="false" ht="18" hidden="false" customHeight="true" outlineLevel="0" collapsed="false">
      <c r="A64" s="17" t="s">
        <v>114</v>
      </c>
      <c r="B64" s="18" t="s">
        <v>147</v>
      </c>
      <c r="C64" s="19" t="s">
        <v>129</v>
      </c>
      <c r="D64" s="20"/>
      <c r="E64" s="20"/>
      <c r="F64" s="21" t="n">
        <f aca="false">'📋 Matches'!E64</f>
        <v>0</v>
      </c>
      <c r="G64" s="21" t="n">
        <f aca="false">'📋 Matches'!F64</f>
        <v>0</v>
      </c>
      <c r="H64" s="24" t="s">
        <v>148</v>
      </c>
      <c r="I64" s="24" t="s">
        <v>148</v>
      </c>
      <c r="J64" s="24" t="s">
        <v>148</v>
      </c>
      <c r="K64" s="24" t="s">
        <v>148</v>
      </c>
      <c r="L64" s="24" t="s">
        <v>148</v>
      </c>
    </row>
    <row r="65" customFormat="false" ht="18" hidden="false" customHeight="true" outlineLevel="0" collapsed="false">
      <c r="A65" s="17" t="s">
        <v>114</v>
      </c>
      <c r="B65" s="18" t="s">
        <v>147</v>
      </c>
      <c r="C65" s="19" t="s">
        <v>130</v>
      </c>
      <c r="D65" s="20"/>
      <c r="E65" s="20"/>
      <c r="F65" s="21" t="n">
        <f aca="false">'📋 Matches'!E65</f>
        <v>0</v>
      </c>
      <c r="G65" s="21" t="n">
        <f aca="false">'📋 Matches'!F65</f>
        <v>0</v>
      </c>
      <c r="H65" s="24" t="s">
        <v>148</v>
      </c>
      <c r="I65" s="24" t="s">
        <v>148</v>
      </c>
      <c r="J65" s="24" t="s">
        <v>148</v>
      </c>
      <c r="K65" s="24" t="s">
        <v>148</v>
      </c>
      <c r="L65" s="24" t="s">
        <v>148</v>
      </c>
    </row>
    <row r="66" customFormat="false" ht="18" hidden="false" customHeight="true" outlineLevel="0" collapsed="false">
      <c r="A66" s="17" t="s">
        <v>114</v>
      </c>
      <c r="B66" s="18" t="s">
        <v>147</v>
      </c>
      <c r="C66" s="19" t="s">
        <v>131</v>
      </c>
      <c r="D66" s="20"/>
      <c r="E66" s="20"/>
      <c r="F66" s="21" t="n">
        <f aca="false">'📋 Matches'!E66</f>
        <v>0</v>
      </c>
      <c r="G66" s="21" t="n">
        <f aca="false">'📋 Matches'!F66</f>
        <v>0</v>
      </c>
      <c r="H66" s="24" t="s">
        <v>148</v>
      </c>
      <c r="I66" s="24" t="s">
        <v>148</v>
      </c>
      <c r="J66" s="24" t="s">
        <v>148</v>
      </c>
      <c r="K66" s="24" t="s">
        <v>148</v>
      </c>
      <c r="L66" s="24" t="s">
        <v>148</v>
      </c>
    </row>
    <row r="67" customFormat="false" ht="18" hidden="false" customHeight="true" outlineLevel="0" collapsed="false">
      <c r="A67" s="17" t="s">
        <v>114</v>
      </c>
      <c r="B67" s="18" t="s">
        <v>147</v>
      </c>
      <c r="C67" s="19" t="s">
        <v>132</v>
      </c>
      <c r="D67" s="20"/>
      <c r="E67" s="20"/>
      <c r="F67" s="21" t="n">
        <f aca="false">'📋 Matches'!E67</f>
        <v>0</v>
      </c>
      <c r="G67" s="21" t="n">
        <f aca="false">'📋 Matches'!F67</f>
        <v>0</v>
      </c>
      <c r="H67" s="24" t="s">
        <v>148</v>
      </c>
      <c r="I67" s="24" t="s">
        <v>148</v>
      </c>
      <c r="J67" s="24" t="s">
        <v>148</v>
      </c>
      <c r="K67" s="24" t="s">
        <v>148</v>
      </c>
      <c r="L67" s="24" t="s">
        <v>148</v>
      </c>
    </row>
    <row r="68" customFormat="false" ht="18" hidden="false" customHeight="true" outlineLevel="0" collapsed="false">
      <c r="A68" s="17" t="s">
        <v>114</v>
      </c>
      <c r="B68" s="18" t="s">
        <v>147</v>
      </c>
      <c r="C68" s="19" t="s">
        <v>133</v>
      </c>
      <c r="D68" s="20"/>
      <c r="E68" s="20"/>
      <c r="F68" s="21" t="n">
        <f aca="false">'📋 Matches'!E68</f>
        <v>0</v>
      </c>
      <c r="G68" s="21" t="n">
        <f aca="false">'📋 Matches'!F68</f>
        <v>0</v>
      </c>
      <c r="H68" s="24" t="s">
        <v>148</v>
      </c>
      <c r="I68" s="24" t="s">
        <v>148</v>
      </c>
      <c r="J68" s="24" t="s">
        <v>148</v>
      </c>
      <c r="K68" s="24" t="s">
        <v>148</v>
      </c>
      <c r="L68" s="24" t="s">
        <v>148</v>
      </c>
    </row>
    <row r="69" customFormat="false" ht="18" hidden="false" customHeight="true" outlineLevel="0" collapsed="false">
      <c r="A69" s="17" t="s">
        <v>114</v>
      </c>
      <c r="B69" s="18" t="s">
        <v>147</v>
      </c>
      <c r="C69" s="19" t="s">
        <v>134</v>
      </c>
      <c r="D69" s="20"/>
      <c r="E69" s="20"/>
      <c r="F69" s="21" t="n">
        <f aca="false">'📋 Matches'!E69</f>
        <v>0</v>
      </c>
      <c r="G69" s="21" t="n">
        <f aca="false">'📋 Matches'!F69</f>
        <v>0</v>
      </c>
      <c r="H69" s="24" t="s">
        <v>148</v>
      </c>
      <c r="I69" s="24" t="s">
        <v>148</v>
      </c>
      <c r="J69" s="24" t="s">
        <v>148</v>
      </c>
      <c r="K69" s="24" t="s">
        <v>148</v>
      </c>
      <c r="L69" s="24" t="s">
        <v>148</v>
      </c>
    </row>
    <row r="70" customFormat="false" ht="18" hidden="false" customHeight="true" outlineLevel="0" collapsed="false">
      <c r="A70" s="17" t="s">
        <v>114</v>
      </c>
      <c r="B70" s="18" t="s">
        <v>147</v>
      </c>
      <c r="C70" s="19" t="s">
        <v>135</v>
      </c>
      <c r="D70" s="20"/>
      <c r="E70" s="20"/>
      <c r="F70" s="21" t="n">
        <f aca="false">'📋 Matches'!E70</f>
        <v>0</v>
      </c>
      <c r="G70" s="21" t="n">
        <f aca="false">'📋 Matches'!F70</f>
        <v>0</v>
      </c>
      <c r="H70" s="24" t="s">
        <v>148</v>
      </c>
      <c r="I70" s="24" t="s">
        <v>148</v>
      </c>
      <c r="J70" s="24" t="s">
        <v>148</v>
      </c>
      <c r="K70" s="24" t="s">
        <v>148</v>
      </c>
      <c r="L70" s="24" t="s">
        <v>148</v>
      </c>
    </row>
    <row r="71" customFormat="false" ht="18" hidden="false" customHeight="true" outlineLevel="0" collapsed="false">
      <c r="A71" s="17" t="s">
        <v>114</v>
      </c>
      <c r="B71" s="18" t="s">
        <v>147</v>
      </c>
      <c r="C71" s="19" t="s">
        <v>136</v>
      </c>
      <c r="D71" s="20"/>
      <c r="E71" s="20"/>
      <c r="F71" s="21" t="n">
        <f aca="false">'📋 Matches'!E71</f>
        <v>0</v>
      </c>
      <c r="G71" s="21" t="n">
        <f aca="false">'📋 Matches'!F71</f>
        <v>0</v>
      </c>
      <c r="H71" s="24" t="s">
        <v>148</v>
      </c>
      <c r="I71" s="24" t="s">
        <v>148</v>
      </c>
      <c r="J71" s="24" t="s">
        <v>148</v>
      </c>
      <c r="K71" s="24" t="s">
        <v>148</v>
      </c>
      <c r="L71" s="24" t="s">
        <v>148</v>
      </c>
    </row>
    <row r="72" customFormat="false" ht="18" hidden="false" customHeight="true" outlineLevel="0" collapsed="false">
      <c r="A72" s="17" t="s">
        <v>114</v>
      </c>
      <c r="B72" s="18" t="s">
        <v>147</v>
      </c>
      <c r="C72" s="19" t="s">
        <v>137</v>
      </c>
      <c r="D72" s="20"/>
      <c r="E72" s="20"/>
      <c r="F72" s="21" t="n">
        <f aca="false">'📋 Matches'!E72</f>
        <v>0</v>
      </c>
      <c r="G72" s="21" t="n">
        <f aca="false">'📋 Matches'!F72</f>
        <v>0</v>
      </c>
      <c r="H72" s="24" t="s">
        <v>148</v>
      </c>
      <c r="I72" s="24" t="s">
        <v>148</v>
      </c>
      <c r="J72" s="24" t="s">
        <v>148</v>
      </c>
      <c r="K72" s="24" t="s">
        <v>148</v>
      </c>
      <c r="L72" s="24" t="s">
        <v>148</v>
      </c>
    </row>
    <row r="73" customFormat="false" ht="18" hidden="false" customHeight="true" outlineLevel="0" collapsed="false">
      <c r="A73" s="17" t="s">
        <v>114</v>
      </c>
      <c r="B73" s="18" t="s">
        <v>147</v>
      </c>
      <c r="C73" s="19" t="s">
        <v>138</v>
      </c>
      <c r="D73" s="20"/>
      <c r="E73" s="20"/>
      <c r="F73" s="21" t="n">
        <f aca="false">'📋 Matches'!E73</f>
        <v>0</v>
      </c>
      <c r="G73" s="21" t="n">
        <f aca="false">'📋 Matches'!F73</f>
        <v>0</v>
      </c>
      <c r="H73" s="24" t="s">
        <v>148</v>
      </c>
      <c r="I73" s="24" t="s">
        <v>148</v>
      </c>
      <c r="J73" s="24" t="s">
        <v>148</v>
      </c>
      <c r="K73" s="24" t="s">
        <v>148</v>
      </c>
      <c r="L73" s="24" t="s">
        <v>148</v>
      </c>
    </row>
    <row r="74" customFormat="false" ht="18" hidden="false" customHeight="true" outlineLevel="0" collapsed="false">
      <c r="A74" s="25" t="s">
        <v>9</v>
      </c>
      <c r="B74" s="26" t="s">
        <v>149</v>
      </c>
      <c r="C74" s="27" t="s">
        <v>10</v>
      </c>
      <c r="D74" s="28" t="n">
        <v>2</v>
      </c>
      <c r="E74" s="28" t="n">
        <v>2</v>
      </c>
      <c r="F74" s="29" t="n">
        <f aca="false">'📋 Matches'!E2</f>
        <v>2</v>
      </c>
      <c r="G74" s="29" t="n">
        <f aca="false">'📋 Matches'!F2</f>
        <v>0</v>
      </c>
      <c r="H74" s="22" t="n">
        <f aca="false">IF(AND(ISNUMBER(F74),ISNUMBER(G74)),IF(SIGN(D74-E74)=SIGN(F74-G74),48,0),"")</f>
        <v>0</v>
      </c>
      <c r="I74" s="22" t="n">
        <f aca="false">IF(AND(ISNUMBER(F74),ISNUMBER(G74)),IF(D74=F74,15,0),"")</f>
        <v>15</v>
      </c>
      <c r="J74" s="22" t="n">
        <f aca="false">IF(AND(ISNUMBER(F74),ISNUMBER(G74)),IF(E74=G74,15,0),"")</f>
        <v>0</v>
      </c>
      <c r="K74" s="22" t="n">
        <f aca="false">IF(AND(ISNUMBER(F74),ISNUMBER(G74)),IF(ABS(D74-E74)=ABS(F74-G74),12,0),"")</f>
        <v>0</v>
      </c>
      <c r="L74" s="23" t="n">
        <f aca="false">IF(ISNUMBER(H74),H74+I74+J74+K74,"")</f>
        <v>15</v>
      </c>
    </row>
    <row r="75" customFormat="false" ht="18" hidden="false" customHeight="true" outlineLevel="0" collapsed="false">
      <c r="A75" s="25" t="s">
        <v>9</v>
      </c>
      <c r="B75" s="26" t="s">
        <v>149</v>
      </c>
      <c r="C75" s="27" t="s">
        <v>14</v>
      </c>
      <c r="D75" s="28" t="n">
        <v>2</v>
      </c>
      <c r="E75" s="28" t="n">
        <v>0</v>
      </c>
      <c r="F75" s="29" t="n">
        <f aca="false">'📋 Matches'!E3</f>
        <v>2</v>
      </c>
      <c r="G75" s="29" t="n">
        <f aca="false">'📋 Matches'!F3</f>
        <v>1</v>
      </c>
      <c r="H75" s="22" t="n">
        <f aca="false">IF(AND(ISNUMBER(F75),ISNUMBER(G75)),IF(SIGN(D75-E75)=SIGN(F75-G75),48,0),"")</f>
        <v>48</v>
      </c>
      <c r="I75" s="22" t="n">
        <f aca="false">IF(AND(ISNUMBER(F75),ISNUMBER(G75)),IF(D75=F75,15,0),"")</f>
        <v>15</v>
      </c>
      <c r="J75" s="22" t="n">
        <f aca="false">IF(AND(ISNUMBER(F75),ISNUMBER(G75)),IF(E75=G75,15,0),"")</f>
        <v>0</v>
      </c>
      <c r="K75" s="22" t="n">
        <f aca="false">IF(AND(ISNUMBER(F75),ISNUMBER(G75)),IF(ABS(D75-E75)=ABS(F75-G75),12,0),"")</f>
        <v>0</v>
      </c>
      <c r="L75" s="23" t="n">
        <f aca="false">IF(ISNUMBER(H75),H75+I75+J75+K75,"")</f>
        <v>63</v>
      </c>
    </row>
    <row r="76" customFormat="false" ht="18" hidden="false" customHeight="true" outlineLevel="0" collapsed="false">
      <c r="A76" s="25" t="s">
        <v>9</v>
      </c>
      <c r="B76" s="26" t="s">
        <v>149</v>
      </c>
      <c r="C76" s="27" t="s">
        <v>17</v>
      </c>
      <c r="D76" s="28" t="n">
        <v>1</v>
      </c>
      <c r="E76" s="28" t="n">
        <v>2</v>
      </c>
      <c r="F76" s="29" t="n">
        <f aca="false">'📋 Matches'!E4</f>
        <v>1</v>
      </c>
      <c r="G76" s="29" t="n">
        <f aca="false">'📋 Matches'!F4</f>
        <v>1</v>
      </c>
      <c r="H76" s="22" t="n">
        <f aca="false">IF(AND(ISNUMBER(F76),ISNUMBER(G76)),IF(SIGN(D76-E76)=SIGN(F76-G76),48,0),"")</f>
        <v>0</v>
      </c>
      <c r="I76" s="22" t="n">
        <f aca="false">IF(AND(ISNUMBER(F76),ISNUMBER(G76)),IF(D76=F76,15,0),"")</f>
        <v>15</v>
      </c>
      <c r="J76" s="22" t="n">
        <f aca="false">IF(AND(ISNUMBER(F76),ISNUMBER(G76)),IF(E76=G76,15,0),"")</f>
        <v>0</v>
      </c>
      <c r="K76" s="22" t="n">
        <f aca="false">IF(AND(ISNUMBER(F76),ISNUMBER(G76)),IF(ABS(D76-E76)=ABS(F76-G76),12,0),"")</f>
        <v>0</v>
      </c>
      <c r="L76" s="23" t="n">
        <f aca="false">IF(ISNUMBER(H76),H76+I76+J76+K76,"")</f>
        <v>15</v>
      </c>
    </row>
    <row r="77" customFormat="false" ht="18" hidden="false" customHeight="true" outlineLevel="0" collapsed="false">
      <c r="A77" s="25" t="s">
        <v>9</v>
      </c>
      <c r="B77" s="26" t="s">
        <v>149</v>
      </c>
      <c r="C77" s="27" t="s">
        <v>20</v>
      </c>
      <c r="D77" s="28" t="n">
        <v>1</v>
      </c>
      <c r="E77" s="28" t="n">
        <v>2</v>
      </c>
      <c r="F77" s="29" t="n">
        <f aca="false">'📋 Matches'!E5</f>
        <v>4</v>
      </c>
      <c r="G77" s="29" t="n">
        <f aca="false">'📋 Matches'!F5</f>
        <v>1</v>
      </c>
      <c r="H77" s="22" t="n">
        <f aca="false">IF(AND(ISNUMBER(F77),ISNUMBER(G77)),IF(SIGN(D77-E77)=SIGN(F77-G77),48,0),"")</f>
        <v>0</v>
      </c>
      <c r="I77" s="22" t="n">
        <f aca="false">IF(AND(ISNUMBER(F77),ISNUMBER(G77)),IF(D77=F77,15,0),"")</f>
        <v>0</v>
      </c>
      <c r="J77" s="22" t="n">
        <f aca="false">IF(AND(ISNUMBER(F77),ISNUMBER(G77)),IF(E77=G77,15,0),"")</f>
        <v>0</v>
      </c>
      <c r="K77" s="22" t="n">
        <f aca="false">IF(AND(ISNUMBER(F77),ISNUMBER(G77)),IF(ABS(D77-E77)=ABS(F77-G77),12,0),"")</f>
        <v>0</v>
      </c>
      <c r="L77" s="23" t="n">
        <f aca="false">IF(ISNUMBER(H77),H77+I77+J77+K77,"")</f>
        <v>0</v>
      </c>
    </row>
    <row r="78" customFormat="false" ht="18" hidden="false" customHeight="true" outlineLevel="0" collapsed="false">
      <c r="A78" s="25" t="s">
        <v>9</v>
      </c>
      <c r="B78" s="26" t="s">
        <v>149</v>
      </c>
      <c r="C78" s="27" t="s">
        <v>23</v>
      </c>
      <c r="D78" s="28" t="n">
        <v>0</v>
      </c>
      <c r="E78" s="28" t="n">
        <v>3</v>
      </c>
      <c r="F78" s="29" t="n">
        <f aca="false">'📋 Matches'!E6</f>
        <v>0</v>
      </c>
      <c r="G78" s="29" t="n">
        <f aca="false">'📋 Matches'!F6</f>
        <v>0</v>
      </c>
      <c r="H78" s="22" t="str">
        <f aca="false">IF(AND(ISNUMBER(F78),ISNUMBER(G78)),IF(SIGN(D78-E78)=SIGN(F78-G78),48,0),"")</f>
        <v/>
      </c>
      <c r="I78" s="22" t="str">
        <f aca="false">IF(AND(ISNUMBER(F78),ISNUMBER(G78)),IF(D78=F78,15,0),"")</f>
        <v/>
      </c>
      <c r="J78" s="22" t="str">
        <f aca="false">IF(AND(ISNUMBER(F78),ISNUMBER(G78)),IF(E78=G78,15,0),"")</f>
        <v/>
      </c>
      <c r="K78" s="22" t="str">
        <f aca="false">IF(AND(ISNUMBER(F78),ISNUMBER(G78)),IF(ABS(D78-E78)=ABS(F78-G78),12,0),"")</f>
        <v/>
      </c>
      <c r="L78" s="23" t="str">
        <f aca="false">IF(ISNUMBER(H78),H78+I78+J78+K78,"")</f>
        <v/>
      </c>
    </row>
    <row r="79" customFormat="false" ht="18" hidden="false" customHeight="true" outlineLevel="0" collapsed="false">
      <c r="A79" s="25" t="s">
        <v>9</v>
      </c>
      <c r="B79" s="26" t="s">
        <v>149</v>
      </c>
      <c r="C79" s="27" t="s">
        <v>27</v>
      </c>
      <c r="D79" s="28" t="n">
        <v>2</v>
      </c>
      <c r="E79" s="28" t="n">
        <v>1</v>
      </c>
      <c r="F79" s="29" t="n">
        <f aca="false">'📋 Matches'!E7</f>
        <v>0</v>
      </c>
      <c r="G79" s="29" t="n">
        <f aca="false">'📋 Matches'!F7</f>
        <v>0</v>
      </c>
      <c r="H79" s="22" t="str">
        <f aca="false">IF(AND(ISNUMBER(F79),ISNUMBER(G79)),IF(SIGN(D79-E79)=SIGN(F79-G79),48,0),"")</f>
        <v/>
      </c>
      <c r="I79" s="22" t="str">
        <f aca="false">IF(AND(ISNUMBER(F79),ISNUMBER(G79)),IF(D79=F79,15,0),"")</f>
        <v/>
      </c>
      <c r="J79" s="22" t="str">
        <f aca="false">IF(AND(ISNUMBER(F79),ISNUMBER(G79)),IF(E79=G79,15,0),"")</f>
        <v/>
      </c>
      <c r="K79" s="22" t="str">
        <f aca="false">IF(AND(ISNUMBER(F79),ISNUMBER(G79)),IF(ABS(D79-E79)=ABS(F79-G79),12,0),"")</f>
        <v/>
      </c>
      <c r="L79" s="23" t="str">
        <f aca="false">IF(ISNUMBER(H79),H79+I79+J79+K79,"")</f>
        <v/>
      </c>
    </row>
    <row r="80" customFormat="false" ht="18" hidden="false" customHeight="true" outlineLevel="0" collapsed="false">
      <c r="A80" s="25" t="s">
        <v>9</v>
      </c>
      <c r="B80" s="26" t="s">
        <v>149</v>
      </c>
      <c r="C80" s="27" t="s">
        <v>30</v>
      </c>
      <c r="D80" s="28" t="n">
        <v>0</v>
      </c>
      <c r="E80" s="28" t="n">
        <v>2</v>
      </c>
      <c r="F80" s="29" t="n">
        <f aca="false">'📋 Matches'!E8</f>
        <v>0</v>
      </c>
      <c r="G80" s="29" t="n">
        <f aca="false">'📋 Matches'!F8</f>
        <v>0</v>
      </c>
      <c r="H80" s="22" t="str">
        <f aca="false">IF(AND(ISNUMBER(F80),ISNUMBER(G80)),IF(SIGN(D80-E80)=SIGN(F80-G80),48,0),"")</f>
        <v/>
      </c>
      <c r="I80" s="22" t="str">
        <f aca="false">IF(AND(ISNUMBER(F80),ISNUMBER(G80)),IF(D80=F80,15,0),"")</f>
        <v/>
      </c>
      <c r="J80" s="22" t="str">
        <f aca="false">IF(AND(ISNUMBER(F80),ISNUMBER(G80)),IF(E80=G80,15,0),"")</f>
        <v/>
      </c>
      <c r="K80" s="22" t="str">
        <f aca="false">IF(AND(ISNUMBER(F80),ISNUMBER(G80)),IF(ABS(D80-E80)=ABS(F80-G80),12,0),"")</f>
        <v/>
      </c>
      <c r="L80" s="23" t="str">
        <f aca="false">IF(ISNUMBER(H80),H80+I80+J80+K80,"")</f>
        <v/>
      </c>
    </row>
    <row r="81" customFormat="false" ht="18" hidden="false" customHeight="true" outlineLevel="0" collapsed="false">
      <c r="A81" s="25" t="s">
        <v>9</v>
      </c>
      <c r="B81" s="26" t="s">
        <v>149</v>
      </c>
      <c r="C81" s="27" t="s">
        <v>33</v>
      </c>
      <c r="D81" s="28" t="n">
        <v>1</v>
      </c>
      <c r="E81" s="28" t="n">
        <v>0</v>
      </c>
      <c r="F81" s="29" t="n">
        <f aca="false">'📋 Matches'!E9</f>
        <v>0</v>
      </c>
      <c r="G81" s="29" t="n">
        <f aca="false">'📋 Matches'!F9</f>
        <v>0</v>
      </c>
      <c r="H81" s="22" t="str">
        <f aca="false">IF(AND(ISNUMBER(F81),ISNUMBER(G81)),IF(SIGN(D81-E81)=SIGN(F81-G81),48,0),"")</f>
        <v/>
      </c>
      <c r="I81" s="22" t="str">
        <f aca="false">IF(AND(ISNUMBER(F81),ISNUMBER(G81)),IF(D81=F81,15,0),"")</f>
        <v/>
      </c>
      <c r="J81" s="22" t="str">
        <f aca="false">IF(AND(ISNUMBER(F81),ISNUMBER(G81)),IF(E81=G81,15,0),"")</f>
        <v/>
      </c>
      <c r="K81" s="22" t="str">
        <f aca="false">IF(AND(ISNUMBER(F81),ISNUMBER(G81)),IF(ABS(D81-E81)=ABS(F81-G81),12,0),"")</f>
        <v/>
      </c>
      <c r="L81" s="23" t="str">
        <f aca="false">IF(ISNUMBER(H81),H81+I81+J81+K81,"")</f>
        <v/>
      </c>
    </row>
    <row r="82" customFormat="false" ht="18" hidden="false" customHeight="true" outlineLevel="0" collapsed="false">
      <c r="A82" s="25" t="s">
        <v>9</v>
      </c>
      <c r="B82" s="26" t="s">
        <v>149</v>
      </c>
      <c r="C82" s="27" t="s">
        <v>36</v>
      </c>
      <c r="D82" s="28" t="n">
        <v>4</v>
      </c>
      <c r="E82" s="28" t="n">
        <v>0</v>
      </c>
      <c r="F82" s="29" t="n">
        <f aca="false">'📋 Matches'!E10</f>
        <v>0</v>
      </c>
      <c r="G82" s="29" t="n">
        <f aca="false">'📋 Matches'!F10</f>
        <v>0</v>
      </c>
      <c r="H82" s="22" t="str">
        <f aca="false">IF(AND(ISNUMBER(F82),ISNUMBER(G82)),IF(SIGN(D82-E82)=SIGN(F82-G82),48,0),"")</f>
        <v/>
      </c>
      <c r="I82" s="22" t="str">
        <f aca="false">IF(AND(ISNUMBER(F82),ISNUMBER(G82)),IF(D82=F82,15,0),"")</f>
        <v/>
      </c>
      <c r="J82" s="22" t="str">
        <f aca="false">IF(AND(ISNUMBER(F82),ISNUMBER(G82)),IF(E82=G82,15,0),"")</f>
        <v/>
      </c>
      <c r="K82" s="22" t="str">
        <f aca="false">IF(AND(ISNUMBER(F82),ISNUMBER(G82)),IF(ABS(D82-E82)=ABS(F82-G82),12,0),"")</f>
        <v/>
      </c>
      <c r="L82" s="23" t="str">
        <f aca="false">IF(ISNUMBER(H82),H82+I82+J82+K82,"")</f>
        <v/>
      </c>
    </row>
    <row r="83" customFormat="false" ht="18" hidden="false" customHeight="true" outlineLevel="0" collapsed="false">
      <c r="A83" s="25" t="s">
        <v>9</v>
      </c>
      <c r="B83" s="26" t="s">
        <v>149</v>
      </c>
      <c r="C83" s="27" t="s">
        <v>39</v>
      </c>
      <c r="D83" s="28" t="n">
        <v>2</v>
      </c>
      <c r="E83" s="28" t="n">
        <v>0</v>
      </c>
      <c r="F83" s="29" t="n">
        <f aca="false">'📋 Matches'!E11</f>
        <v>0</v>
      </c>
      <c r="G83" s="29" t="n">
        <f aca="false">'📋 Matches'!F11</f>
        <v>0</v>
      </c>
      <c r="H83" s="22" t="str">
        <f aca="false">IF(AND(ISNUMBER(F83),ISNUMBER(G83)),IF(SIGN(D83-E83)=SIGN(F83-G83),48,0),"")</f>
        <v/>
      </c>
      <c r="I83" s="22" t="str">
        <f aca="false">IF(AND(ISNUMBER(F83),ISNUMBER(G83)),IF(D83=F83,15,0),"")</f>
        <v/>
      </c>
      <c r="J83" s="22" t="str">
        <f aca="false">IF(AND(ISNUMBER(F83),ISNUMBER(G83)),IF(E83=G83,15,0),"")</f>
        <v/>
      </c>
      <c r="K83" s="22" t="str">
        <f aca="false">IF(AND(ISNUMBER(F83),ISNUMBER(G83)),IF(ABS(D83-E83)=ABS(F83-G83),12,0),"")</f>
        <v/>
      </c>
      <c r="L83" s="23" t="str">
        <f aca="false">IF(ISNUMBER(H83),H83+I83+J83+K83,"")</f>
        <v/>
      </c>
    </row>
    <row r="84" customFormat="false" ht="18" hidden="false" customHeight="true" outlineLevel="0" collapsed="false">
      <c r="A84" s="25" t="s">
        <v>9</v>
      </c>
      <c r="B84" s="26" t="s">
        <v>149</v>
      </c>
      <c r="C84" s="27" t="s">
        <v>42</v>
      </c>
      <c r="D84" s="28" t="n">
        <v>2</v>
      </c>
      <c r="E84" s="28" t="n">
        <v>3</v>
      </c>
      <c r="F84" s="29" t="n">
        <f aca="false">'📋 Matches'!E12</f>
        <v>0</v>
      </c>
      <c r="G84" s="29" t="n">
        <f aca="false">'📋 Matches'!F12</f>
        <v>0</v>
      </c>
      <c r="H84" s="22" t="str">
        <f aca="false">IF(AND(ISNUMBER(F84),ISNUMBER(G84)),IF(SIGN(D84-E84)=SIGN(F84-G84),48,0),"")</f>
        <v/>
      </c>
      <c r="I84" s="22" t="str">
        <f aca="false">IF(AND(ISNUMBER(F84),ISNUMBER(G84)),IF(D84=F84,15,0),"")</f>
        <v/>
      </c>
      <c r="J84" s="22" t="str">
        <f aca="false">IF(AND(ISNUMBER(F84),ISNUMBER(G84)),IF(E84=G84,15,0),"")</f>
        <v/>
      </c>
      <c r="K84" s="22" t="str">
        <f aca="false">IF(AND(ISNUMBER(F84),ISNUMBER(G84)),IF(ABS(D84-E84)=ABS(F84-G84),12,0),"")</f>
        <v/>
      </c>
      <c r="L84" s="23" t="str">
        <f aca="false">IF(ISNUMBER(H84),H84+I84+J84+K84,"")</f>
        <v/>
      </c>
    </row>
    <row r="85" customFormat="false" ht="18" hidden="false" customHeight="true" outlineLevel="0" collapsed="false">
      <c r="A85" s="25" t="s">
        <v>9</v>
      </c>
      <c r="B85" s="26" t="s">
        <v>149</v>
      </c>
      <c r="C85" s="27" t="s">
        <v>45</v>
      </c>
      <c r="D85" s="28" t="n">
        <v>0</v>
      </c>
      <c r="E85" s="28" t="n">
        <v>2</v>
      </c>
      <c r="F85" s="29" t="n">
        <f aca="false">'📋 Matches'!E13</f>
        <v>0</v>
      </c>
      <c r="G85" s="29" t="n">
        <f aca="false">'📋 Matches'!F13</f>
        <v>0</v>
      </c>
      <c r="H85" s="22" t="str">
        <f aca="false">IF(AND(ISNUMBER(F85),ISNUMBER(G85)),IF(SIGN(D85-E85)=SIGN(F85-G85),48,0),"")</f>
        <v/>
      </c>
      <c r="I85" s="22" t="str">
        <f aca="false">IF(AND(ISNUMBER(F85),ISNUMBER(G85)),IF(D85=F85,15,0),"")</f>
        <v/>
      </c>
      <c r="J85" s="22" t="str">
        <f aca="false">IF(AND(ISNUMBER(F85),ISNUMBER(G85)),IF(E85=G85,15,0),"")</f>
        <v/>
      </c>
      <c r="K85" s="22" t="str">
        <f aca="false">IF(AND(ISNUMBER(F85),ISNUMBER(G85)),IF(ABS(D85-E85)=ABS(F85-G85),12,0),"")</f>
        <v/>
      </c>
      <c r="L85" s="23" t="str">
        <f aca="false">IF(ISNUMBER(H85),H85+I85+J85+K85,"")</f>
        <v/>
      </c>
    </row>
    <row r="86" customFormat="false" ht="18" hidden="false" customHeight="true" outlineLevel="0" collapsed="false">
      <c r="A86" s="25" t="s">
        <v>9</v>
      </c>
      <c r="B86" s="26" t="s">
        <v>149</v>
      </c>
      <c r="C86" s="27" t="s">
        <v>48</v>
      </c>
      <c r="D86" s="28" t="n">
        <v>3</v>
      </c>
      <c r="E86" s="28" t="n">
        <v>0</v>
      </c>
      <c r="F86" s="29" t="n">
        <f aca="false">'📋 Matches'!E14</f>
        <v>0</v>
      </c>
      <c r="G86" s="29" t="n">
        <f aca="false">'📋 Matches'!F14</f>
        <v>0</v>
      </c>
      <c r="H86" s="22" t="str">
        <f aca="false">IF(AND(ISNUMBER(F86),ISNUMBER(G86)),IF(SIGN(D86-E86)=SIGN(F86-G86),48,0),"")</f>
        <v/>
      </c>
      <c r="I86" s="22" t="str">
        <f aca="false">IF(AND(ISNUMBER(F86),ISNUMBER(G86)),IF(D86=F86,15,0),"")</f>
        <v/>
      </c>
      <c r="J86" s="22" t="str">
        <f aca="false">IF(AND(ISNUMBER(F86),ISNUMBER(G86)),IF(E86=G86,15,0),"")</f>
        <v/>
      </c>
      <c r="K86" s="22" t="str">
        <f aca="false">IF(AND(ISNUMBER(F86),ISNUMBER(G86)),IF(ABS(D86-E86)=ABS(F86-G86),12,0),"")</f>
        <v/>
      </c>
      <c r="L86" s="23" t="str">
        <f aca="false">IF(ISNUMBER(H86),H86+I86+J86+K86,"")</f>
        <v/>
      </c>
    </row>
    <row r="87" customFormat="false" ht="18" hidden="false" customHeight="true" outlineLevel="0" collapsed="false">
      <c r="A87" s="25" t="s">
        <v>9</v>
      </c>
      <c r="B87" s="26" t="s">
        <v>149</v>
      </c>
      <c r="C87" s="27" t="s">
        <v>51</v>
      </c>
      <c r="D87" s="28" t="n">
        <v>1</v>
      </c>
      <c r="E87" s="28" t="n">
        <v>2</v>
      </c>
      <c r="F87" s="29" t="n">
        <f aca="false">'📋 Matches'!E15</f>
        <v>0</v>
      </c>
      <c r="G87" s="29" t="n">
        <f aca="false">'📋 Matches'!F15</f>
        <v>0</v>
      </c>
      <c r="H87" s="22" t="str">
        <f aca="false">IF(AND(ISNUMBER(F87),ISNUMBER(G87)),IF(SIGN(D87-E87)=SIGN(F87-G87),48,0),"")</f>
        <v/>
      </c>
      <c r="I87" s="22" t="str">
        <f aca="false">IF(AND(ISNUMBER(F87),ISNUMBER(G87)),IF(D87=F87,15,0),"")</f>
        <v/>
      </c>
      <c r="J87" s="22" t="str">
        <f aca="false">IF(AND(ISNUMBER(F87),ISNUMBER(G87)),IF(E87=G87,15,0),"")</f>
        <v/>
      </c>
      <c r="K87" s="22" t="str">
        <f aca="false">IF(AND(ISNUMBER(F87),ISNUMBER(G87)),IF(ABS(D87-E87)=ABS(F87-G87),12,0),"")</f>
        <v/>
      </c>
      <c r="L87" s="23" t="str">
        <f aca="false">IF(ISNUMBER(H87),H87+I87+J87+K87,"")</f>
        <v/>
      </c>
    </row>
    <row r="88" customFormat="false" ht="18" hidden="false" customHeight="true" outlineLevel="0" collapsed="false">
      <c r="A88" s="25" t="s">
        <v>9</v>
      </c>
      <c r="B88" s="26" t="s">
        <v>149</v>
      </c>
      <c r="C88" s="27" t="s">
        <v>54</v>
      </c>
      <c r="D88" s="28" t="n">
        <v>0</v>
      </c>
      <c r="E88" s="28" t="n">
        <v>2</v>
      </c>
      <c r="F88" s="29" t="n">
        <f aca="false">'📋 Matches'!E16</f>
        <v>0</v>
      </c>
      <c r="G88" s="29" t="n">
        <f aca="false">'📋 Matches'!F16</f>
        <v>0</v>
      </c>
      <c r="H88" s="22" t="str">
        <f aca="false">IF(AND(ISNUMBER(F88),ISNUMBER(G88)),IF(SIGN(D88-E88)=SIGN(F88-G88),48,0),"")</f>
        <v/>
      </c>
      <c r="I88" s="22" t="str">
        <f aca="false">IF(AND(ISNUMBER(F88),ISNUMBER(G88)),IF(D88=F88,15,0),"")</f>
        <v/>
      </c>
      <c r="J88" s="22" t="str">
        <f aca="false">IF(AND(ISNUMBER(F88),ISNUMBER(G88)),IF(E88=G88,15,0),"")</f>
        <v/>
      </c>
      <c r="K88" s="22" t="str">
        <f aca="false">IF(AND(ISNUMBER(F88),ISNUMBER(G88)),IF(ABS(D88-E88)=ABS(F88-G88),12,0),"")</f>
        <v/>
      </c>
      <c r="L88" s="23" t="str">
        <f aca="false">IF(ISNUMBER(H88),H88+I88+J88+K88,"")</f>
        <v/>
      </c>
    </row>
    <row r="89" customFormat="false" ht="18" hidden="false" customHeight="true" outlineLevel="0" collapsed="false">
      <c r="A89" s="25" t="s">
        <v>9</v>
      </c>
      <c r="B89" s="26" t="s">
        <v>149</v>
      </c>
      <c r="C89" s="27" t="s">
        <v>57</v>
      </c>
      <c r="D89" s="28" t="n">
        <v>2</v>
      </c>
      <c r="E89" s="28" t="n">
        <v>0</v>
      </c>
      <c r="F89" s="29" t="n">
        <f aca="false">'📋 Matches'!E17</f>
        <v>0</v>
      </c>
      <c r="G89" s="29" t="n">
        <f aca="false">'📋 Matches'!F17</f>
        <v>0</v>
      </c>
      <c r="H89" s="22" t="str">
        <f aca="false">IF(AND(ISNUMBER(F89),ISNUMBER(G89)),IF(SIGN(D89-E89)=SIGN(F89-G89),48,0),"")</f>
        <v/>
      </c>
      <c r="I89" s="22" t="str">
        <f aca="false">IF(AND(ISNUMBER(F89),ISNUMBER(G89)),IF(D89=F89,15,0),"")</f>
        <v/>
      </c>
      <c r="J89" s="22" t="str">
        <f aca="false">IF(AND(ISNUMBER(F89),ISNUMBER(G89)),IF(E89=G89,15,0),"")</f>
        <v/>
      </c>
      <c r="K89" s="22" t="str">
        <f aca="false">IF(AND(ISNUMBER(F89),ISNUMBER(G89)),IF(ABS(D89-E89)=ABS(F89-G89),12,0),"")</f>
        <v/>
      </c>
      <c r="L89" s="23" t="str">
        <f aca="false">IF(ISNUMBER(H89),H89+I89+J89+K89,"")</f>
        <v/>
      </c>
    </row>
    <row r="90" customFormat="false" ht="18" hidden="false" customHeight="true" outlineLevel="0" collapsed="false">
      <c r="A90" s="25" t="s">
        <v>9</v>
      </c>
      <c r="B90" s="26" t="s">
        <v>149</v>
      </c>
      <c r="C90" s="27" t="s">
        <v>60</v>
      </c>
      <c r="D90" s="28" t="n">
        <v>3</v>
      </c>
      <c r="E90" s="28" t="n">
        <v>1</v>
      </c>
      <c r="F90" s="29" t="n">
        <f aca="false">'📋 Matches'!E18</f>
        <v>0</v>
      </c>
      <c r="G90" s="29" t="n">
        <f aca="false">'📋 Matches'!F18</f>
        <v>0</v>
      </c>
      <c r="H90" s="22" t="str">
        <f aca="false">IF(AND(ISNUMBER(F90),ISNUMBER(G90)),IF(SIGN(D90-E90)=SIGN(F90-G90),48,0),"")</f>
        <v/>
      </c>
      <c r="I90" s="22" t="str">
        <f aca="false">IF(AND(ISNUMBER(F90),ISNUMBER(G90)),IF(D90=F90,15,0),"")</f>
        <v/>
      </c>
      <c r="J90" s="22" t="str">
        <f aca="false">IF(AND(ISNUMBER(F90),ISNUMBER(G90)),IF(E90=G90,15,0),"")</f>
        <v/>
      </c>
      <c r="K90" s="22" t="str">
        <f aca="false">IF(AND(ISNUMBER(F90),ISNUMBER(G90)),IF(ABS(D90-E90)=ABS(F90-G90),12,0),"")</f>
        <v/>
      </c>
      <c r="L90" s="23" t="str">
        <f aca="false">IF(ISNUMBER(H90),H90+I90+J90+K90,"")</f>
        <v/>
      </c>
    </row>
    <row r="91" customFormat="false" ht="18" hidden="false" customHeight="true" outlineLevel="0" collapsed="false">
      <c r="A91" s="25" t="s">
        <v>9</v>
      </c>
      <c r="B91" s="26" t="s">
        <v>149</v>
      </c>
      <c r="C91" s="27" t="s">
        <v>63</v>
      </c>
      <c r="D91" s="28" t="n">
        <v>0</v>
      </c>
      <c r="E91" s="28" t="n">
        <v>2</v>
      </c>
      <c r="F91" s="29" t="n">
        <f aca="false">'📋 Matches'!E19</f>
        <v>0</v>
      </c>
      <c r="G91" s="29" t="n">
        <f aca="false">'📋 Matches'!F19</f>
        <v>0</v>
      </c>
      <c r="H91" s="22" t="str">
        <f aca="false">IF(AND(ISNUMBER(F91),ISNUMBER(G91)),IF(SIGN(D91-E91)=SIGN(F91-G91),48,0),"")</f>
        <v/>
      </c>
      <c r="I91" s="22" t="str">
        <f aca="false">IF(AND(ISNUMBER(F91),ISNUMBER(G91)),IF(D91=F91,15,0),"")</f>
        <v/>
      </c>
      <c r="J91" s="22" t="str">
        <f aca="false">IF(AND(ISNUMBER(F91),ISNUMBER(G91)),IF(E91=G91,15,0),"")</f>
        <v/>
      </c>
      <c r="K91" s="22" t="str">
        <f aca="false">IF(AND(ISNUMBER(F91),ISNUMBER(G91)),IF(ABS(D91-E91)=ABS(F91-G91),12,0),"")</f>
        <v/>
      </c>
      <c r="L91" s="23" t="str">
        <f aca="false">IF(ISNUMBER(H91),H91+I91+J91+K91,"")</f>
        <v/>
      </c>
    </row>
    <row r="92" customFormat="false" ht="18" hidden="false" customHeight="true" outlineLevel="0" collapsed="false">
      <c r="A92" s="25" t="s">
        <v>9</v>
      </c>
      <c r="B92" s="26" t="s">
        <v>149</v>
      </c>
      <c r="C92" s="27" t="s">
        <v>66</v>
      </c>
      <c r="D92" s="28" t="n">
        <v>2</v>
      </c>
      <c r="E92" s="28" t="n">
        <v>0</v>
      </c>
      <c r="F92" s="29" t="n">
        <f aca="false">'📋 Matches'!E20</f>
        <v>0</v>
      </c>
      <c r="G92" s="29" t="n">
        <f aca="false">'📋 Matches'!F20</f>
        <v>0</v>
      </c>
      <c r="H92" s="22" t="str">
        <f aca="false">IF(AND(ISNUMBER(F92),ISNUMBER(G92)),IF(SIGN(D92-E92)=SIGN(F92-G92),48,0),"")</f>
        <v/>
      </c>
      <c r="I92" s="22" t="str">
        <f aca="false">IF(AND(ISNUMBER(F92),ISNUMBER(G92)),IF(D92=F92,15,0),"")</f>
        <v/>
      </c>
      <c r="J92" s="22" t="str">
        <f aca="false">IF(AND(ISNUMBER(F92),ISNUMBER(G92)),IF(E92=G92,15,0),"")</f>
        <v/>
      </c>
      <c r="K92" s="22" t="str">
        <f aca="false">IF(AND(ISNUMBER(F92),ISNUMBER(G92)),IF(ABS(D92-E92)=ABS(F92-G92),12,0),"")</f>
        <v/>
      </c>
      <c r="L92" s="23" t="str">
        <f aca="false">IF(ISNUMBER(H92),H92+I92+J92+K92,"")</f>
        <v/>
      </c>
    </row>
    <row r="93" customFormat="false" ht="18" hidden="false" customHeight="true" outlineLevel="0" collapsed="false">
      <c r="A93" s="25" t="s">
        <v>9</v>
      </c>
      <c r="B93" s="26" t="s">
        <v>149</v>
      </c>
      <c r="C93" s="27" t="s">
        <v>69</v>
      </c>
      <c r="D93" s="28" t="n">
        <v>3</v>
      </c>
      <c r="E93" s="28" t="n">
        <v>1</v>
      </c>
      <c r="F93" s="29" t="n">
        <f aca="false">'📋 Matches'!E21</f>
        <v>0</v>
      </c>
      <c r="G93" s="29" t="n">
        <f aca="false">'📋 Matches'!F21</f>
        <v>0</v>
      </c>
      <c r="H93" s="22" t="str">
        <f aca="false">IF(AND(ISNUMBER(F93),ISNUMBER(G93)),IF(SIGN(D93-E93)=SIGN(F93-G93),48,0),"")</f>
        <v/>
      </c>
      <c r="I93" s="22" t="str">
        <f aca="false">IF(AND(ISNUMBER(F93),ISNUMBER(G93)),IF(D93=F93,15,0),"")</f>
        <v/>
      </c>
      <c r="J93" s="22" t="str">
        <f aca="false">IF(AND(ISNUMBER(F93),ISNUMBER(G93)),IF(E93=G93,15,0),"")</f>
        <v/>
      </c>
      <c r="K93" s="22" t="str">
        <f aca="false">IF(AND(ISNUMBER(F93),ISNUMBER(G93)),IF(ABS(D93-E93)=ABS(F93-G93),12,0),"")</f>
        <v/>
      </c>
      <c r="L93" s="23" t="str">
        <f aca="false">IF(ISNUMBER(H93),H93+I93+J93+K93,"")</f>
        <v/>
      </c>
    </row>
    <row r="94" customFormat="false" ht="18" hidden="false" customHeight="true" outlineLevel="0" collapsed="false">
      <c r="A94" s="25" t="s">
        <v>9</v>
      </c>
      <c r="B94" s="26" t="s">
        <v>149</v>
      </c>
      <c r="C94" s="27" t="s">
        <v>72</v>
      </c>
      <c r="D94" s="28" t="n">
        <v>3</v>
      </c>
      <c r="E94" s="28" t="n">
        <v>1</v>
      </c>
      <c r="F94" s="29" t="n">
        <f aca="false">'📋 Matches'!E22</f>
        <v>0</v>
      </c>
      <c r="G94" s="29" t="n">
        <f aca="false">'📋 Matches'!F22</f>
        <v>0</v>
      </c>
      <c r="H94" s="22" t="str">
        <f aca="false">IF(AND(ISNUMBER(F94),ISNUMBER(G94)),IF(SIGN(D94-E94)=SIGN(F94-G94),48,0),"")</f>
        <v/>
      </c>
      <c r="I94" s="22" t="str">
        <f aca="false">IF(AND(ISNUMBER(F94),ISNUMBER(G94)),IF(D94=F94,15,0),"")</f>
        <v/>
      </c>
      <c r="J94" s="22" t="str">
        <f aca="false">IF(AND(ISNUMBER(F94),ISNUMBER(G94)),IF(E94=G94,15,0),"")</f>
        <v/>
      </c>
      <c r="K94" s="22" t="str">
        <f aca="false">IF(AND(ISNUMBER(F94),ISNUMBER(G94)),IF(ABS(D94-E94)=ABS(F94-G94),12,0),"")</f>
        <v/>
      </c>
      <c r="L94" s="23" t="str">
        <f aca="false">IF(ISNUMBER(H94),H94+I94+J94+K94,"")</f>
        <v/>
      </c>
    </row>
    <row r="95" customFormat="false" ht="18" hidden="false" customHeight="true" outlineLevel="0" collapsed="false">
      <c r="A95" s="25" t="s">
        <v>9</v>
      </c>
      <c r="B95" s="26" t="s">
        <v>149</v>
      </c>
      <c r="C95" s="27" t="s">
        <v>75</v>
      </c>
      <c r="D95" s="28" t="n">
        <v>1</v>
      </c>
      <c r="E95" s="28" t="n">
        <v>0</v>
      </c>
      <c r="F95" s="29" t="n">
        <f aca="false">'📋 Matches'!E23</f>
        <v>0</v>
      </c>
      <c r="G95" s="29" t="n">
        <f aca="false">'📋 Matches'!F23</f>
        <v>0</v>
      </c>
      <c r="H95" s="22" t="str">
        <f aca="false">IF(AND(ISNUMBER(F95),ISNUMBER(G95)),IF(SIGN(D95-E95)=SIGN(F95-G95),48,0),"")</f>
        <v/>
      </c>
      <c r="I95" s="22" t="str">
        <f aca="false">IF(AND(ISNUMBER(F95),ISNUMBER(G95)),IF(D95=F95,15,0),"")</f>
        <v/>
      </c>
      <c r="J95" s="22" t="str">
        <f aca="false">IF(AND(ISNUMBER(F95),ISNUMBER(G95)),IF(E95=G95,15,0),"")</f>
        <v/>
      </c>
      <c r="K95" s="22" t="str">
        <f aca="false">IF(AND(ISNUMBER(F95),ISNUMBER(G95)),IF(ABS(D95-E95)=ABS(F95-G95),12,0),"")</f>
        <v/>
      </c>
      <c r="L95" s="23" t="str">
        <f aca="false">IF(ISNUMBER(H95),H95+I95+J95+K95,"")</f>
        <v/>
      </c>
    </row>
    <row r="96" customFormat="false" ht="18" hidden="false" customHeight="true" outlineLevel="0" collapsed="false">
      <c r="A96" s="25" t="s">
        <v>9</v>
      </c>
      <c r="B96" s="26" t="s">
        <v>149</v>
      </c>
      <c r="C96" s="27" t="s">
        <v>78</v>
      </c>
      <c r="D96" s="28" t="n">
        <v>2</v>
      </c>
      <c r="E96" s="28" t="n">
        <v>0</v>
      </c>
      <c r="F96" s="29" t="n">
        <f aca="false">'📋 Matches'!E24</f>
        <v>0</v>
      </c>
      <c r="G96" s="29" t="n">
        <f aca="false">'📋 Matches'!F24</f>
        <v>0</v>
      </c>
      <c r="H96" s="22" t="str">
        <f aca="false">IF(AND(ISNUMBER(F96),ISNUMBER(G96)),IF(SIGN(D96-E96)=SIGN(F96-G96),48,0),"")</f>
        <v/>
      </c>
      <c r="I96" s="22" t="str">
        <f aca="false">IF(AND(ISNUMBER(F96),ISNUMBER(G96)),IF(D96=F96,15,0),"")</f>
        <v/>
      </c>
      <c r="J96" s="22" t="str">
        <f aca="false">IF(AND(ISNUMBER(F96),ISNUMBER(G96)),IF(E96=G96,15,0),"")</f>
        <v/>
      </c>
      <c r="K96" s="22" t="str">
        <f aca="false">IF(AND(ISNUMBER(F96),ISNUMBER(G96)),IF(ABS(D96-E96)=ABS(F96-G96),12,0),"")</f>
        <v/>
      </c>
      <c r="L96" s="23" t="str">
        <f aca="false">IF(ISNUMBER(H96),H96+I96+J96+K96,"")</f>
        <v/>
      </c>
    </row>
    <row r="97" customFormat="false" ht="18" hidden="false" customHeight="true" outlineLevel="0" collapsed="false">
      <c r="A97" s="25" t="s">
        <v>9</v>
      </c>
      <c r="B97" s="26" t="s">
        <v>149</v>
      </c>
      <c r="C97" s="27" t="s">
        <v>81</v>
      </c>
      <c r="D97" s="28" t="n">
        <v>0</v>
      </c>
      <c r="E97" s="28" t="n">
        <v>1</v>
      </c>
      <c r="F97" s="29" t="n">
        <f aca="false">'📋 Matches'!E25</f>
        <v>0</v>
      </c>
      <c r="G97" s="29" t="n">
        <f aca="false">'📋 Matches'!F25</f>
        <v>0</v>
      </c>
      <c r="H97" s="22" t="str">
        <f aca="false">IF(AND(ISNUMBER(F97),ISNUMBER(G97)),IF(SIGN(D97-E97)=SIGN(F97-G97),48,0),"")</f>
        <v/>
      </c>
      <c r="I97" s="22" t="str">
        <f aca="false">IF(AND(ISNUMBER(F97),ISNUMBER(G97)),IF(D97=F97,15,0),"")</f>
        <v/>
      </c>
      <c r="J97" s="22" t="str">
        <f aca="false">IF(AND(ISNUMBER(F97),ISNUMBER(G97)),IF(E97=G97,15,0),"")</f>
        <v/>
      </c>
      <c r="K97" s="22" t="str">
        <f aca="false">IF(AND(ISNUMBER(F97),ISNUMBER(G97)),IF(ABS(D97-E97)=ABS(F97-G97),12,0),"")</f>
        <v/>
      </c>
      <c r="L97" s="23" t="str">
        <f aca="false">IF(ISNUMBER(H97),H97+I97+J97+K97,"")</f>
        <v/>
      </c>
    </row>
    <row r="98" customFormat="false" ht="18" hidden="false" customHeight="true" outlineLevel="0" collapsed="false">
      <c r="A98" s="25" t="s">
        <v>84</v>
      </c>
      <c r="B98" s="26" t="s">
        <v>149</v>
      </c>
      <c r="C98" s="27" t="s">
        <v>85</v>
      </c>
      <c r="D98" s="28"/>
      <c r="E98" s="28"/>
      <c r="F98" s="29" t="n">
        <f aca="false">'📋 Matches'!E26</f>
        <v>0</v>
      </c>
      <c r="G98" s="29" t="n">
        <f aca="false">'📋 Matches'!F26</f>
        <v>0</v>
      </c>
      <c r="H98" s="30" t="s">
        <v>148</v>
      </c>
      <c r="I98" s="30" t="s">
        <v>148</v>
      </c>
      <c r="J98" s="30" t="s">
        <v>148</v>
      </c>
      <c r="K98" s="30" t="s">
        <v>148</v>
      </c>
      <c r="L98" s="30" t="s">
        <v>148</v>
      </c>
    </row>
    <row r="99" customFormat="false" ht="18" hidden="false" customHeight="true" outlineLevel="0" collapsed="false">
      <c r="A99" s="25" t="s">
        <v>84</v>
      </c>
      <c r="B99" s="26" t="s">
        <v>149</v>
      </c>
      <c r="C99" s="27" t="s">
        <v>87</v>
      </c>
      <c r="D99" s="28"/>
      <c r="E99" s="28"/>
      <c r="F99" s="29" t="n">
        <f aca="false">'📋 Matches'!E27</f>
        <v>0</v>
      </c>
      <c r="G99" s="29" t="n">
        <f aca="false">'📋 Matches'!F27</f>
        <v>0</v>
      </c>
      <c r="H99" s="30" t="s">
        <v>148</v>
      </c>
      <c r="I99" s="30" t="s">
        <v>148</v>
      </c>
      <c r="J99" s="30" t="s">
        <v>148</v>
      </c>
      <c r="K99" s="30" t="s">
        <v>148</v>
      </c>
      <c r="L99" s="30" t="s">
        <v>148</v>
      </c>
    </row>
    <row r="100" customFormat="false" ht="18" hidden="false" customHeight="true" outlineLevel="0" collapsed="false">
      <c r="A100" s="25" t="s">
        <v>84</v>
      </c>
      <c r="B100" s="26" t="s">
        <v>149</v>
      </c>
      <c r="C100" s="27" t="s">
        <v>89</v>
      </c>
      <c r="D100" s="28"/>
      <c r="E100" s="28"/>
      <c r="F100" s="29" t="n">
        <f aca="false">'📋 Matches'!E28</f>
        <v>0</v>
      </c>
      <c r="G100" s="29" t="n">
        <f aca="false">'📋 Matches'!F28</f>
        <v>0</v>
      </c>
      <c r="H100" s="30" t="s">
        <v>148</v>
      </c>
      <c r="I100" s="30" t="s">
        <v>148</v>
      </c>
      <c r="J100" s="30" t="s">
        <v>148</v>
      </c>
      <c r="K100" s="30" t="s">
        <v>148</v>
      </c>
      <c r="L100" s="30" t="s">
        <v>148</v>
      </c>
    </row>
    <row r="101" customFormat="false" ht="18" hidden="false" customHeight="true" outlineLevel="0" collapsed="false">
      <c r="A101" s="25" t="s">
        <v>84</v>
      </c>
      <c r="B101" s="26" t="s">
        <v>149</v>
      </c>
      <c r="C101" s="27" t="s">
        <v>90</v>
      </c>
      <c r="D101" s="28"/>
      <c r="E101" s="28"/>
      <c r="F101" s="29" t="n">
        <f aca="false">'📋 Matches'!E29</f>
        <v>0</v>
      </c>
      <c r="G101" s="29" t="n">
        <f aca="false">'📋 Matches'!F29</f>
        <v>0</v>
      </c>
      <c r="H101" s="30" t="s">
        <v>148</v>
      </c>
      <c r="I101" s="30" t="s">
        <v>148</v>
      </c>
      <c r="J101" s="30" t="s">
        <v>148</v>
      </c>
      <c r="K101" s="30" t="s">
        <v>148</v>
      </c>
      <c r="L101" s="30" t="s">
        <v>148</v>
      </c>
    </row>
    <row r="102" customFormat="false" ht="18" hidden="false" customHeight="true" outlineLevel="0" collapsed="false">
      <c r="A102" s="25" t="s">
        <v>84</v>
      </c>
      <c r="B102" s="26" t="s">
        <v>149</v>
      </c>
      <c r="C102" s="27" t="s">
        <v>91</v>
      </c>
      <c r="D102" s="28"/>
      <c r="E102" s="28"/>
      <c r="F102" s="29" t="n">
        <f aca="false">'📋 Matches'!E30</f>
        <v>0</v>
      </c>
      <c r="G102" s="29" t="n">
        <f aca="false">'📋 Matches'!F30</f>
        <v>0</v>
      </c>
      <c r="H102" s="30" t="s">
        <v>148</v>
      </c>
      <c r="I102" s="30" t="s">
        <v>148</v>
      </c>
      <c r="J102" s="30" t="s">
        <v>148</v>
      </c>
      <c r="K102" s="30" t="s">
        <v>148</v>
      </c>
      <c r="L102" s="30" t="s">
        <v>148</v>
      </c>
    </row>
    <row r="103" customFormat="false" ht="18" hidden="false" customHeight="true" outlineLevel="0" collapsed="false">
      <c r="A103" s="25" t="s">
        <v>84</v>
      </c>
      <c r="B103" s="26" t="s">
        <v>149</v>
      </c>
      <c r="C103" s="27" t="s">
        <v>92</v>
      </c>
      <c r="D103" s="28"/>
      <c r="E103" s="28"/>
      <c r="F103" s="29" t="n">
        <f aca="false">'📋 Matches'!E31</f>
        <v>0</v>
      </c>
      <c r="G103" s="29" t="n">
        <f aca="false">'📋 Matches'!F31</f>
        <v>0</v>
      </c>
      <c r="H103" s="30" t="s">
        <v>148</v>
      </c>
      <c r="I103" s="30" t="s">
        <v>148</v>
      </c>
      <c r="J103" s="30" t="s">
        <v>148</v>
      </c>
      <c r="K103" s="30" t="s">
        <v>148</v>
      </c>
      <c r="L103" s="30" t="s">
        <v>148</v>
      </c>
    </row>
    <row r="104" customFormat="false" ht="18" hidden="false" customHeight="true" outlineLevel="0" collapsed="false">
      <c r="A104" s="25" t="s">
        <v>84</v>
      </c>
      <c r="B104" s="26" t="s">
        <v>149</v>
      </c>
      <c r="C104" s="27" t="s">
        <v>93</v>
      </c>
      <c r="D104" s="28"/>
      <c r="E104" s="28"/>
      <c r="F104" s="29" t="n">
        <f aca="false">'📋 Matches'!E32</f>
        <v>0</v>
      </c>
      <c r="G104" s="29" t="n">
        <f aca="false">'📋 Matches'!F32</f>
        <v>0</v>
      </c>
      <c r="H104" s="30" t="s">
        <v>148</v>
      </c>
      <c r="I104" s="30" t="s">
        <v>148</v>
      </c>
      <c r="J104" s="30" t="s">
        <v>148</v>
      </c>
      <c r="K104" s="30" t="s">
        <v>148</v>
      </c>
      <c r="L104" s="30" t="s">
        <v>148</v>
      </c>
    </row>
    <row r="105" customFormat="false" ht="18" hidden="false" customHeight="true" outlineLevel="0" collapsed="false">
      <c r="A105" s="25" t="s">
        <v>84</v>
      </c>
      <c r="B105" s="26" t="s">
        <v>149</v>
      </c>
      <c r="C105" s="27" t="s">
        <v>94</v>
      </c>
      <c r="D105" s="28"/>
      <c r="E105" s="28"/>
      <c r="F105" s="29" t="n">
        <f aca="false">'📋 Matches'!E33</f>
        <v>0</v>
      </c>
      <c r="G105" s="29" t="n">
        <f aca="false">'📋 Matches'!F33</f>
        <v>0</v>
      </c>
      <c r="H105" s="30" t="s">
        <v>148</v>
      </c>
      <c r="I105" s="30" t="s">
        <v>148</v>
      </c>
      <c r="J105" s="30" t="s">
        <v>148</v>
      </c>
      <c r="K105" s="30" t="s">
        <v>148</v>
      </c>
      <c r="L105" s="30" t="s">
        <v>148</v>
      </c>
    </row>
    <row r="106" customFormat="false" ht="18" hidden="false" customHeight="true" outlineLevel="0" collapsed="false">
      <c r="A106" s="25" t="s">
        <v>84</v>
      </c>
      <c r="B106" s="26" t="s">
        <v>149</v>
      </c>
      <c r="C106" s="27" t="s">
        <v>96</v>
      </c>
      <c r="D106" s="28"/>
      <c r="E106" s="28"/>
      <c r="F106" s="29" t="n">
        <f aca="false">'📋 Matches'!E34</f>
        <v>0</v>
      </c>
      <c r="G106" s="29" t="n">
        <f aca="false">'📋 Matches'!F34</f>
        <v>0</v>
      </c>
      <c r="H106" s="30" t="s">
        <v>148</v>
      </c>
      <c r="I106" s="30" t="s">
        <v>148</v>
      </c>
      <c r="J106" s="30" t="s">
        <v>148</v>
      </c>
      <c r="K106" s="30" t="s">
        <v>148</v>
      </c>
      <c r="L106" s="30" t="s">
        <v>148</v>
      </c>
    </row>
    <row r="107" customFormat="false" ht="18" hidden="false" customHeight="true" outlineLevel="0" collapsed="false">
      <c r="A107" s="25" t="s">
        <v>84</v>
      </c>
      <c r="B107" s="26" t="s">
        <v>149</v>
      </c>
      <c r="C107" s="27" t="s">
        <v>97</v>
      </c>
      <c r="D107" s="28"/>
      <c r="E107" s="28"/>
      <c r="F107" s="29" t="n">
        <f aca="false">'📋 Matches'!E35</f>
        <v>0</v>
      </c>
      <c r="G107" s="29" t="n">
        <f aca="false">'📋 Matches'!F35</f>
        <v>0</v>
      </c>
      <c r="H107" s="30" t="s">
        <v>148</v>
      </c>
      <c r="I107" s="30" t="s">
        <v>148</v>
      </c>
      <c r="J107" s="30" t="s">
        <v>148</v>
      </c>
      <c r="K107" s="30" t="s">
        <v>148</v>
      </c>
      <c r="L107" s="30" t="s">
        <v>148</v>
      </c>
    </row>
    <row r="108" customFormat="false" ht="18" hidden="false" customHeight="true" outlineLevel="0" collapsed="false">
      <c r="A108" s="25" t="s">
        <v>84</v>
      </c>
      <c r="B108" s="26" t="s">
        <v>149</v>
      </c>
      <c r="C108" s="27" t="s">
        <v>98</v>
      </c>
      <c r="D108" s="28"/>
      <c r="E108" s="28"/>
      <c r="F108" s="29" t="n">
        <f aca="false">'📋 Matches'!E36</f>
        <v>0</v>
      </c>
      <c r="G108" s="29" t="n">
        <f aca="false">'📋 Matches'!F36</f>
        <v>0</v>
      </c>
      <c r="H108" s="30" t="s">
        <v>148</v>
      </c>
      <c r="I108" s="30" t="s">
        <v>148</v>
      </c>
      <c r="J108" s="30" t="s">
        <v>148</v>
      </c>
      <c r="K108" s="30" t="s">
        <v>148</v>
      </c>
      <c r="L108" s="30" t="s">
        <v>148</v>
      </c>
    </row>
    <row r="109" customFormat="false" ht="18" hidden="false" customHeight="true" outlineLevel="0" collapsed="false">
      <c r="A109" s="25" t="s">
        <v>84</v>
      </c>
      <c r="B109" s="26" t="s">
        <v>149</v>
      </c>
      <c r="C109" s="27" t="s">
        <v>100</v>
      </c>
      <c r="D109" s="28"/>
      <c r="E109" s="28"/>
      <c r="F109" s="29" t="n">
        <f aca="false">'📋 Matches'!E37</f>
        <v>0</v>
      </c>
      <c r="G109" s="29" t="n">
        <f aca="false">'📋 Matches'!F37</f>
        <v>0</v>
      </c>
      <c r="H109" s="30" t="s">
        <v>148</v>
      </c>
      <c r="I109" s="30" t="s">
        <v>148</v>
      </c>
      <c r="J109" s="30" t="s">
        <v>148</v>
      </c>
      <c r="K109" s="30" t="s">
        <v>148</v>
      </c>
      <c r="L109" s="30" t="s">
        <v>148</v>
      </c>
    </row>
    <row r="110" customFormat="false" ht="18" hidden="false" customHeight="true" outlineLevel="0" collapsed="false">
      <c r="A110" s="25" t="s">
        <v>84</v>
      </c>
      <c r="B110" s="26" t="s">
        <v>149</v>
      </c>
      <c r="C110" s="27" t="s">
        <v>101</v>
      </c>
      <c r="D110" s="28"/>
      <c r="E110" s="28"/>
      <c r="F110" s="29" t="n">
        <f aca="false">'📋 Matches'!E38</f>
        <v>0</v>
      </c>
      <c r="G110" s="29" t="n">
        <f aca="false">'📋 Matches'!F38</f>
        <v>0</v>
      </c>
      <c r="H110" s="30" t="s">
        <v>148</v>
      </c>
      <c r="I110" s="30" t="s">
        <v>148</v>
      </c>
      <c r="J110" s="30" t="s">
        <v>148</v>
      </c>
      <c r="K110" s="30" t="s">
        <v>148</v>
      </c>
      <c r="L110" s="30" t="s">
        <v>148</v>
      </c>
    </row>
    <row r="111" customFormat="false" ht="18" hidden="false" customHeight="true" outlineLevel="0" collapsed="false">
      <c r="A111" s="25" t="s">
        <v>84</v>
      </c>
      <c r="B111" s="26" t="s">
        <v>149</v>
      </c>
      <c r="C111" s="27" t="s">
        <v>102</v>
      </c>
      <c r="D111" s="28"/>
      <c r="E111" s="28"/>
      <c r="F111" s="29" t="n">
        <f aca="false">'📋 Matches'!E39</f>
        <v>0</v>
      </c>
      <c r="G111" s="29" t="n">
        <f aca="false">'📋 Matches'!F39</f>
        <v>0</v>
      </c>
      <c r="H111" s="30" t="s">
        <v>148</v>
      </c>
      <c r="I111" s="30" t="s">
        <v>148</v>
      </c>
      <c r="J111" s="30" t="s">
        <v>148</v>
      </c>
      <c r="K111" s="30" t="s">
        <v>148</v>
      </c>
      <c r="L111" s="30" t="s">
        <v>148</v>
      </c>
    </row>
    <row r="112" customFormat="false" ht="18" hidden="false" customHeight="true" outlineLevel="0" collapsed="false">
      <c r="A112" s="25" t="s">
        <v>84</v>
      </c>
      <c r="B112" s="26" t="s">
        <v>149</v>
      </c>
      <c r="C112" s="27" t="s">
        <v>103</v>
      </c>
      <c r="D112" s="28"/>
      <c r="E112" s="28"/>
      <c r="F112" s="29" t="n">
        <f aca="false">'📋 Matches'!E40</f>
        <v>0</v>
      </c>
      <c r="G112" s="29" t="n">
        <f aca="false">'📋 Matches'!F40</f>
        <v>0</v>
      </c>
      <c r="H112" s="30" t="s">
        <v>148</v>
      </c>
      <c r="I112" s="30" t="s">
        <v>148</v>
      </c>
      <c r="J112" s="30" t="s">
        <v>148</v>
      </c>
      <c r="K112" s="30" t="s">
        <v>148</v>
      </c>
      <c r="L112" s="30" t="s">
        <v>148</v>
      </c>
    </row>
    <row r="113" customFormat="false" ht="18" hidden="false" customHeight="true" outlineLevel="0" collapsed="false">
      <c r="A113" s="25" t="s">
        <v>84</v>
      </c>
      <c r="B113" s="26" t="s">
        <v>149</v>
      </c>
      <c r="C113" s="27" t="s">
        <v>104</v>
      </c>
      <c r="D113" s="28"/>
      <c r="E113" s="28"/>
      <c r="F113" s="29" t="n">
        <f aca="false">'📋 Matches'!E41</f>
        <v>0</v>
      </c>
      <c r="G113" s="29" t="n">
        <f aca="false">'📋 Matches'!F41</f>
        <v>0</v>
      </c>
      <c r="H113" s="30" t="s">
        <v>148</v>
      </c>
      <c r="I113" s="30" t="s">
        <v>148</v>
      </c>
      <c r="J113" s="30" t="s">
        <v>148</v>
      </c>
      <c r="K113" s="30" t="s">
        <v>148</v>
      </c>
      <c r="L113" s="30" t="s">
        <v>148</v>
      </c>
    </row>
    <row r="114" customFormat="false" ht="18" hidden="false" customHeight="true" outlineLevel="0" collapsed="false">
      <c r="A114" s="25" t="s">
        <v>84</v>
      </c>
      <c r="B114" s="26" t="s">
        <v>149</v>
      </c>
      <c r="C114" s="27" t="s">
        <v>105</v>
      </c>
      <c r="D114" s="28"/>
      <c r="E114" s="28"/>
      <c r="F114" s="29" t="n">
        <f aca="false">'📋 Matches'!E42</f>
        <v>0</v>
      </c>
      <c r="G114" s="29" t="n">
        <f aca="false">'📋 Matches'!F42</f>
        <v>0</v>
      </c>
      <c r="H114" s="30" t="s">
        <v>148</v>
      </c>
      <c r="I114" s="30" t="s">
        <v>148</v>
      </c>
      <c r="J114" s="30" t="s">
        <v>148</v>
      </c>
      <c r="K114" s="30" t="s">
        <v>148</v>
      </c>
      <c r="L114" s="30" t="s">
        <v>148</v>
      </c>
    </row>
    <row r="115" customFormat="false" ht="18" hidden="false" customHeight="true" outlineLevel="0" collapsed="false">
      <c r="A115" s="25" t="s">
        <v>84</v>
      </c>
      <c r="B115" s="26" t="s">
        <v>149</v>
      </c>
      <c r="C115" s="27" t="s">
        <v>106</v>
      </c>
      <c r="D115" s="28"/>
      <c r="E115" s="28"/>
      <c r="F115" s="29" t="n">
        <f aca="false">'📋 Matches'!E43</f>
        <v>0</v>
      </c>
      <c r="G115" s="29" t="n">
        <f aca="false">'📋 Matches'!F43</f>
        <v>0</v>
      </c>
      <c r="H115" s="30" t="s">
        <v>148</v>
      </c>
      <c r="I115" s="30" t="s">
        <v>148</v>
      </c>
      <c r="J115" s="30" t="s">
        <v>148</v>
      </c>
      <c r="K115" s="30" t="s">
        <v>148</v>
      </c>
      <c r="L115" s="30" t="s">
        <v>148</v>
      </c>
    </row>
    <row r="116" customFormat="false" ht="18" hidden="false" customHeight="true" outlineLevel="0" collapsed="false">
      <c r="A116" s="25" t="s">
        <v>84</v>
      </c>
      <c r="B116" s="26" t="s">
        <v>149</v>
      </c>
      <c r="C116" s="27" t="s">
        <v>107</v>
      </c>
      <c r="D116" s="28"/>
      <c r="E116" s="28"/>
      <c r="F116" s="29" t="n">
        <f aca="false">'📋 Matches'!E44</f>
        <v>0</v>
      </c>
      <c r="G116" s="29" t="n">
        <f aca="false">'📋 Matches'!F44</f>
        <v>0</v>
      </c>
      <c r="H116" s="30" t="s">
        <v>148</v>
      </c>
      <c r="I116" s="30" t="s">
        <v>148</v>
      </c>
      <c r="J116" s="30" t="s">
        <v>148</v>
      </c>
      <c r="K116" s="30" t="s">
        <v>148</v>
      </c>
      <c r="L116" s="30" t="s">
        <v>148</v>
      </c>
    </row>
    <row r="117" customFormat="false" ht="18" hidden="false" customHeight="true" outlineLevel="0" collapsed="false">
      <c r="A117" s="25" t="s">
        <v>84</v>
      </c>
      <c r="B117" s="26" t="s">
        <v>149</v>
      </c>
      <c r="C117" s="27" t="s">
        <v>108</v>
      </c>
      <c r="D117" s="28"/>
      <c r="E117" s="28"/>
      <c r="F117" s="29" t="n">
        <f aca="false">'📋 Matches'!E45</f>
        <v>0</v>
      </c>
      <c r="G117" s="29" t="n">
        <f aca="false">'📋 Matches'!F45</f>
        <v>0</v>
      </c>
      <c r="H117" s="30" t="s">
        <v>148</v>
      </c>
      <c r="I117" s="30" t="s">
        <v>148</v>
      </c>
      <c r="J117" s="30" t="s">
        <v>148</v>
      </c>
      <c r="K117" s="30" t="s">
        <v>148</v>
      </c>
      <c r="L117" s="30" t="s">
        <v>148</v>
      </c>
    </row>
    <row r="118" customFormat="false" ht="18" hidden="false" customHeight="true" outlineLevel="0" collapsed="false">
      <c r="A118" s="25" t="s">
        <v>84</v>
      </c>
      <c r="B118" s="26" t="s">
        <v>149</v>
      </c>
      <c r="C118" s="27" t="s">
        <v>109</v>
      </c>
      <c r="D118" s="28"/>
      <c r="E118" s="28"/>
      <c r="F118" s="29" t="n">
        <f aca="false">'📋 Matches'!E46</f>
        <v>0</v>
      </c>
      <c r="G118" s="29" t="n">
        <f aca="false">'📋 Matches'!F46</f>
        <v>0</v>
      </c>
      <c r="H118" s="30" t="s">
        <v>148</v>
      </c>
      <c r="I118" s="30" t="s">
        <v>148</v>
      </c>
      <c r="J118" s="30" t="s">
        <v>148</v>
      </c>
      <c r="K118" s="30" t="s">
        <v>148</v>
      </c>
      <c r="L118" s="30" t="s">
        <v>148</v>
      </c>
    </row>
    <row r="119" customFormat="false" ht="18" hidden="false" customHeight="true" outlineLevel="0" collapsed="false">
      <c r="A119" s="25" t="s">
        <v>84</v>
      </c>
      <c r="B119" s="26" t="s">
        <v>149</v>
      </c>
      <c r="C119" s="27" t="s">
        <v>110</v>
      </c>
      <c r="D119" s="28"/>
      <c r="E119" s="28"/>
      <c r="F119" s="29" t="n">
        <f aca="false">'📋 Matches'!E47</f>
        <v>0</v>
      </c>
      <c r="G119" s="29" t="n">
        <f aca="false">'📋 Matches'!F47</f>
        <v>0</v>
      </c>
      <c r="H119" s="30" t="s">
        <v>148</v>
      </c>
      <c r="I119" s="30" t="s">
        <v>148</v>
      </c>
      <c r="J119" s="30" t="s">
        <v>148</v>
      </c>
      <c r="K119" s="30" t="s">
        <v>148</v>
      </c>
      <c r="L119" s="30" t="s">
        <v>148</v>
      </c>
    </row>
    <row r="120" customFormat="false" ht="18" hidden="false" customHeight="true" outlineLevel="0" collapsed="false">
      <c r="A120" s="25" t="s">
        <v>84</v>
      </c>
      <c r="B120" s="26" t="s">
        <v>149</v>
      </c>
      <c r="C120" s="27" t="s">
        <v>111</v>
      </c>
      <c r="D120" s="28"/>
      <c r="E120" s="28"/>
      <c r="F120" s="29" t="n">
        <f aca="false">'📋 Matches'!E48</f>
        <v>0</v>
      </c>
      <c r="G120" s="29" t="n">
        <f aca="false">'📋 Matches'!F48</f>
        <v>0</v>
      </c>
      <c r="H120" s="30" t="s">
        <v>148</v>
      </c>
      <c r="I120" s="30" t="s">
        <v>148</v>
      </c>
      <c r="J120" s="30" t="s">
        <v>148</v>
      </c>
      <c r="K120" s="30" t="s">
        <v>148</v>
      </c>
      <c r="L120" s="30" t="s">
        <v>148</v>
      </c>
    </row>
    <row r="121" customFormat="false" ht="18" hidden="false" customHeight="true" outlineLevel="0" collapsed="false">
      <c r="A121" s="25" t="s">
        <v>84</v>
      </c>
      <c r="B121" s="26" t="s">
        <v>149</v>
      </c>
      <c r="C121" s="27" t="s">
        <v>112</v>
      </c>
      <c r="D121" s="28"/>
      <c r="E121" s="28"/>
      <c r="F121" s="29" t="n">
        <f aca="false">'📋 Matches'!E49</f>
        <v>0</v>
      </c>
      <c r="G121" s="29" t="n">
        <f aca="false">'📋 Matches'!F49</f>
        <v>0</v>
      </c>
      <c r="H121" s="30" t="s">
        <v>148</v>
      </c>
      <c r="I121" s="30" t="s">
        <v>148</v>
      </c>
      <c r="J121" s="30" t="s">
        <v>148</v>
      </c>
      <c r="K121" s="30" t="s">
        <v>148</v>
      </c>
      <c r="L121" s="30" t="s">
        <v>148</v>
      </c>
    </row>
    <row r="122" customFormat="false" ht="18" hidden="false" customHeight="true" outlineLevel="0" collapsed="false">
      <c r="A122" s="25" t="s">
        <v>114</v>
      </c>
      <c r="B122" s="26" t="s">
        <v>149</v>
      </c>
      <c r="C122" s="27" t="s">
        <v>115</v>
      </c>
      <c r="D122" s="28"/>
      <c r="E122" s="28"/>
      <c r="F122" s="29" t="n">
        <f aca="false">'📋 Matches'!E50</f>
        <v>0</v>
      </c>
      <c r="G122" s="29" t="n">
        <f aca="false">'📋 Matches'!F50</f>
        <v>0</v>
      </c>
      <c r="H122" s="30" t="s">
        <v>148</v>
      </c>
      <c r="I122" s="30" t="s">
        <v>148</v>
      </c>
      <c r="J122" s="30" t="s">
        <v>148</v>
      </c>
      <c r="K122" s="30" t="s">
        <v>148</v>
      </c>
      <c r="L122" s="30" t="s">
        <v>148</v>
      </c>
    </row>
    <row r="123" customFormat="false" ht="18" hidden="false" customHeight="true" outlineLevel="0" collapsed="false">
      <c r="A123" s="25" t="s">
        <v>114</v>
      </c>
      <c r="B123" s="26" t="s">
        <v>149</v>
      </c>
      <c r="C123" s="27" t="s">
        <v>116</v>
      </c>
      <c r="D123" s="28"/>
      <c r="E123" s="28"/>
      <c r="F123" s="29" t="n">
        <f aca="false">'📋 Matches'!E51</f>
        <v>0</v>
      </c>
      <c r="G123" s="29" t="n">
        <f aca="false">'📋 Matches'!F51</f>
        <v>0</v>
      </c>
      <c r="H123" s="30" t="s">
        <v>148</v>
      </c>
      <c r="I123" s="30" t="s">
        <v>148</v>
      </c>
      <c r="J123" s="30" t="s">
        <v>148</v>
      </c>
      <c r="K123" s="30" t="s">
        <v>148</v>
      </c>
      <c r="L123" s="30" t="s">
        <v>148</v>
      </c>
    </row>
    <row r="124" customFormat="false" ht="18" hidden="false" customHeight="true" outlineLevel="0" collapsed="false">
      <c r="A124" s="25" t="s">
        <v>114</v>
      </c>
      <c r="B124" s="26" t="s">
        <v>149</v>
      </c>
      <c r="C124" s="27" t="s">
        <v>117</v>
      </c>
      <c r="D124" s="28"/>
      <c r="E124" s="28"/>
      <c r="F124" s="29" t="n">
        <f aca="false">'📋 Matches'!E52</f>
        <v>0</v>
      </c>
      <c r="G124" s="29" t="n">
        <f aca="false">'📋 Matches'!F52</f>
        <v>0</v>
      </c>
      <c r="H124" s="30" t="s">
        <v>148</v>
      </c>
      <c r="I124" s="30" t="s">
        <v>148</v>
      </c>
      <c r="J124" s="30" t="s">
        <v>148</v>
      </c>
      <c r="K124" s="30" t="s">
        <v>148</v>
      </c>
      <c r="L124" s="30" t="s">
        <v>148</v>
      </c>
    </row>
    <row r="125" customFormat="false" ht="18" hidden="false" customHeight="true" outlineLevel="0" collapsed="false">
      <c r="A125" s="25" t="s">
        <v>114</v>
      </c>
      <c r="B125" s="26" t="s">
        <v>149</v>
      </c>
      <c r="C125" s="27" t="s">
        <v>118</v>
      </c>
      <c r="D125" s="28"/>
      <c r="E125" s="28"/>
      <c r="F125" s="29" t="n">
        <f aca="false">'📋 Matches'!E53</f>
        <v>0</v>
      </c>
      <c r="G125" s="29" t="n">
        <f aca="false">'📋 Matches'!F53</f>
        <v>0</v>
      </c>
      <c r="H125" s="30" t="s">
        <v>148</v>
      </c>
      <c r="I125" s="30" t="s">
        <v>148</v>
      </c>
      <c r="J125" s="30" t="s">
        <v>148</v>
      </c>
      <c r="K125" s="30" t="s">
        <v>148</v>
      </c>
      <c r="L125" s="30" t="s">
        <v>148</v>
      </c>
    </row>
    <row r="126" customFormat="false" ht="18" hidden="false" customHeight="true" outlineLevel="0" collapsed="false">
      <c r="A126" s="25" t="s">
        <v>114</v>
      </c>
      <c r="B126" s="26" t="s">
        <v>149</v>
      </c>
      <c r="C126" s="27" t="s">
        <v>119</v>
      </c>
      <c r="D126" s="28"/>
      <c r="E126" s="28"/>
      <c r="F126" s="29" t="n">
        <f aca="false">'📋 Matches'!E54</f>
        <v>0</v>
      </c>
      <c r="G126" s="29" t="n">
        <f aca="false">'📋 Matches'!F54</f>
        <v>0</v>
      </c>
      <c r="H126" s="30" t="s">
        <v>148</v>
      </c>
      <c r="I126" s="30" t="s">
        <v>148</v>
      </c>
      <c r="J126" s="30" t="s">
        <v>148</v>
      </c>
      <c r="K126" s="30" t="s">
        <v>148</v>
      </c>
      <c r="L126" s="30" t="s">
        <v>148</v>
      </c>
    </row>
    <row r="127" customFormat="false" ht="18" hidden="false" customHeight="true" outlineLevel="0" collapsed="false">
      <c r="A127" s="25" t="s">
        <v>114</v>
      </c>
      <c r="B127" s="26" t="s">
        <v>149</v>
      </c>
      <c r="C127" s="27" t="s">
        <v>120</v>
      </c>
      <c r="D127" s="28"/>
      <c r="E127" s="28"/>
      <c r="F127" s="29" t="n">
        <f aca="false">'📋 Matches'!E55</f>
        <v>0</v>
      </c>
      <c r="G127" s="29" t="n">
        <f aca="false">'📋 Matches'!F55</f>
        <v>0</v>
      </c>
      <c r="H127" s="30" t="s">
        <v>148</v>
      </c>
      <c r="I127" s="30" t="s">
        <v>148</v>
      </c>
      <c r="J127" s="30" t="s">
        <v>148</v>
      </c>
      <c r="K127" s="30" t="s">
        <v>148</v>
      </c>
      <c r="L127" s="30" t="s">
        <v>148</v>
      </c>
    </row>
    <row r="128" customFormat="false" ht="18" hidden="false" customHeight="true" outlineLevel="0" collapsed="false">
      <c r="A128" s="25" t="s">
        <v>114</v>
      </c>
      <c r="B128" s="26" t="s">
        <v>149</v>
      </c>
      <c r="C128" s="27" t="s">
        <v>121</v>
      </c>
      <c r="D128" s="28"/>
      <c r="E128" s="28"/>
      <c r="F128" s="29" t="n">
        <f aca="false">'📋 Matches'!E56</f>
        <v>0</v>
      </c>
      <c r="G128" s="29" t="n">
        <f aca="false">'📋 Matches'!F56</f>
        <v>0</v>
      </c>
      <c r="H128" s="30" t="s">
        <v>148</v>
      </c>
      <c r="I128" s="30" t="s">
        <v>148</v>
      </c>
      <c r="J128" s="30" t="s">
        <v>148</v>
      </c>
      <c r="K128" s="30" t="s">
        <v>148</v>
      </c>
      <c r="L128" s="30" t="s">
        <v>148</v>
      </c>
    </row>
    <row r="129" customFormat="false" ht="18" hidden="false" customHeight="true" outlineLevel="0" collapsed="false">
      <c r="A129" s="25" t="s">
        <v>114</v>
      </c>
      <c r="B129" s="26" t="s">
        <v>149</v>
      </c>
      <c r="C129" s="27" t="s">
        <v>122</v>
      </c>
      <c r="D129" s="28"/>
      <c r="E129" s="28"/>
      <c r="F129" s="29" t="n">
        <f aca="false">'📋 Matches'!E57</f>
        <v>0</v>
      </c>
      <c r="G129" s="29" t="n">
        <f aca="false">'📋 Matches'!F57</f>
        <v>0</v>
      </c>
      <c r="H129" s="30" t="s">
        <v>148</v>
      </c>
      <c r="I129" s="30" t="s">
        <v>148</v>
      </c>
      <c r="J129" s="30" t="s">
        <v>148</v>
      </c>
      <c r="K129" s="30" t="s">
        <v>148</v>
      </c>
      <c r="L129" s="30" t="s">
        <v>148</v>
      </c>
    </row>
    <row r="130" customFormat="false" ht="18" hidden="false" customHeight="true" outlineLevel="0" collapsed="false">
      <c r="A130" s="25" t="s">
        <v>114</v>
      </c>
      <c r="B130" s="26" t="s">
        <v>149</v>
      </c>
      <c r="C130" s="27" t="s">
        <v>123</v>
      </c>
      <c r="D130" s="28"/>
      <c r="E130" s="28"/>
      <c r="F130" s="29" t="n">
        <f aca="false">'📋 Matches'!E58</f>
        <v>0</v>
      </c>
      <c r="G130" s="29" t="n">
        <f aca="false">'📋 Matches'!F58</f>
        <v>0</v>
      </c>
      <c r="H130" s="30" t="s">
        <v>148</v>
      </c>
      <c r="I130" s="30" t="s">
        <v>148</v>
      </c>
      <c r="J130" s="30" t="s">
        <v>148</v>
      </c>
      <c r="K130" s="30" t="s">
        <v>148</v>
      </c>
      <c r="L130" s="30" t="s">
        <v>148</v>
      </c>
    </row>
    <row r="131" customFormat="false" ht="18" hidden="false" customHeight="true" outlineLevel="0" collapsed="false">
      <c r="A131" s="25" t="s">
        <v>114</v>
      </c>
      <c r="B131" s="26" t="s">
        <v>149</v>
      </c>
      <c r="C131" s="27" t="s">
        <v>124</v>
      </c>
      <c r="D131" s="28"/>
      <c r="E131" s="28"/>
      <c r="F131" s="29" t="n">
        <f aca="false">'📋 Matches'!E59</f>
        <v>0</v>
      </c>
      <c r="G131" s="29" t="n">
        <f aca="false">'📋 Matches'!F59</f>
        <v>0</v>
      </c>
      <c r="H131" s="30" t="s">
        <v>148</v>
      </c>
      <c r="I131" s="30" t="s">
        <v>148</v>
      </c>
      <c r="J131" s="30" t="s">
        <v>148</v>
      </c>
      <c r="K131" s="30" t="s">
        <v>148</v>
      </c>
      <c r="L131" s="30" t="s">
        <v>148</v>
      </c>
    </row>
    <row r="132" customFormat="false" ht="18" hidden="false" customHeight="true" outlineLevel="0" collapsed="false">
      <c r="A132" s="25" t="s">
        <v>114</v>
      </c>
      <c r="B132" s="26" t="s">
        <v>149</v>
      </c>
      <c r="C132" s="27" t="s">
        <v>125</v>
      </c>
      <c r="D132" s="28"/>
      <c r="E132" s="28"/>
      <c r="F132" s="29" t="n">
        <f aca="false">'📋 Matches'!E60</f>
        <v>0</v>
      </c>
      <c r="G132" s="29" t="n">
        <f aca="false">'📋 Matches'!F60</f>
        <v>0</v>
      </c>
      <c r="H132" s="30" t="s">
        <v>148</v>
      </c>
      <c r="I132" s="30" t="s">
        <v>148</v>
      </c>
      <c r="J132" s="30" t="s">
        <v>148</v>
      </c>
      <c r="K132" s="30" t="s">
        <v>148</v>
      </c>
      <c r="L132" s="30" t="s">
        <v>148</v>
      </c>
    </row>
    <row r="133" customFormat="false" ht="18" hidden="false" customHeight="true" outlineLevel="0" collapsed="false">
      <c r="A133" s="25" t="s">
        <v>114</v>
      </c>
      <c r="B133" s="26" t="s">
        <v>149</v>
      </c>
      <c r="C133" s="27" t="s">
        <v>126</v>
      </c>
      <c r="D133" s="28"/>
      <c r="E133" s="28"/>
      <c r="F133" s="29" t="n">
        <f aca="false">'📋 Matches'!E61</f>
        <v>0</v>
      </c>
      <c r="G133" s="29" t="n">
        <f aca="false">'📋 Matches'!F61</f>
        <v>0</v>
      </c>
      <c r="H133" s="30" t="s">
        <v>148</v>
      </c>
      <c r="I133" s="30" t="s">
        <v>148</v>
      </c>
      <c r="J133" s="30" t="s">
        <v>148</v>
      </c>
      <c r="K133" s="30" t="s">
        <v>148</v>
      </c>
      <c r="L133" s="30" t="s">
        <v>148</v>
      </c>
    </row>
    <row r="134" customFormat="false" ht="18" hidden="false" customHeight="true" outlineLevel="0" collapsed="false">
      <c r="A134" s="25" t="s">
        <v>114</v>
      </c>
      <c r="B134" s="26" t="s">
        <v>149</v>
      </c>
      <c r="C134" s="27" t="s">
        <v>127</v>
      </c>
      <c r="D134" s="28"/>
      <c r="E134" s="28"/>
      <c r="F134" s="29" t="n">
        <f aca="false">'📋 Matches'!E62</f>
        <v>0</v>
      </c>
      <c r="G134" s="29" t="n">
        <f aca="false">'📋 Matches'!F62</f>
        <v>0</v>
      </c>
      <c r="H134" s="30" t="s">
        <v>148</v>
      </c>
      <c r="I134" s="30" t="s">
        <v>148</v>
      </c>
      <c r="J134" s="30" t="s">
        <v>148</v>
      </c>
      <c r="K134" s="30" t="s">
        <v>148</v>
      </c>
      <c r="L134" s="30" t="s">
        <v>148</v>
      </c>
    </row>
    <row r="135" customFormat="false" ht="18" hidden="false" customHeight="true" outlineLevel="0" collapsed="false">
      <c r="A135" s="25" t="s">
        <v>114</v>
      </c>
      <c r="B135" s="26" t="s">
        <v>149</v>
      </c>
      <c r="C135" s="27" t="s">
        <v>128</v>
      </c>
      <c r="D135" s="28"/>
      <c r="E135" s="28"/>
      <c r="F135" s="29" t="n">
        <f aca="false">'📋 Matches'!E63</f>
        <v>0</v>
      </c>
      <c r="G135" s="29" t="n">
        <f aca="false">'📋 Matches'!F63</f>
        <v>0</v>
      </c>
      <c r="H135" s="30" t="s">
        <v>148</v>
      </c>
      <c r="I135" s="30" t="s">
        <v>148</v>
      </c>
      <c r="J135" s="30" t="s">
        <v>148</v>
      </c>
      <c r="K135" s="30" t="s">
        <v>148</v>
      </c>
      <c r="L135" s="30" t="s">
        <v>148</v>
      </c>
    </row>
    <row r="136" customFormat="false" ht="18" hidden="false" customHeight="true" outlineLevel="0" collapsed="false">
      <c r="A136" s="25" t="s">
        <v>114</v>
      </c>
      <c r="B136" s="26" t="s">
        <v>149</v>
      </c>
      <c r="C136" s="27" t="s">
        <v>129</v>
      </c>
      <c r="D136" s="28"/>
      <c r="E136" s="28"/>
      <c r="F136" s="29" t="n">
        <f aca="false">'📋 Matches'!E64</f>
        <v>0</v>
      </c>
      <c r="G136" s="29" t="n">
        <f aca="false">'📋 Matches'!F64</f>
        <v>0</v>
      </c>
      <c r="H136" s="30" t="s">
        <v>148</v>
      </c>
      <c r="I136" s="30" t="s">
        <v>148</v>
      </c>
      <c r="J136" s="30" t="s">
        <v>148</v>
      </c>
      <c r="K136" s="30" t="s">
        <v>148</v>
      </c>
      <c r="L136" s="30" t="s">
        <v>148</v>
      </c>
    </row>
    <row r="137" customFormat="false" ht="18" hidden="false" customHeight="true" outlineLevel="0" collapsed="false">
      <c r="A137" s="25" t="s">
        <v>114</v>
      </c>
      <c r="B137" s="26" t="s">
        <v>149</v>
      </c>
      <c r="C137" s="27" t="s">
        <v>130</v>
      </c>
      <c r="D137" s="28"/>
      <c r="E137" s="28"/>
      <c r="F137" s="29" t="n">
        <f aca="false">'📋 Matches'!E65</f>
        <v>0</v>
      </c>
      <c r="G137" s="29" t="n">
        <f aca="false">'📋 Matches'!F65</f>
        <v>0</v>
      </c>
      <c r="H137" s="30" t="s">
        <v>148</v>
      </c>
      <c r="I137" s="30" t="s">
        <v>148</v>
      </c>
      <c r="J137" s="30" t="s">
        <v>148</v>
      </c>
      <c r="K137" s="30" t="s">
        <v>148</v>
      </c>
      <c r="L137" s="30" t="s">
        <v>148</v>
      </c>
    </row>
    <row r="138" customFormat="false" ht="18" hidden="false" customHeight="true" outlineLevel="0" collapsed="false">
      <c r="A138" s="25" t="s">
        <v>114</v>
      </c>
      <c r="B138" s="26" t="s">
        <v>149</v>
      </c>
      <c r="C138" s="27" t="s">
        <v>131</v>
      </c>
      <c r="D138" s="28"/>
      <c r="E138" s="28"/>
      <c r="F138" s="29" t="n">
        <f aca="false">'📋 Matches'!E66</f>
        <v>0</v>
      </c>
      <c r="G138" s="29" t="n">
        <f aca="false">'📋 Matches'!F66</f>
        <v>0</v>
      </c>
      <c r="H138" s="30" t="s">
        <v>148</v>
      </c>
      <c r="I138" s="30" t="s">
        <v>148</v>
      </c>
      <c r="J138" s="30" t="s">
        <v>148</v>
      </c>
      <c r="K138" s="30" t="s">
        <v>148</v>
      </c>
      <c r="L138" s="30" t="s">
        <v>148</v>
      </c>
    </row>
    <row r="139" customFormat="false" ht="18" hidden="false" customHeight="true" outlineLevel="0" collapsed="false">
      <c r="A139" s="25" t="s">
        <v>114</v>
      </c>
      <c r="B139" s="26" t="s">
        <v>149</v>
      </c>
      <c r="C139" s="27" t="s">
        <v>132</v>
      </c>
      <c r="D139" s="28"/>
      <c r="E139" s="28"/>
      <c r="F139" s="29" t="n">
        <f aca="false">'📋 Matches'!E67</f>
        <v>0</v>
      </c>
      <c r="G139" s="29" t="n">
        <f aca="false">'📋 Matches'!F67</f>
        <v>0</v>
      </c>
      <c r="H139" s="30" t="s">
        <v>148</v>
      </c>
      <c r="I139" s="30" t="s">
        <v>148</v>
      </c>
      <c r="J139" s="30" t="s">
        <v>148</v>
      </c>
      <c r="K139" s="30" t="s">
        <v>148</v>
      </c>
      <c r="L139" s="30" t="s">
        <v>148</v>
      </c>
    </row>
    <row r="140" customFormat="false" ht="18" hidden="false" customHeight="true" outlineLevel="0" collapsed="false">
      <c r="A140" s="25" t="s">
        <v>114</v>
      </c>
      <c r="B140" s="26" t="s">
        <v>149</v>
      </c>
      <c r="C140" s="27" t="s">
        <v>133</v>
      </c>
      <c r="D140" s="28"/>
      <c r="E140" s="28"/>
      <c r="F140" s="29" t="n">
        <f aca="false">'📋 Matches'!E68</f>
        <v>0</v>
      </c>
      <c r="G140" s="29" t="n">
        <f aca="false">'📋 Matches'!F68</f>
        <v>0</v>
      </c>
      <c r="H140" s="30" t="s">
        <v>148</v>
      </c>
      <c r="I140" s="30" t="s">
        <v>148</v>
      </c>
      <c r="J140" s="30" t="s">
        <v>148</v>
      </c>
      <c r="K140" s="30" t="s">
        <v>148</v>
      </c>
      <c r="L140" s="30" t="s">
        <v>148</v>
      </c>
    </row>
    <row r="141" customFormat="false" ht="18" hidden="false" customHeight="true" outlineLevel="0" collapsed="false">
      <c r="A141" s="25" t="s">
        <v>114</v>
      </c>
      <c r="B141" s="26" t="s">
        <v>149</v>
      </c>
      <c r="C141" s="27" t="s">
        <v>134</v>
      </c>
      <c r="D141" s="28"/>
      <c r="E141" s="28"/>
      <c r="F141" s="29" t="n">
        <f aca="false">'📋 Matches'!E69</f>
        <v>0</v>
      </c>
      <c r="G141" s="29" t="n">
        <f aca="false">'📋 Matches'!F69</f>
        <v>0</v>
      </c>
      <c r="H141" s="30" t="s">
        <v>148</v>
      </c>
      <c r="I141" s="30" t="s">
        <v>148</v>
      </c>
      <c r="J141" s="30" t="s">
        <v>148</v>
      </c>
      <c r="K141" s="30" t="s">
        <v>148</v>
      </c>
      <c r="L141" s="30" t="s">
        <v>148</v>
      </c>
    </row>
    <row r="142" customFormat="false" ht="18" hidden="false" customHeight="true" outlineLevel="0" collapsed="false">
      <c r="A142" s="25" t="s">
        <v>114</v>
      </c>
      <c r="B142" s="26" t="s">
        <v>149</v>
      </c>
      <c r="C142" s="27" t="s">
        <v>135</v>
      </c>
      <c r="D142" s="28"/>
      <c r="E142" s="28"/>
      <c r="F142" s="29" t="n">
        <f aca="false">'📋 Matches'!E70</f>
        <v>0</v>
      </c>
      <c r="G142" s="29" t="n">
        <f aca="false">'📋 Matches'!F70</f>
        <v>0</v>
      </c>
      <c r="H142" s="30" t="s">
        <v>148</v>
      </c>
      <c r="I142" s="30" t="s">
        <v>148</v>
      </c>
      <c r="J142" s="30" t="s">
        <v>148</v>
      </c>
      <c r="K142" s="30" t="s">
        <v>148</v>
      </c>
      <c r="L142" s="30" t="s">
        <v>148</v>
      </c>
    </row>
    <row r="143" customFormat="false" ht="18" hidden="false" customHeight="true" outlineLevel="0" collapsed="false">
      <c r="A143" s="25" t="s">
        <v>114</v>
      </c>
      <c r="B143" s="26" t="s">
        <v>149</v>
      </c>
      <c r="C143" s="27" t="s">
        <v>136</v>
      </c>
      <c r="D143" s="28"/>
      <c r="E143" s="28"/>
      <c r="F143" s="29" t="n">
        <f aca="false">'📋 Matches'!E71</f>
        <v>0</v>
      </c>
      <c r="G143" s="29" t="n">
        <f aca="false">'📋 Matches'!F71</f>
        <v>0</v>
      </c>
      <c r="H143" s="30" t="s">
        <v>148</v>
      </c>
      <c r="I143" s="30" t="s">
        <v>148</v>
      </c>
      <c r="J143" s="30" t="s">
        <v>148</v>
      </c>
      <c r="K143" s="30" t="s">
        <v>148</v>
      </c>
      <c r="L143" s="30" t="s">
        <v>148</v>
      </c>
    </row>
    <row r="144" customFormat="false" ht="18" hidden="false" customHeight="true" outlineLevel="0" collapsed="false">
      <c r="A144" s="25" t="s">
        <v>114</v>
      </c>
      <c r="B144" s="26" t="s">
        <v>149</v>
      </c>
      <c r="C144" s="27" t="s">
        <v>137</v>
      </c>
      <c r="D144" s="28"/>
      <c r="E144" s="28"/>
      <c r="F144" s="29" t="n">
        <f aca="false">'📋 Matches'!E72</f>
        <v>0</v>
      </c>
      <c r="G144" s="29" t="n">
        <f aca="false">'📋 Matches'!F72</f>
        <v>0</v>
      </c>
      <c r="H144" s="30" t="s">
        <v>148</v>
      </c>
      <c r="I144" s="30" t="s">
        <v>148</v>
      </c>
      <c r="J144" s="30" t="s">
        <v>148</v>
      </c>
      <c r="K144" s="30" t="s">
        <v>148</v>
      </c>
      <c r="L144" s="30" t="s">
        <v>148</v>
      </c>
    </row>
    <row r="145" customFormat="false" ht="18" hidden="false" customHeight="true" outlineLevel="0" collapsed="false">
      <c r="A145" s="25" t="s">
        <v>114</v>
      </c>
      <c r="B145" s="26" t="s">
        <v>149</v>
      </c>
      <c r="C145" s="27" t="s">
        <v>138</v>
      </c>
      <c r="D145" s="28"/>
      <c r="E145" s="28"/>
      <c r="F145" s="29" t="n">
        <f aca="false">'📋 Matches'!E73</f>
        <v>0</v>
      </c>
      <c r="G145" s="29" t="n">
        <f aca="false">'📋 Matches'!F73</f>
        <v>0</v>
      </c>
      <c r="H145" s="30" t="s">
        <v>148</v>
      </c>
      <c r="I145" s="30" t="s">
        <v>148</v>
      </c>
      <c r="J145" s="30" t="s">
        <v>148</v>
      </c>
      <c r="K145" s="30" t="s">
        <v>148</v>
      </c>
      <c r="L145" s="30" t="s">
        <v>148</v>
      </c>
    </row>
    <row r="146" customFormat="false" ht="18" hidden="false" customHeight="true" outlineLevel="0" collapsed="false">
      <c r="A146" s="17" t="s">
        <v>9</v>
      </c>
      <c r="B146" s="18" t="s">
        <v>150</v>
      </c>
      <c r="C146" s="19" t="s">
        <v>10</v>
      </c>
      <c r="D146" s="20" t="n">
        <v>1</v>
      </c>
      <c r="E146" s="20" t="n">
        <v>1</v>
      </c>
      <c r="F146" s="21" t="n">
        <f aca="false">'📋 Matches'!E2</f>
        <v>2</v>
      </c>
      <c r="G146" s="21" t="n">
        <f aca="false">'📋 Matches'!F2</f>
        <v>0</v>
      </c>
      <c r="H146" s="22" t="n">
        <f aca="false">IF(AND(ISNUMBER(F146),ISNUMBER(G146)),IF(SIGN(D146-E146)=SIGN(F146-G146),48,0),"")</f>
        <v>0</v>
      </c>
      <c r="I146" s="22" t="n">
        <f aca="false">IF(AND(ISNUMBER(F146),ISNUMBER(G146)),IF(D146=F146,15,0),"")</f>
        <v>0</v>
      </c>
      <c r="J146" s="22" t="n">
        <f aca="false">IF(AND(ISNUMBER(F146),ISNUMBER(G146)),IF(E146=G146,15,0),"")</f>
        <v>0</v>
      </c>
      <c r="K146" s="22" t="n">
        <f aca="false">IF(AND(ISNUMBER(F146),ISNUMBER(G146)),IF(ABS(D146-E146)=ABS(F146-G146),12,0),"")</f>
        <v>0</v>
      </c>
      <c r="L146" s="23" t="n">
        <f aca="false">IF(ISNUMBER(H146),H146+I146+J146+K146,"")</f>
        <v>0</v>
      </c>
    </row>
    <row r="147" customFormat="false" ht="18" hidden="false" customHeight="true" outlineLevel="0" collapsed="false">
      <c r="A147" s="17" t="s">
        <v>9</v>
      </c>
      <c r="B147" s="18" t="s">
        <v>150</v>
      </c>
      <c r="C147" s="19" t="s">
        <v>14</v>
      </c>
      <c r="D147" s="20" t="n">
        <v>0</v>
      </c>
      <c r="E147" s="20" t="n">
        <v>3</v>
      </c>
      <c r="F147" s="21" t="n">
        <f aca="false">'📋 Matches'!E3</f>
        <v>2</v>
      </c>
      <c r="G147" s="21" t="n">
        <f aca="false">'📋 Matches'!F3</f>
        <v>1</v>
      </c>
      <c r="H147" s="22" t="n">
        <f aca="false">IF(AND(ISNUMBER(F147),ISNUMBER(G147)),IF(SIGN(D147-E147)=SIGN(F147-G147),48,0),"")</f>
        <v>0</v>
      </c>
      <c r="I147" s="22" t="n">
        <f aca="false">IF(AND(ISNUMBER(F147),ISNUMBER(G147)),IF(D147=F147,15,0),"")</f>
        <v>0</v>
      </c>
      <c r="J147" s="22" t="n">
        <f aca="false">IF(AND(ISNUMBER(F147),ISNUMBER(G147)),IF(E147=G147,15,0),"")</f>
        <v>0</v>
      </c>
      <c r="K147" s="22" t="n">
        <f aca="false">IF(AND(ISNUMBER(F147),ISNUMBER(G147)),IF(ABS(D147-E147)=ABS(F147-G147),12,0),"")</f>
        <v>0</v>
      </c>
      <c r="L147" s="23" t="n">
        <f aca="false">IF(ISNUMBER(H147),H147+I147+J147+K147,"")</f>
        <v>0</v>
      </c>
    </row>
    <row r="148" customFormat="false" ht="18" hidden="false" customHeight="true" outlineLevel="0" collapsed="false">
      <c r="A148" s="17" t="s">
        <v>9</v>
      </c>
      <c r="B148" s="18" t="s">
        <v>150</v>
      </c>
      <c r="C148" s="19" t="s">
        <v>17</v>
      </c>
      <c r="D148" s="20" t="n">
        <v>1</v>
      </c>
      <c r="E148" s="20" t="n">
        <v>1</v>
      </c>
      <c r="F148" s="21" t="n">
        <f aca="false">'📋 Matches'!E4</f>
        <v>1</v>
      </c>
      <c r="G148" s="21" t="n">
        <f aca="false">'📋 Matches'!F4</f>
        <v>1</v>
      </c>
      <c r="H148" s="22" t="n">
        <f aca="false">IF(AND(ISNUMBER(F148),ISNUMBER(G148)),IF(SIGN(D148-E148)=SIGN(F148-G148),48,0),"")</f>
        <v>48</v>
      </c>
      <c r="I148" s="22" t="n">
        <f aca="false">IF(AND(ISNUMBER(F148),ISNUMBER(G148)),IF(D148=F148,15,0),"")</f>
        <v>15</v>
      </c>
      <c r="J148" s="22" t="n">
        <f aca="false">IF(AND(ISNUMBER(F148),ISNUMBER(G148)),IF(E148=G148,15,0),"")</f>
        <v>15</v>
      </c>
      <c r="K148" s="22" t="n">
        <f aca="false">IF(AND(ISNUMBER(F148),ISNUMBER(G148)),IF(ABS(D148-E148)=ABS(F148-G148),12,0),"")</f>
        <v>12</v>
      </c>
      <c r="L148" s="23" t="n">
        <f aca="false">IF(ISNUMBER(H148),H148+I148+J148+K148,"")</f>
        <v>90</v>
      </c>
    </row>
    <row r="149" customFormat="false" ht="18" hidden="false" customHeight="true" outlineLevel="0" collapsed="false">
      <c r="A149" s="17" t="s">
        <v>9</v>
      </c>
      <c r="B149" s="18" t="s">
        <v>150</v>
      </c>
      <c r="C149" s="19" t="s">
        <v>20</v>
      </c>
      <c r="D149" s="20" t="n">
        <v>2</v>
      </c>
      <c r="E149" s="20" t="n">
        <v>2</v>
      </c>
      <c r="F149" s="21" t="n">
        <f aca="false">'📋 Matches'!E5</f>
        <v>4</v>
      </c>
      <c r="G149" s="21" t="n">
        <f aca="false">'📋 Matches'!F5</f>
        <v>1</v>
      </c>
      <c r="H149" s="22" t="n">
        <f aca="false">IF(AND(ISNUMBER(F149),ISNUMBER(G149)),IF(SIGN(D149-E149)=SIGN(F149-G149),48,0),"")</f>
        <v>0</v>
      </c>
      <c r="I149" s="22" t="n">
        <f aca="false">IF(AND(ISNUMBER(F149),ISNUMBER(G149)),IF(D149=F149,15,0),"")</f>
        <v>0</v>
      </c>
      <c r="J149" s="22" t="n">
        <f aca="false">IF(AND(ISNUMBER(F149),ISNUMBER(G149)),IF(E149=G149,15,0),"")</f>
        <v>0</v>
      </c>
      <c r="K149" s="22" t="n">
        <f aca="false">IF(AND(ISNUMBER(F149),ISNUMBER(G149)),IF(ABS(D149-E149)=ABS(F149-G149),12,0),"")</f>
        <v>0</v>
      </c>
      <c r="L149" s="23" t="n">
        <f aca="false">IF(ISNUMBER(H149),H149+I149+J149+K149,"")</f>
        <v>0</v>
      </c>
    </row>
    <row r="150" customFormat="false" ht="18" hidden="false" customHeight="true" outlineLevel="0" collapsed="false">
      <c r="A150" s="17" t="s">
        <v>9</v>
      </c>
      <c r="B150" s="18" t="s">
        <v>150</v>
      </c>
      <c r="C150" s="19" t="s">
        <v>23</v>
      </c>
      <c r="D150" s="20" t="n">
        <v>0</v>
      </c>
      <c r="E150" s="20" t="n">
        <v>2</v>
      </c>
      <c r="F150" s="21" t="n">
        <f aca="false">'📋 Matches'!E6</f>
        <v>0</v>
      </c>
      <c r="G150" s="21" t="n">
        <f aca="false">'📋 Matches'!F6</f>
        <v>0</v>
      </c>
      <c r="H150" s="22" t="str">
        <f aca="false">IF(AND(ISNUMBER(F150),ISNUMBER(G150)),IF(SIGN(D150-E150)=SIGN(F150-G150),48,0),"")</f>
        <v/>
      </c>
      <c r="I150" s="22" t="str">
        <f aca="false">IF(AND(ISNUMBER(F150),ISNUMBER(G150)),IF(D150=F150,15,0),"")</f>
        <v/>
      </c>
      <c r="J150" s="22" t="str">
        <f aca="false">IF(AND(ISNUMBER(F150),ISNUMBER(G150)),IF(E150=G150,15,0),"")</f>
        <v/>
      </c>
      <c r="K150" s="22" t="str">
        <f aca="false">IF(AND(ISNUMBER(F150),ISNUMBER(G150)),IF(ABS(D150-E150)=ABS(F150-G150),12,0),"")</f>
        <v/>
      </c>
      <c r="L150" s="23" t="str">
        <f aca="false">IF(ISNUMBER(H150),H150+I150+J150+K150,"")</f>
        <v/>
      </c>
    </row>
    <row r="151" customFormat="false" ht="18" hidden="false" customHeight="true" outlineLevel="0" collapsed="false">
      <c r="A151" s="17" t="s">
        <v>9</v>
      </c>
      <c r="B151" s="18" t="s">
        <v>150</v>
      </c>
      <c r="C151" s="19" t="s">
        <v>27</v>
      </c>
      <c r="D151" s="20" t="n">
        <v>1</v>
      </c>
      <c r="E151" s="20" t="n">
        <v>2</v>
      </c>
      <c r="F151" s="21" t="n">
        <f aca="false">'📋 Matches'!E7</f>
        <v>0</v>
      </c>
      <c r="G151" s="21" t="n">
        <f aca="false">'📋 Matches'!F7</f>
        <v>0</v>
      </c>
      <c r="H151" s="22" t="str">
        <f aca="false">IF(AND(ISNUMBER(F151),ISNUMBER(G151)),IF(SIGN(D151-E151)=SIGN(F151-G151),48,0),"")</f>
        <v/>
      </c>
      <c r="I151" s="22" t="str">
        <f aca="false">IF(AND(ISNUMBER(F151),ISNUMBER(G151)),IF(D151=F151,15,0),"")</f>
        <v/>
      </c>
      <c r="J151" s="22" t="str">
        <f aca="false">IF(AND(ISNUMBER(F151),ISNUMBER(G151)),IF(E151=G151,15,0),"")</f>
        <v/>
      </c>
      <c r="K151" s="22" t="str">
        <f aca="false">IF(AND(ISNUMBER(F151),ISNUMBER(G151)),IF(ABS(D151-E151)=ABS(F151-G151),12,0),"")</f>
        <v/>
      </c>
      <c r="L151" s="23" t="str">
        <f aca="false">IF(ISNUMBER(H151),H151+I151+J151+K151,"")</f>
        <v/>
      </c>
    </row>
    <row r="152" customFormat="false" ht="18" hidden="false" customHeight="true" outlineLevel="0" collapsed="false">
      <c r="A152" s="17" t="s">
        <v>9</v>
      </c>
      <c r="B152" s="18" t="s">
        <v>150</v>
      </c>
      <c r="C152" s="19" t="s">
        <v>30</v>
      </c>
      <c r="D152" s="20" t="n">
        <v>0</v>
      </c>
      <c r="E152" s="20" t="n">
        <v>4</v>
      </c>
      <c r="F152" s="21" t="n">
        <f aca="false">'📋 Matches'!E8</f>
        <v>0</v>
      </c>
      <c r="G152" s="21" t="n">
        <f aca="false">'📋 Matches'!F8</f>
        <v>0</v>
      </c>
      <c r="H152" s="22" t="str">
        <f aca="false">IF(AND(ISNUMBER(F152),ISNUMBER(G152)),IF(SIGN(D152-E152)=SIGN(F152-G152),48,0),"")</f>
        <v/>
      </c>
      <c r="I152" s="22" t="str">
        <f aca="false">IF(AND(ISNUMBER(F152),ISNUMBER(G152)),IF(D152=F152,15,0),"")</f>
        <v/>
      </c>
      <c r="J152" s="22" t="str">
        <f aca="false">IF(AND(ISNUMBER(F152),ISNUMBER(G152)),IF(E152=G152,15,0),"")</f>
        <v/>
      </c>
      <c r="K152" s="22" t="str">
        <f aca="false">IF(AND(ISNUMBER(F152),ISNUMBER(G152)),IF(ABS(D152-E152)=ABS(F152-G152),12,0),"")</f>
        <v/>
      </c>
      <c r="L152" s="23" t="str">
        <f aca="false">IF(ISNUMBER(H152),H152+I152+J152+K152,"")</f>
        <v/>
      </c>
    </row>
    <row r="153" customFormat="false" ht="18" hidden="false" customHeight="true" outlineLevel="0" collapsed="false">
      <c r="A153" s="17" t="s">
        <v>9</v>
      </c>
      <c r="B153" s="18" t="s">
        <v>150</v>
      </c>
      <c r="C153" s="19" t="s">
        <v>33</v>
      </c>
      <c r="D153" s="20" t="n">
        <v>1</v>
      </c>
      <c r="E153" s="20" t="n">
        <v>3</v>
      </c>
      <c r="F153" s="21" t="n">
        <f aca="false">'📋 Matches'!E9</f>
        <v>0</v>
      </c>
      <c r="G153" s="21" t="n">
        <f aca="false">'📋 Matches'!F9</f>
        <v>0</v>
      </c>
      <c r="H153" s="22" t="str">
        <f aca="false">IF(AND(ISNUMBER(F153),ISNUMBER(G153)),IF(SIGN(D153-E153)=SIGN(F153-G153),48,0),"")</f>
        <v/>
      </c>
      <c r="I153" s="22" t="str">
        <f aca="false">IF(AND(ISNUMBER(F153),ISNUMBER(G153)),IF(D153=F153,15,0),"")</f>
        <v/>
      </c>
      <c r="J153" s="22" t="str">
        <f aca="false">IF(AND(ISNUMBER(F153),ISNUMBER(G153)),IF(E153=G153,15,0),"")</f>
        <v/>
      </c>
      <c r="K153" s="22" t="str">
        <f aca="false">IF(AND(ISNUMBER(F153),ISNUMBER(G153)),IF(ABS(D153-E153)=ABS(F153-G153),12,0),"")</f>
        <v/>
      </c>
      <c r="L153" s="23" t="str">
        <f aca="false">IF(ISNUMBER(H153),H153+I153+J153+K153,"")</f>
        <v/>
      </c>
    </row>
    <row r="154" customFormat="false" ht="18" hidden="false" customHeight="true" outlineLevel="0" collapsed="false">
      <c r="A154" s="17" t="s">
        <v>9</v>
      </c>
      <c r="B154" s="18" t="s">
        <v>150</v>
      </c>
      <c r="C154" s="19" t="s">
        <v>36</v>
      </c>
      <c r="D154" s="20" t="n">
        <v>4</v>
      </c>
      <c r="E154" s="20" t="n">
        <v>0</v>
      </c>
      <c r="F154" s="21" t="n">
        <f aca="false">'📋 Matches'!E10</f>
        <v>0</v>
      </c>
      <c r="G154" s="21" t="n">
        <f aca="false">'📋 Matches'!F10</f>
        <v>0</v>
      </c>
      <c r="H154" s="22" t="str">
        <f aca="false">IF(AND(ISNUMBER(F154),ISNUMBER(G154)),IF(SIGN(D154-E154)=SIGN(F154-G154),48,0),"")</f>
        <v/>
      </c>
      <c r="I154" s="22" t="str">
        <f aca="false">IF(AND(ISNUMBER(F154),ISNUMBER(G154)),IF(D154=F154,15,0),"")</f>
        <v/>
      </c>
      <c r="J154" s="22" t="str">
        <f aca="false">IF(AND(ISNUMBER(F154),ISNUMBER(G154)),IF(E154=G154,15,0),"")</f>
        <v/>
      </c>
      <c r="K154" s="22" t="str">
        <f aca="false">IF(AND(ISNUMBER(F154),ISNUMBER(G154)),IF(ABS(D154-E154)=ABS(F154-G154),12,0),"")</f>
        <v/>
      </c>
      <c r="L154" s="23" t="str">
        <f aca="false">IF(ISNUMBER(H154),H154+I154+J154+K154,"")</f>
        <v/>
      </c>
    </row>
    <row r="155" customFormat="false" ht="18" hidden="false" customHeight="true" outlineLevel="0" collapsed="false">
      <c r="A155" s="17" t="s">
        <v>9</v>
      </c>
      <c r="B155" s="18" t="s">
        <v>150</v>
      </c>
      <c r="C155" s="19" t="s">
        <v>39</v>
      </c>
      <c r="D155" s="20" t="n">
        <v>2</v>
      </c>
      <c r="E155" s="20" t="n">
        <v>0</v>
      </c>
      <c r="F155" s="21" t="n">
        <f aca="false">'📋 Matches'!E11</f>
        <v>0</v>
      </c>
      <c r="G155" s="21" t="n">
        <f aca="false">'📋 Matches'!F11</f>
        <v>0</v>
      </c>
      <c r="H155" s="22" t="str">
        <f aca="false">IF(AND(ISNUMBER(F155),ISNUMBER(G155)),IF(SIGN(D155-E155)=SIGN(F155-G155),48,0),"")</f>
        <v/>
      </c>
      <c r="I155" s="22" t="str">
        <f aca="false">IF(AND(ISNUMBER(F155),ISNUMBER(G155)),IF(D155=F155,15,0),"")</f>
        <v/>
      </c>
      <c r="J155" s="22" t="str">
        <f aca="false">IF(AND(ISNUMBER(F155),ISNUMBER(G155)),IF(E155=G155,15,0),"")</f>
        <v/>
      </c>
      <c r="K155" s="22" t="str">
        <f aca="false">IF(AND(ISNUMBER(F155),ISNUMBER(G155)),IF(ABS(D155-E155)=ABS(F155-G155),12,0),"")</f>
        <v/>
      </c>
      <c r="L155" s="23" t="str">
        <f aca="false">IF(ISNUMBER(H155),H155+I155+J155+K155,"")</f>
        <v/>
      </c>
    </row>
    <row r="156" customFormat="false" ht="18" hidden="false" customHeight="true" outlineLevel="0" collapsed="false">
      <c r="A156" s="17" t="s">
        <v>9</v>
      </c>
      <c r="B156" s="18" t="s">
        <v>150</v>
      </c>
      <c r="C156" s="19" t="s">
        <v>42</v>
      </c>
      <c r="D156" s="20" t="n">
        <v>1</v>
      </c>
      <c r="E156" s="20" t="n">
        <v>1</v>
      </c>
      <c r="F156" s="21" t="n">
        <f aca="false">'📋 Matches'!E12</f>
        <v>0</v>
      </c>
      <c r="G156" s="21" t="n">
        <f aca="false">'📋 Matches'!F12</f>
        <v>0</v>
      </c>
      <c r="H156" s="22" t="str">
        <f aca="false">IF(AND(ISNUMBER(F156),ISNUMBER(G156)),IF(SIGN(D156-E156)=SIGN(F156-G156),48,0),"")</f>
        <v/>
      </c>
      <c r="I156" s="22" t="str">
        <f aca="false">IF(AND(ISNUMBER(F156),ISNUMBER(G156)),IF(D156=F156,15,0),"")</f>
        <v/>
      </c>
      <c r="J156" s="22" t="str">
        <f aca="false">IF(AND(ISNUMBER(F156),ISNUMBER(G156)),IF(E156=G156,15,0),"")</f>
        <v/>
      </c>
      <c r="K156" s="22" t="str">
        <f aca="false">IF(AND(ISNUMBER(F156),ISNUMBER(G156)),IF(ABS(D156-E156)=ABS(F156-G156),12,0),"")</f>
        <v/>
      </c>
      <c r="L156" s="23" t="str">
        <f aca="false">IF(ISNUMBER(H156),H156+I156+J156+K156,"")</f>
        <v/>
      </c>
    </row>
    <row r="157" customFormat="false" ht="18" hidden="false" customHeight="true" outlineLevel="0" collapsed="false">
      <c r="A157" s="17" t="s">
        <v>9</v>
      </c>
      <c r="B157" s="18" t="s">
        <v>150</v>
      </c>
      <c r="C157" s="19" t="s">
        <v>45</v>
      </c>
      <c r="D157" s="20" t="n">
        <v>2</v>
      </c>
      <c r="E157" s="20" t="n">
        <v>2</v>
      </c>
      <c r="F157" s="21" t="n">
        <f aca="false">'📋 Matches'!E13</f>
        <v>0</v>
      </c>
      <c r="G157" s="21" t="n">
        <f aca="false">'📋 Matches'!F13</f>
        <v>0</v>
      </c>
      <c r="H157" s="22" t="str">
        <f aca="false">IF(AND(ISNUMBER(F157),ISNUMBER(G157)),IF(SIGN(D157-E157)=SIGN(F157-G157),48,0),"")</f>
        <v/>
      </c>
      <c r="I157" s="22" t="str">
        <f aca="false">IF(AND(ISNUMBER(F157),ISNUMBER(G157)),IF(D157=F157,15,0),"")</f>
        <v/>
      </c>
      <c r="J157" s="22" t="str">
        <f aca="false">IF(AND(ISNUMBER(F157),ISNUMBER(G157)),IF(E157=G157,15,0),"")</f>
        <v/>
      </c>
      <c r="K157" s="22" t="str">
        <f aca="false">IF(AND(ISNUMBER(F157),ISNUMBER(G157)),IF(ABS(D157-E157)=ABS(F157-G157),12,0),"")</f>
        <v/>
      </c>
      <c r="L157" s="23" t="str">
        <f aca="false">IF(ISNUMBER(H157),H157+I157+J157+K157,"")</f>
        <v/>
      </c>
    </row>
    <row r="158" customFormat="false" ht="18" hidden="false" customHeight="true" outlineLevel="0" collapsed="false">
      <c r="A158" s="17" t="s">
        <v>9</v>
      </c>
      <c r="B158" s="18" t="s">
        <v>150</v>
      </c>
      <c r="C158" s="19" t="s">
        <v>48</v>
      </c>
      <c r="D158" s="20" t="n">
        <v>3</v>
      </c>
      <c r="E158" s="20" t="n">
        <v>0</v>
      </c>
      <c r="F158" s="21" t="n">
        <f aca="false">'📋 Matches'!E14</f>
        <v>0</v>
      </c>
      <c r="G158" s="21" t="n">
        <f aca="false">'📋 Matches'!F14</f>
        <v>0</v>
      </c>
      <c r="H158" s="22" t="str">
        <f aca="false">IF(AND(ISNUMBER(F158),ISNUMBER(G158)),IF(SIGN(D158-E158)=SIGN(F158-G158),48,0),"")</f>
        <v/>
      </c>
      <c r="I158" s="22" t="str">
        <f aca="false">IF(AND(ISNUMBER(F158),ISNUMBER(G158)),IF(D158=F158,15,0),"")</f>
        <v/>
      </c>
      <c r="J158" s="22" t="str">
        <f aca="false">IF(AND(ISNUMBER(F158),ISNUMBER(G158)),IF(E158=G158,15,0),"")</f>
        <v/>
      </c>
      <c r="K158" s="22" t="str">
        <f aca="false">IF(AND(ISNUMBER(F158),ISNUMBER(G158)),IF(ABS(D158-E158)=ABS(F158-G158),12,0),"")</f>
        <v/>
      </c>
      <c r="L158" s="23" t="str">
        <f aca="false">IF(ISNUMBER(H158),H158+I158+J158+K158,"")</f>
        <v/>
      </c>
    </row>
    <row r="159" customFormat="false" ht="18" hidden="false" customHeight="true" outlineLevel="0" collapsed="false">
      <c r="A159" s="17" t="s">
        <v>9</v>
      </c>
      <c r="B159" s="18" t="s">
        <v>150</v>
      </c>
      <c r="C159" s="19" t="s">
        <v>51</v>
      </c>
      <c r="D159" s="20" t="n">
        <v>2</v>
      </c>
      <c r="E159" s="20" t="n">
        <v>0</v>
      </c>
      <c r="F159" s="21" t="n">
        <f aca="false">'📋 Matches'!E15</f>
        <v>0</v>
      </c>
      <c r="G159" s="21" t="n">
        <f aca="false">'📋 Matches'!F15</f>
        <v>0</v>
      </c>
      <c r="H159" s="22" t="str">
        <f aca="false">IF(AND(ISNUMBER(F159),ISNUMBER(G159)),IF(SIGN(D159-E159)=SIGN(F159-G159),48,0),"")</f>
        <v/>
      </c>
      <c r="I159" s="22" t="str">
        <f aca="false">IF(AND(ISNUMBER(F159),ISNUMBER(G159)),IF(D159=F159,15,0),"")</f>
        <v/>
      </c>
      <c r="J159" s="22" t="str">
        <f aca="false">IF(AND(ISNUMBER(F159),ISNUMBER(G159)),IF(E159=G159,15,0),"")</f>
        <v/>
      </c>
      <c r="K159" s="22" t="str">
        <f aca="false">IF(AND(ISNUMBER(F159),ISNUMBER(G159)),IF(ABS(D159-E159)=ABS(F159-G159),12,0),"")</f>
        <v/>
      </c>
      <c r="L159" s="23" t="str">
        <f aca="false">IF(ISNUMBER(H159),H159+I159+J159+K159,"")</f>
        <v/>
      </c>
    </row>
    <row r="160" customFormat="false" ht="18" hidden="false" customHeight="true" outlineLevel="0" collapsed="false">
      <c r="A160" s="17" t="s">
        <v>9</v>
      </c>
      <c r="B160" s="18" t="s">
        <v>150</v>
      </c>
      <c r="C160" s="19" t="s">
        <v>54</v>
      </c>
      <c r="D160" s="20" t="n">
        <v>1</v>
      </c>
      <c r="E160" s="20" t="n">
        <v>1</v>
      </c>
      <c r="F160" s="21" t="n">
        <f aca="false">'📋 Matches'!E16</f>
        <v>0</v>
      </c>
      <c r="G160" s="21" t="n">
        <f aca="false">'📋 Matches'!F16</f>
        <v>0</v>
      </c>
      <c r="H160" s="22" t="str">
        <f aca="false">IF(AND(ISNUMBER(F160),ISNUMBER(G160)),IF(SIGN(D160-E160)=SIGN(F160-G160),48,0),"")</f>
        <v/>
      </c>
      <c r="I160" s="22" t="str">
        <f aca="false">IF(AND(ISNUMBER(F160),ISNUMBER(G160)),IF(D160=F160,15,0),"")</f>
        <v/>
      </c>
      <c r="J160" s="22" t="str">
        <f aca="false">IF(AND(ISNUMBER(F160),ISNUMBER(G160)),IF(E160=G160,15,0),"")</f>
        <v/>
      </c>
      <c r="K160" s="22" t="str">
        <f aca="false">IF(AND(ISNUMBER(F160),ISNUMBER(G160)),IF(ABS(D160-E160)=ABS(F160-G160),12,0),"")</f>
        <v/>
      </c>
      <c r="L160" s="23" t="str">
        <f aca="false">IF(ISNUMBER(H160),H160+I160+J160+K160,"")</f>
        <v/>
      </c>
    </row>
    <row r="161" customFormat="false" ht="18" hidden="false" customHeight="true" outlineLevel="0" collapsed="false">
      <c r="A161" s="17" t="s">
        <v>9</v>
      </c>
      <c r="B161" s="18" t="s">
        <v>150</v>
      </c>
      <c r="C161" s="19" t="s">
        <v>57</v>
      </c>
      <c r="D161" s="20" t="n">
        <v>0</v>
      </c>
      <c r="E161" s="20" t="n">
        <v>0</v>
      </c>
      <c r="F161" s="21" t="n">
        <f aca="false">'📋 Matches'!E17</f>
        <v>0</v>
      </c>
      <c r="G161" s="21" t="n">
        <f aca="false">'📋 Matches'!F17</f>
        <v>0</v>
      </c>
      <c r="H161" s="22" t="str">
        <f aca="false">IF(AND(ISNUMBER(F161),ISNUMBER(G161)),IF(SIGN(D161-E161)=SIGN(F161-G161),48,0),"")</f>
        <v/>
      </c>
      <c r="I161" s="22" t="str">
        <f aca="false">IF(AND(ISNUMBER(F161),ISNUMBER(G161)),IF(D161=F161,15,0),"")</f>
        <v/>
      </c>
      <c r="J161" s="22" t="str">
        <f aca="false">IF(AND(ISNUMBER(F161),ISNUMBER(G161)),IF(E161=G161,15,0),"")</f>
        <v/>
      </c>
      <c r="K161" s="22" t="str">
        <f aca="false">IF(AND(ISNUMBER(F161),ISNUMBER(G161)),IF(ABS(D161-E161)=ABS(F161-G161),12,0),"")</f>
        <v/>
      </c>
      <c r="L161" s="23" t="str">
        <f aca="false">IF(ISNUMBER(H161),H161+I161+J161+K161,"")</f>
        <v/>
      </c>
    </row>
    <row r="162" customFormat="false" ht="18" hidden="false" customHeight="true" outlineLevel="0" collapsed="false">
      <c r="A162" s="17" t="s">
        <v>9</v>
      </c>
      <c r="B162" s="18" t="s">
        <v>150</v>
      </c>
      <c r="C162" s="19" t="s">
        <v>60</v>
      </c>
      <c r="D162" s="20" t="n">
        <v>4</v>
      </c>
      <c r="E162" s="20" t="n">
        <v>4</v>
      </c>
      <c r="F162" s="21" t="n">
        <f aca="false">'📋 Matches'!E18</f>
        <v>0</v>
      </c>
      <c r="G162" s="21" t="n">
        <f aca="false">'📋 Matches'!F18</f>
        <v>0</v>
      </c>
      <c r="H162" s="22" t="str">
        <f aca="false">IF(AND(ISNUMBER(F162),ISNUMBER(G162)),IF(SIGN(D162-E162)=SIGN(F162-G162),48,0),"")</f>
        <v/>
      </c>
      <c r="I162" s="22" t="str">
        <f aca="false">IF(AND(ISNUMBER(F162),ISNUMBER(G162)),IF(D162=F162,15,0),"")</f>
        <v/>
      </c>
      <c r="J162" s="22" t="str">
        <f aca="false">IF(AND(ISNUMBER(F162),ISNUMBER(G162)),IF(E162=G162,15,0),"")</f>
        <v/>
      </c>
      <c r="K162" s="22" t="str">
        <f aca="false">IF(AND(ISNUMBER(F162),ISNUMBER(G162)),IF(ABS(D162-E162)=ABS(F162-G162),12,0),"")</f>
        <v/>
      </c>
      <c r="L162" s="23" t="str">
        <f aca="false">IF(ISNUMBER(H162),H162+I162+J162+K162,"")</f>
        <v/>
      </c>
    </row>
    <row r="163" customFormat="false" ht="18" hidden="false" customHeight="true" outlineLevel="0" collapsed="false">
      <c r="A163" s="17" t="s">
        <v>9</v>
      </c>
      <c r="B163" s="18" t="s">
        <v>150</v>
      </c>
      <c r="C163" s="19" t="s">
        <v>63</v>
      </c>
      <c r="D163" s="20" t="n">
        <v>0</v>
      </c>
      <c r="E163" s="20" t="n">
        <v>5</v>
      </c>
      <c r="F163" s="21" t="n">
        <f aca="false">'📋 Matches'!E19</f>
        <v>0</v>
      </c>
      <c r="G163" s="21" t="n">
        <f aca="false">'📋 Matches'!F19</f>
        <v>0</v>
      </c>
      <c r="H163" s="22" t="str">
        <f aca="false">IF(AND(ISNUMBER(F163),ISNUMBER(G163)),IF(SIGN(D163-E163)=SIGN(F163-G163),48,0),"")</f>
        <v/>
      </c>
      <c r="I163" s="22" t="str">
        <f aca="false">IF(AND(ISNUMBER(F163),ISNUMBER(G163)),IF(D163=F163,15,0),"")</f>
        <v/>
      </c>
      <c r="J163" s="22" t="str">
        <f aca="false">IF(AND(ISNUMBER(F163),ISNUMBER(G163)),IF(E163=G163,15,0),"")</f>
        <v/>
      </c>
      <c r="K163" s="22" t="str">
        <f aca="false">IF(AND(ISNUMBER(F163),ISNUMBER(G163)),IF(ABS(D163-E163)=ABS(F163-G163),12,0),"")</f>
        <v/>
      </c>
      <c r="L163" s="23" t="str">
        <f aca="false">IF(ISNUMBER(H163),H163+I163+J163+K163,"")</f>
        <v/>
      </c>
    </row>
    <row r="164" customFormat="false" ht="18" hidden="false" customHeight="true" outlineLevel="0" collapsed="false">
      <c r="A164" s="17" t="s">
        <v>9</v>
      </c>
      <c r="B164" s="18" t="s">
        <v>150</v>
      </c>
      <c r="C164" s="19" t="s">
        <v>66</v>
      </c>
      <c r="D164" s="20" t="n">
        <v>3</v>
      </c>
      <c r="E164" s="20" t="n">
        <v>0</v>
      </c>
      <c r="F164" s="21" t="n">
        <f aca="false">'📋 Matches'!E20</f>
        <v>0</v>
      </c>
      <c r="G164" s="21" t="n">
        <f aca="false">'📋 Matches'!F20</f>
        <v>0</v>
      </c>
      <c r="H164" s="22" t="str">
        <f aca="false">IF(AND(ISNUMBER(F164),ISNUMBER(G164)),IF(SIGN(D164-E164)=SIGN(F164-G164),48,0),"")</f>
        <v/>
      </c>
      <c r="I164" s="22" t="str">
        <f aca="false">IF(AND(ISNUMBER(F164),ISNUMBER(G164)),IF(D164=F164,15,0),"")</f>
        <v/>
      </c>
      <c r="J164" s="22" t="str">
        <f aca="false">IF(AND(ISNUMBER(F164),ISNUMBER(G164)),IF(E164=G164,15,0),"")</f>
        <v/>
      </c>
      <c r="K164" s="22" t="str">
        <f aca="false">IF(AND(ISNUMBER(F164),ISNUMBER(G164)),IF(ABS(D164-E164)=ABS(F164-G164),12,0),"")</f>
        <v/>
      </c>
      <c r="L164" s="23" t="str">
        <f aca="false">IF(ISNUMBER(H164),H164+I164+J164+K164,"")</f>
        <v/>
      </c>
    </row>
    <row r="165" customFormat="false" ht="18" hidden="false" customHeight="true" outlineLevel="0" collapsed="false">
      <c r="A165" s="17" t="s">
        <v>9</v>
      </c>
      <c r="B165" s="18" t="s">
        <v>150</v>
      </c>
      <c r="C165" s="19" t="s">
        <v>69</v>
      </c>
      <c r="D165" s="20" t="n">
        <v>2</v>
      </c>
      <c r="E165" s="20" t="n">
        <v>0</v>
      </c>
      <c r="F165" s="21" t="n">
        <f aca="false">'📋 Matches'!E21</f>
        <v>0</v>
      </c>
      <c r="G165" s="21" t="n">
        <f aca="false">'📋 Matches'!F21</f>
        <v>0</v>
      </c>
      <c r="H165" s="22" t="str">
        <f aca="false">IF(AND(ISNUMBER(F165),ISNUMBER(G165)),IF(SIGN(D165-E165)=SIGN(F165-G165),48,0),"")</f>
        <v/>
      </c>
      <c r="I165" s="22" t="str">
        <f aca="false">IF(AND(ISNUMBER(F165),ISNUMBER(G165)),IF(D165=F165,15,0),"")</f>
        <v/>
      </c>
      <c r="J165" s="22" t="str">
        <f aca="false">IF(AND(ISNUMBER(F165),ISNUMBER(G165)),IF(E165=G165,15,0),"")</f>
        <v/>
      </c>
      <c r="K165" s="22" t="str">
        <f aca="false">IF(AND(ISNUMBER(F165),ISNUMBER(G165)),IF(ABS(D165-E165)=ABS(F165-G165),12,0),"")</f>
        <v/>
      </c>
      <c r="L165" s="23" t="str">
        <f aca="false">IF(ISNUMBER(H165),H165+I165+J165+K165,"")</f>
        <v/>
      </c>
    </row>
    <row r="166" customFormat="false" ht="18" hidden="false" customHeight="true" outlineLevel="0" collapsed="false">
      <c r="A166" s="17" t="s">
        <v>9</v>
      </c>
      <c r="B166" s="18" t="s">
        <v>150</v>
      </c>
      <c r="C166" s="19" t="s">
        <v>72</v>
      </c>
      <c r="D166" s="20" t="n">
        <v>2</v>
      </c>
      <c r="E166" s="20" t="n">
        <v>0</v>
      </c>
      <c r="F166" s="21" t="n">
        <f aca="false">'📋 Matches'!E22</f>
        <v>0</v>
      </c>
      <c r="G166" s="21" t="n">
        <f aca="false">'📋 Matches'!F22</f>
        <v>0</v>
      </c>
      <c r="H166" s="22" t="str">
        <f aca="false">IF(AND(ISNUMBER(F166),ISNUMBER(G166)),IF(SIGN(D166-E166)=SIGN(F166-G166),48,0),"")</f>
        <v/>
      </c>
      <c r="I166" s="22" t="str">
        <f aca="false">IF(AND(ISNUMBER(F166),ISNUMBER(G166)),IF(D166=F166,15,0),"")</f>
        <v/>
      </c>
      <c r="J166" s="22" t="str">
        <f aca="false">IF(AND(ISNUMBER(F166),ISNUMBER(G166)),IF(E166=G166,15,0),"")</f>
        <v/>
      </c>
      <c r="K166" s="22" t="str">
        <f aca="false">IF(AND(ISNUMBER(F166),ISNUMBER(G166)),IF(ABS(D166-E166)=ABS(F166-G166),12,0),"")</f>
        <v/>
      </c>
      <c r="L166" s="23" t="str">
        <f aca="false">IF(ISNUMBER(H166),H166+I166+J166+K166,"")</f>
        <v/>
      </c>
    </row>
    <row r="167" customFormat="false" ht="18" hidden="false" customHeight="true" outlineLevel="0" collapsed="false">
      <c r="A167" s="17" t="s">
        <v>9</v>
      </c>
      <c r="B167" s="18" t="s">
        <v>150</v>
      </c>
      <c r="C167" s="19" t="s">
        <v>75</v>
      </c>
      <c r="D167" s="20" t="n">
        <v>2</v>
      </c>
      <c r="E167" s="20" t="n">
        <v>1</v>
      </c>
      <c r="F167" s="21" t="n">
        <f aca="false">'📋 Matches'!E23</f>
        <v>0</v>
      </c>
      <c r="G167" s="21" t="n">
        <f aca="false">'📋 Matches'!F23</f>
        <v>0</v>
      </c>
      <c r="H167" s="22" t="str">
        <f aca="false">IF(AND(ISNUMBER(F167),ISNUMBER(G167)),IF(SIGN(D167-E167)=SIGN(F167-G167),48,0),"")</f>
        <v/>
      </c>
      <c r="I167" s="22" t="str">
        <f aca="false">IF(AND(ISNUMBER(F167),ISNUMBER(G167)),IF(D167=F167,15,0),"")</f>
        <v/>
      </c>
      <c r="J167" s="22" t="str">
        <f aca="false">IF(AND(ISNUMBER(F167),ISNUMBER(G167)),IF(E167=G167,15,0),"")</f>
        <v/>
      </c>
      <c r="K167" s="22" t="str">
        <f aca="false">IF(AND(ISNUMBER(F167),ISNUMBER(G167)),IF(ABS(D167-E167)=ABS(F167-G167),12,0),"")</f>
        <v/>
      </c>
      <c r="L167" s="23" t="str">
        <f aca="false">IF(ISNUMBER(H167),H167+I167+J167+K167,"")</f>
        <v/>
      </c>
    </row>
    <row r="168" customFormat="false" ht="18" hidden="false" customHeight="true" outlineLevel="0" collapsed="false">
      <c r="A168" s="17" t="s">
        <v>9</v>
      </c>
      <c r="B168" s="18" t="s">
        <v>150</v>
      </c>
      <c r="C168" s="19" t="s">
        <v>78</v>
      </c>
      <c r="D168" s="20" t="n">
        <v>3</v>
      </c>
      <c r="E168" s="20" t="n">
        <v>1</v>
      </c>
      <c r="F168" s="21" t="n">
        <f aca="false">'📋 Matches'!E24</f>
        <v>0</v>
      </c>
      <c r="G168" s="21" t="n">
        <f aca="false">'📋 Matches'!F24</f>
        <v>0</v>
      </c>
      <c r="H168" s="22" t="str">
        <f aca="false">IF(AND(ISNUMBER(F168),ISNUMBER(G168)),IF(SIGN(D168-E168)=SIGN(F168-G168),48,0),"")</f>
        <v/>
      </c>
      <c r="I168" s="22" t="str">
        <f aca="false">IF(AND(ISNUMBER(F168),ISNUMBER(G168)),IF(D168=F168,15,0),"")</f>
        <v/>
      </c>
      <c r="J168" s="22" t="str">
        <f aca="false">IF(AND(ISNUMBER(F168),ISNUMBER(G168)),IF(E168=G168,15,0),"")</f>
        <v/>
      </c>
      <c r="K168" s="22" t="str">
        <f aca="false">IF(AND(ISNUMBER(F168),ISNUMBER(G168)),IF(ABS(D168-E168)=ABS(F168-G168),12,0),"")</f>
        <v/>
      </c>
      <c r="L168" s="23" t="str">
        <f aca="false">IF(ISNUMBER(H168),H168+I168+J168+K168,"")</f>
        <v/>
      </c>
    </row>
    <row r="169" customFormat="false" ht="18" hidden="false" customHeight="true" outlineLevel="0" collapsed="false">
      <c r="A169" s="17" t="s">
        <v>9</v>
      </c>
      <c r="B169" s="18" t="s">
        <v>150</v>
      </c>
      <c r="C169" s="19" t="s">
        <v>81</v>
      </c>
      <c r="D169" s="20" t="n">
        <v>0</v>
      </c>
      <c r="E169" s="20" t="n">
        <v>2</v>
      </c>
      <c r="F169" s="21" t="n">
        <f aca="false">'📋 Matches'!E25</f>
        <v>0</v>
      </c>
      <c r="G169" s="21" t="n">
        <f aca="false">'📋 Matches'!F25</f>
        <v>0</v>
      </c>
      <c r="H169" s="22" t="str">
        <f aca="false">IF(AND(ISNUMBER(F169),ISNUMBER(G169)),IF(SIGN(D169-E169)=SIGN(F169-G169),48,0),"")</f>
        <v/>
      </c>
      <c r="I169" s="22" t="str">
        <f aca="false">IF(AND(ISNUMBER(F169),ISNUMBER(G169)),IF(D169=F169,15,0),"")</f>
        <v/>
      </c>
      <c r="J169" s="22" t="str">
        <f aca="false">IF(AND(ISNUMBER(F169),ISNUMBER(G169)),IF(E169=G169,15,0),"")</f>
        <v/>
      </c>
      <c r="K169" s="22" t="str">
        <f aca="false">IF(AND(ISNUMBER(F169),ISNUMBER(G169)),IF(ABS(D169-E169)=ABS(F169-G169),12,0),"")</f>
        <v/>
      </c>
      <c r="L169" s="23" t="str">
        <f aca="false">IF(ISNUMBER(H169),H169+I169+J169+K169,"")</f>
        <v/>
      </c>
    </row>
    <row r="170" customFormat="false" ht="18" hidden="false" customHeight="true" outlineLevel="0" collapsed="false">
      <c r="A170" s="17" t="s">
        <v>84</v>
      </c>
      <c r="B170" s="18" t="s">
        <v>150</v>
      </c>
      <c r="C170" s="19" t="s">
        <v>85</v>
      </c>
      <c r="D170" s="20"/>
      <c r="E170" s="20"/>
      <c r="F170" s="21" t="n">
        <f aca="false">'📋 Matches'!E26</f>
        <v>0</v>
      </c>
      <c r="G170" s="21" t="n">
        <f aca="false">'📋 Matches'!F26</f>
        <v>0</v>
      </c>
      <c r="H170" s="24" t="s">
        <v>148</v>
      </c>
      <c r="I170" s="24" t="s">
        <v>148</v>
      </c>
      <c r="J170" s="24" t="s">
        <v>148</v>
      </c>
      <c r="K170" s="24" t="s">
        <v>148</v>
      </c>
      <c r="L170" s="24" t="s">
        <v>148</v>
      </c>
    </row>
    <row r="171" customFormat="false" ht="18" hidden="false" customHeight="true" outlineLevel="0" collapsed="false">
      <c r="A171" s="17" t="s">
        <v>84</v>
      </c>
      <c r="B171" s="18" t="s">
        <v>150</v>
      </c>
      <c r="C171" s="19" t="s">
        <v>87</v>
      </c>
      <c r="D171" s="20"/>
      <c r="E171" s="20"/>
      <c r="F171" s="21" t="n">
        <f aca="false">'📋 Matches'!E27</f>
        <v>0</v>
      </c>
      <c r="G171" s="21" t="n">
        <f aca="false">'📋 Matches'!F27</f>
        <v>0</v>
      </c>
      <c r="H171" s="24" t="s">
        <v>148</v>
      </c>
      <c r="I171" s="24" t="s">
        <v>148</v>
      </c>
      <c r="J171" s="24" t="s">
        <v>148</v>
      </c>
      <c r="K171" s="24" t="s">
        <v>148</v>
      </c>
      <c r="L171" s="24" t="s">
        <v>148</v>
      </c>
    </row>
    <row r="172" customFormat="false" ht="18" hidden="false" customHeight="true" outlineLevel="0" collapsed="false">
      <c r="A172" s="17" t="s">
        <v>84</v>
      </c>
      <c r="B172" s="18" t="s">
        <v>150</v>
      </c>
      <c r="C172" s="19" t="s">
        <v>89</v>
      </c>
      <c r="D172" s="20"/>
      <c r="E172" s="20"/>
      <c r="F172" s="21" t="n">
        <f aca="false">'📋 Matches'!E28</f>
        <v>0</v>
      </c>
      <c r="G172" s="21" t="n">
        <f aca="false">'📋 Matches'!F28</f>
        <v>0</v>
      </c>
      <c r="H172" s="24" t="s">
        <v>148</v>
      </c>
      <c r="I172" s="24" t="s">
        <v>148</v>
      </c>
      <c r="J172" s="24" t="s">
        <v>148</v>
      </c>
      <c r="K172" s="24" t="s">
        <v>148</v>
      </c>
      <c r="L172" s="24" t="s">
        <v>148</v>
      </c>
    </row>
    <row r="173" customFormat="false" ht="18" hidden="false" customHeight="true" outlineLevel="0" collapsed="false">
      <c r="A173" s="17" t="s">
        <v>84</v>
      </c>
      <c r="B173" s="18" t="s">
        <v>150</v>
      </c>
      <c r="C173" s="19" t="s">
        <v>90</v>
      </c>
      <c r="D173" s="20"/>
      <c r="E173" s="20"/>
      <c r="F173" s="21" t="n">
        <f aca="false">'📋 Matches'!E29</f>
        <v>0</v>
      </c>
      <c r="G173" s="21" t="n">
        <f aca="false">'📋 Matches'!F29</f>
        <v>0</v>
      </c>
      <c r="H173" s="24" t="s">
        <v>148</v>
      </c>
      <c r="I173" s="24" t="s">
        <v>148</v>
      </c>
      <c r="J173" s="24" t="s">
        <v>148</v>
      </c>
      <c r="K173" s="24" t="s">
        <v>148</v>
      </c>
      <c r="L173" s="24" t="s">
        <v>148</v>
      </c>
    </row>
    <row r="174" customFormat="false" ht="18" hidden="false" customHeight="true" outlineLevel="0" collapsed="false">
      <c r="A174" s="17" t="s">
        <v>84</v>
      </c>
      <c r="B174" s="18" t="s">
        <v>150</v>
      </c>
      <c r="C174" s="19" t="s">
        <v>91</v>
      </c>
      <c r="D174" s="20"/>
      <c r="E174" s="20"/>
      <c r="F174" s="21" t="n">
        <f aca="false">'📋 Matches'!E30</f>
        <v>0</v>
      </c>
      <c r="G174" s="21" t="n">
        <f aca="false">'📋 Matches'!F30</f>
        <v>0</v>
      </c>
      <c r="H174" s="24" t="s">
        <v>148</v>
      </c>
      <c r="I174" s="24" t="s">
        <v>148</v>
      </c>
      <c r="J174" s="24" t="s">
        <v>148</v>
      </c>
      <c r="K174" s="24" t="s">
        <v>148</v>
      </c>
      <c r="L174" s="24" t="s">
        <v>148</v>
      </c>
    </row>
    <row r="175" customFormat="false" ht="18" hidden="false" customHeight="true" outlineLevel="0" collapsed="false">
      <c r="A175" s="17" t="s">
        <v>84</v>
      </c>
      <c r="B175" s="18" t="s">
        <v>150</v>
      </c>
      <c r="C175" s="19" t="s">
        <v>92</v>
      </c>
      <c r="D175" s="20"/>
      <c r="E175" s="20"/>
      <c r="F175" s="21" t="n">
        <f aca="false">'📋 Matches'!E31</f>
        <v>0</v>
      </c>
      <c r="G175" s="21" t="n">
        <f aca="false">'📋 Matches'!F31</f>
        <v>0</v>
      </c>
      <c r="H175" s="24" t="s">
        <v>148</v>
      </c>
      <c r="I175" s="24" t="s">
        <v>148</v>
      </c>
      <c r="J175" s="24" t="s">
        <v>148</v>
      </c>
      <c r="K175" s="24" t="s">
        <v>148</v>
      </c>
      <c r="L175" s="24" t="s">
        <v>148</v>
      </c>
    </row>
    <row r="176" customFormat="false" ht="18" hidden="false" customHeight="true" outlineLevel="0" collapsed="false">
      <c r="A176" s="17" t="s">
        <v>84</v>
      </c>
      <c r="B176" s="18" t="s">
        <v>150</v>
      </c>
      <c r="C176" s="19" t="s">
        <v>93</v>
      </c>
      <c r="D176" s="20"/>
      <c r="E176" s="20"/>
      <c r="F176" s="21" t="n">
        <f aca="false">'📋 Matches'!E32</f>
        <v>0</v>
      </c>
      <c r="G176" s="21" t="n">
        <f aca="false">'📋 Matches'!F32</f>
        <v>0</v>
      </c>
      <c r="H176" s="24" t="s">
        <v>148</v>
      </c>
      <c r="I176" s="24" t="s">
        <v>148</v>
      </c>
      <c r="J176" s="24" t="s">
        <v>148</v>
      </c>
      <c r="K176" s="24" t="s">
        <v>148</v>
      </c>
      <c r="L176" s="24" t="s">
        <v>148</v>
      </c>
    </row>
    <row r="177" customFormat="false" ht="18" hidden="false" customHeight="true" outlineLevel="0" collapsed="false">
      <c r="A177" s="17" t="s">
        <v>84</v>
      </c>
      <c r="B177" s="18" t="s">
        <v>150</v>
      </c>
      <c r="C177" s="19" t="s">
        <v>94</v>
      </c>
      <c r="D177" s="20"/>
      <c r="E177" s="20"/>
      <c r="F177" s="21" t="n">
        <f aca="false">'📋 Matches'!E33</f>
        <v>0</v>
      </c>
      <c r="G177" s="21" t="n">
        <f aca="false">'📋 Matches'!F33</f>
        <v>0</v>
      </c>
      <c r="H177" s="24" t="s">
        <v>148</v>
      </c>
      <c r="I177" s="24" t="s">
        <v>148</v>
      </c>
      <c r="J177" s="24" t="s">
        <v>148</v>
      </c>
      <c r="K177" s="24" t="s">
        <v>148</v>
      </c>
      <c r="L177" s="24" t="s">
        <v>148</v>
      </c>
    </row>
    <row r="178" customFormat="false" ht="18" hidden="false" customHeight="true" outlineLevel="0" collapsed="false">
      <c r="A178" s="17" t="s">
        <v>84</v>
      </c>
      <c r="B178" s="18" t="s">
        <v>150</v>
      </c>
      <c r="C178" s="19" t="s">
        <v>96</v>
      </c>
      <c r="D178" s="20"/>
      <c r="E178" s="20"/>
      <c r="F178" s="21" t="n">
        <f aca="false">'📋 Matches'!E34</f>
        <v>0</v>
      </c>
      <c r="G178" s="21" t="n">
        <f aca="false">'📋 Matches'!F34</f>
        <v>0</v>
      </c>
      <c r="H178" s="24" t="s">
        <v>148</v>
      </c>
      <c r="I178" s="24" t="s">
        <v>148</v>
      </c>
      <c r="J178" s="24" t="s">
        <v>148</v>
      </c>
      <c r="K178" s="24" t="s">
        <v>148</v>
      </c>
      <c r="L178" s="24" t="s">
        <v>148</v>
      </c>
    </row>
    <row r="179" customFormat="false" ht="18" hidden="false" customHeight="true" outlineLevel="0" collapsed="false">
      <c r="A179" s="17" t="s">
        <v>84</v>
      </c>
      <c r="B179" s="18" t="s">
        <v>150</v>
      </c>
      <c r="C179" s="19" t="s">
        <v>97</v>
      </c>
      <c r="D179" s="20"/>
      <c r="E179" s="20"/>
      <c r="F179" s="21" t="n">
        <f aca="false">'📋 Matches'!E35</f>
        <v>0</v>
      </c>
      <c r="G179" s="21" t="n">
        <f aca="false">'📋 Matches'!F35</f>
        <v>0</v>
      </c>
      <c r="H179" s="24" t="s">
        <v>148</v>
      </c>
      <c r="I179" s="24" t="s">
        <v>148</v>
      </c>
      <c r="J179" s="24" t="s">
        <v>148</v>
      </c>
      <c r="K179" s="24" t="s">
        <v>148</v>
      </c>
      <c r="L179" s="24" t="s">
        <v>148</v>
      </c>
    </row>
    <row r="180" customFormat="false" ht="18" hidden="false" customHeight="true" outlineLevel="0" collapsed="false">
      <c r="A180" s="17" t="s">
        <v>84</v>
      </c>
      <c r="B180" s="18" t="s">
        <v>150</v>
      </c>
      <c r="C180" s="19" t="s">
        <v>98</v>
      </c>
      <c r="D180" s="20"/>
      <c r="E180" s="20"/>
      <c r="F180" s="21" t="n">
        <f aca="false">'📋 Matches'!E36</f>
        <v>0</v>
      </c>
      <c r="G180" s="21" t="n">
        <f aca="false">'📋 Matches'!F36</f>
        <v>0</v>
      </c>
      <c r="H180" s="24" t="s">
        <v>148</v>
      </c>
      <c r="I180" s="24" t="s">
        <v>148</v>
      </c>
      <c r="J180" s="24" t="s">
        <v>148</v>
      </c>
      <c r="K180" s="24" t="s">
        <v>148</v>
      </c>
      <c r="L180" s="24" t="s">
        <v>148</v>
      </c>
    </row>
    <row r="181" customFormat="false" ht="18" hidden="false" customHeight="true" outlineLevel="0" collapsed="false">
      <c r="A181" s="17" t="s">
        <v>84</v>
      </c>
      <c r="B181" s="18" t="s">
        <v>150</v>
      </c>
      <c r="C181" s="19" t="s">
        <v>100</v>
      </c>
      <c r="D181" s="20"/>
      <c r="E181" s="20"/>
      <c r="F181" s="21" t="n">
        <f aca="false">'📋 Matches'!E37</f>
        <v>0</v>
      </c>
      <c r="G181" s="21" t="n">
        <f aca="false">'📋 Matches'!F37</f>
        <v>0</v>
      </c>
      <c r="H181" s="24" t="s">
        <v>148</v>
      </c>
      <c r="I181" s="24" t="s">
        <v>148</v>
      </c>
      <c r="J181" s="24" t="s">
        <v>148</v>
      </c>
      <c r="K181" s="24" t="s">
        <v>148</v>
      </c>
      <c r="L181" s="24" t="s">
        <v>148</v>
      </c>
    </row>
    <row r="182" customFormat="false" ht="18" hidden="false" customHeight="true" outlineLevel="0" collapsed="false">
      <c r="A182" s="17" t="s">
        <v>84</v>
      </c>
      <c r="B182" s="18" t="s">
        <v>150</v>
      </c>
      <c r="C182" s="19" t="s">
        <v>101</v>
      </c>
      <c r="D182" s="20"/>
      <c r="E182" s="20"/>
      <c r="F182" s="21" t="n">
        <f aca="false">'📋 Matches'!E38</f>
        <v>0</v>
      </c>
      <c r="G182" s="21" t="n">
        <f aca="false">'📋 Matches'!F38</f>
        <v>0</v>
      </c>
      <c r="H182" s="24" t="s">
        <v>148</v>
      </c>
      <c r="I182" s="24" t="s">
        <v>148</v>
      </c>
      <c r="J182" s="24" t="s">
        <v>148</v>
      </c>
      <c r="K182" s="24" t="s">
        <v>148</v>
      </c>
      <c r="L182" s="24" t="s">
        <v>148</v>
      </c>
    </row>
    <row r="183" customFormat="false" ht="18" hidden="false" customHeight="true" outlineLevel="0" collapsed="false">
      <c r="A183" s="17" t="s">
        <v>84</v>
      </c>
      <c r="B183" s="18" t="s">
        <v>150</v>
      </c>
      <c r="C183" s="19" t="s">
        <v>102</v>
      </c>
      <c r="D183" s="20"/>
      <c r="E183" s="20"/>
      <c r="F183" s="21" t="n">
        <f aca="false">'📋 Matches'!E39</f>
        <v>0</v>
      </c>
      <c r="G183" s="21" t="n">
        <f aca="false">'📋 Matches'!F39</f>
        <v>0</v>
      </c>
      <c r="H183" s="24" t="s">
        <v>148</v>
      </c>
      <c r="I183" s="24" t="s">
        <v>148</v>
      </c>
      <c r="J183" s="24" t="s">
        <v>148</v>
      </c>
      <c r="K183" s="24" t="s">
        <v>148</v>
      </c>
      <c r="L183" s="24" t="s">
        <v>148</v>
      </c>
    </row>
    <row r="184" customFormat="false" ht="18" hidden="false" customHeight="true" outlineLevel="0" collapsed="false">
      <c r="A184" s="17" t="s">
        <v>84</v>
      </c>
      <c r="B184" s="18" t="s">
        <v>150</v>
      </c>
      <c r="C184" s="19" t="s">
        <v>103</v>
      </c>
      <c r="D184" s="20"/>
      <c r="E184" s="20"/>
      <c r="F184" s="21" t="n">
        <f aca="false">'📋 Matches'!E40</f>
        <v>0</v>
      </c>
      <c r="G184" s="21" t="n">
        <f aca="false">'📋 Matches'!F40</f>
        <v>0</v>
      </c>
      <c r="H184" s="24" t="s">
        <v>148</v>
      </c>
      <c r="I184" s="24" t="s">
        <v>148</v>
      </c>
      <c r="J184" s="24" t="s">
        <v>148</v>
      </c>
      <c r="K184" s="24" t="s">
        <v>148</v>
      </c>
      <c r="L184" s="24" t="s">
        <v>148</v>
      </c>
    </row>
    <row r="185" customFormat="false" ht="18" hidden="false" customHeight="true" outlineLevel="0" collapsed="false">
      <c r="A185" s="17" t="s">
        <v>84</v>
      </c>
      <c r="B185" s="18" t="s">
        <v>150</v>
      </c>
      <c r="C185" s="19" t="s">
        <v>104</v>
      </c>
      <c r="D185" s="20"/>
      <c r="E185" s="20"/>
      <c r="F185" s="21" t="n">
        <f aca="false">'📋 Matches'!E41</f>
        <v>0</v>
      </c>
      <c r="G185" s="21" t="n">
        <f aca="false">'📋 Matches'!F41</f>
        <v>0</v>
      </c>
      <c r="H185" s="24" t="s">
        <v>148</v>
      </c>
      <c r="I185" s="24" t="s">
        <v>148</v>
      </c>
      <c r="J185" s="24" t="s">
        <v>148</v>
      </c>
      <c r="K185" s="24" t="s">
        <v>148</v>
      </c>
      <c r="L185" s="24" t="s">
        <v>148</v>
      </c>
    </row>
    <row r="186" customFormat="false" ht="18" hidden="false" customHeight="true" outlineLevel="0" collapsed="false">
      <c r="A186" s="17" t="s">
        <v>84</v>
      </c>
      <c r="B186" s="18" t="s">
        <v>150</v>
      </c>
      <c r="C186" s="19" t="s">
        <v>105</v>
      </c>
      <c r="D186" s="20"/>
      <c r="E186" s="20"/>
      <c r="F186" s="21" t="n">
        <f aca="false">'📋 Matches'!E42</f>
        <v>0</v>
      </c>
      <c r="G186" s="21" t="n">
        <f aca="false">'📋 Matches'!F42</f>
        <v>0</v>
      </c>
      <c r="H186" s="24" t="s">
        <v>148</v>
      </c>
      <c r="I186" s="24" t="s">
        <v>148</v>
      </c>
      <c r="J186" s="24" t="s">
        <v>148</v>
      </c>
      <c r="K186" s="24" t="s">
        <v>148</v>
      </c>
      <c r="L186" s="24" t="s">
        <v>148</v>
      </c>
    </row>
    <row r="187" customFormat="false" ht="18" hidden="false" customHeight="true" outlineLevel="0" collapsed="false">
      <c r="A187" s="17" t="s">
        <v>84</v>
      </c>
      <c r="B187" s="18" t="s">
        <v>150</v>
      </c>
      <c r="C187" s="19" t="s">
        <v>106</v>
      </c>
      <c r="D187" s="20"/>
      <c r="E187" s="20"/>
      <c r="F187" s="21" t="n">
        <f aca="false">'📋 Matches'!E43</f>
        <v>0</v>
      </c>
      <c r="G187" s="21" t="n">
        <f aca="false">'📋 Matches'!F43</f>
        <v>0</v>
      </c>
      <c r="H187" s="24" t="s">
        <v>148</v>
      </c>
      <c r="I187" s="24" t="s">
        <v>148</v>
      </c>
      <c r="J187" s="24" t="s">
        <v>148</v>
      </c>
      <c r="K187" s="24" t="s">
        <v>148</v>
      </c>
      <c r="L187" s="24" t="s">
        <v>148</v>
      </c>
    </row>
    <row r="188" customFormat="false" ht="18" hidden="false" customHeight="true" outlineLevel="0" collapsed="false">
      <c r="A188" s="17" t="s">
        <v>84</v>
      </c>
      <c r="B188" s="18" t="s">
        <v>150</v>
      </c>
      <c r="C188" s="19" t="s">
        <v>107</v>
      </c>
      <c r="D188" s="20"/>
      <c r="E188" s="20"/>
      <c r="F188" s="21" t="n">
        <f aca="false">'📋 Matches'!E44</f>
        <v>0</v>
      </c>
      <c r="G188" s="21" t="n">
        <f aca="false">'📋 Matches'!F44</f>
        <v>0</v>
      </c>
      <c r="H188" s="24" t="s">
        <v>148</v>
      </c>
      <c r="I188" s="24" t="s">
        <v>148</v>
      </c>
      <c r="J188" s="24" t="s">
        <v>148</v>
      </c>
      <c r="K188" s="24" t="s">
        <v>148</v>
      </c>
      <c r="L188" s="24" t="s">
        <v>148</v>
      </c>
    </row>
    <row r="189" customFormat="false" ht="18" hidden="false" customHeight="true" outlineLevel="0" collapsed="false">
      <c r="A189" s="17" t="s">
        <v>84</v>
      </c>
      <c r="B189" s="18" t="s">
        <v>150</v>
      </c>
      <c r="C189" s="19" t="s">
        <v>108</v>
      </c>
      <c r="D189" s="20"/>
      <c r="E189" s="20"/>
      <c r="F189" s="21" t="n">
        <f aca="false">'📋 Matches'!E45</f>
        <v>0</v>
      </c>
      <c r="G189" s="21" t="n">
        <f aca="false">'📋 Matches'!F45</f>
        <v>0</v>
      </c>
      <c r="H189" s="24" t="s">
        <v>148</v>
      </c>
      <c r="I189" s="24" t="s">
        <v>148</v>
      </c>
      <c r="J189" s="24" t="s">
        <v>148</v>
      </c>
      <c r="K189" s="24" t="s">
        <v>148</v>
      </c>
      <c r="L189" s="24" t="s">
        <v>148</v>
      </c>
    </row>
    <row r="190" customFormat="false" ht="18" hidden="false" customHeight="true" outlineLevel="0" collapsed="false">
      <c r="A190" s="17" t="s">
        <v>84</v>
      </c>
      <c r="B190" s="18" t="s">
        <v>150</v>
      </c>
      <c r="C190" s="19" t="s">
        <v>109</v>
      </c>
      <c r="D190" s="20"/>
      <c r="E190" s="20"/>
      <c r="F190" s="21" t="n">
        <f aca="false">'📋 Matches'!E46</f>
        <v>0</v>
      </c>
      <c r="G190" s="21" t="n">
        <f aca="false">'📋 Matches'!F46</f>
        <v>0</v>
      </c>
      <c r="H190" s="24" t="s">
        <v>148</v>
      </c>
      <c r="I190" s="24" t="s">
        <v>148</v>
      </c>
      <c r="J190" s="24" t="s">
        <v>148</v>
      </c>
      <c r="K190" s="24" t="s">
        <v>148</v>
      </c>
      <c r="L190" s="24" t="s">
        <v>148</v>
      </c>
    </row>
    <row r="191" customFormat="false" ht="18" hidden="false" customHeight="true" outlineLevel="0" collapsed="false">
      <c r="A191" s="17" t="s">
        <v>84</v>
      </c>
      <c r="B191" s="18" t="s">
        <v>150</v>
      </c>
      <c r="C191" s="19" t="s">
        <v>110</v>
      </c>
      <c r="D191" s="20"/>
      <c r="E191" s="20"/>
      <c r="F191" s="21" t="n">
        <f aca="false">'📋 Matches'!E47</f>
        <v>0</v>
      </c>
      <c r="G191" s="21" t="n">
        <f aca="false">'📋 Matches'!F47</f>
        <v>0</v>
      </c>
      <c r="H191" s="24" t="s">
        <v>148</v>
      </c>
      <c r="I191" s="24" t="s">
        <v>148</v>
      </c>
      <c r="J191" s="24" t="s">
        <v>148</v>
      </c>
      <c r="K191" s="24" t="s">
        <v>148</v>
      </c>
      <c r="L191" s="24" t="s">
        <v>148</v>
      </c>
    </row>
    <row r="192" customFormat="false" ht="18" hidden="false" customHeight="true" outlineLevel="0" collapsed="false">
      <c r="A192" s="17" t="s">
        <v>84</v>
      </c>
      <c r="B192" s="18" t="s">
        <v>150</v>
      </c>
      <c r="C192" s="19" t="s">
        <v>111</v>
      </c>
      <c r="D192" s="20"/>
      <c r="E192" s="20"/>
      <c r="F192" s="21" t="n">
        <f aca="false">'📋 Matches'!E48</f>
        <v>0</v>
      </c>
      <c r="G192" s="21" t="n">
        <f aca="false">'📋 Matches'!F48</f>
        <v>0</v>
      </c>
      <c r="H192" s="24" t="s">
        <v>148</v>
      </c>
      <c r="I192" s="24" t="s">
        <v>148</v>
      </c>
      <c r="J192" s="24" t="s">
        <v>148</v>
      </c>
      <c r="K192" s="24" t="s">
        <v>148</v>
      </c>
      <c r="L192" s="24" t="s">
        <v>148</v>
      </c>
    </row>
    <row r="193" customFormat="false" ht="18" hidden="false" customHeight="true" outlineLevel="0" collapsed="false">
      <c r="A193" s="17" t="s">
        <v>84</v>
      </c>
      <c r="B193" s="18" t="s">
        <v>150</v>
      </c>
      <c r="C193" s="19" t="s">
        <v>112</v>
      </c>
      <c r="D193" s="20"/>
      <c r="E193" s="20"/>
      <c r="F193" s="21" t="n">
        <f aca="false">'📋 Matches'!E49</f>
        <v>0</v>
      </c>
      <c r="G193" s="21" t="n">
        <f aca="false">'📋 Matches'!F49</f>
        <v>0</v>
      </c>
      <c r="H193" s="24" t="s">
        <v>148</v>
      </c>
      <c r="I193" s="24" t="s">
        <v>148</v>
      </c>
      <c r="J193" s="24" t="s">
        <v>148</v>
      </c>
      <c r="K193" s="24" t="s">
        <v>148</v>
      </c>
      <c r="L193" s="24" t="s">
        <v>148</v>
      </c>
    </row>
    <row r="194" customFormat="false" ht="18" hidden="false" customHeight="true" outlineLevel="0" collapsed="false">
      <c r="A194" s="17" t="s">
        <v>114</v>
      </c>
      <c r="B194" s="18" t="s">
        <v>150</v>
      </c>
      <c r="C194" s="19" t="s">
        <v>115</v>
      </c>
      <c r="D194" s="20"/>
      <c r="E194" s="20"/>
      <c r="F194" s="21" t="n">
        <f aca="false">'📋 Matches'!E50</f>
        <v>0</v>
      </c>
      <c r="G194" s="21" t="n">
        <f aca="false">'📋 Matches'!F50</f>
        <v>0</v>
      </c>
      <c r="H194" s="24" t="s">
        <v>148</v>
      </c>
      <c r="I194" s="24" t="s">
        <v>148</v>
      </c>
      <c r="J194" s="24" t="s">
        <v>148</v>
      </c>
      <c r="K194" s="24" t="s">
        <v>148</v>
      </c>
      <c r="L194" s="24" t="s">
        <v>148</v>
      </c>
    </row>
    <row r="195" customFormat="false" ht="18" hidden="false" customHeight="true" outlineLevel="0" collapsed="false">
      <c r="A195" s="17" t="s">
        <v>114</v>
      </c>
      <c r="B195" s="18" t="s">
        <v>150</v>
      </c>
      <c r="C195" s="19" t="s">
        <v>116</v>
      </c>
      <c r="D195" s="20"/>
      <c r="E195" s="20"/>
      <c r="F195" s="21" t="n">
        <f aca="false">'📋 Matches'!E51</f>
        <v>0</v>
      </c>
      <c r="G195" s="21" t="n">
        <f aca="false">'📋 Matches'!F51</f>
        <v>0</v>
      </c>
      <c r="H195" s="24" t="s">
        <v>148</v>
      </c>
      <c r="I195" s="24" t="s">
        <v>148</v>
      </c>
      <c r="J195" s="24" t="s">
        <v>148</v>
      </c>
      <c r="K195" s="24" t="s">
        <v>148</v>
      </c>
      <c r="L195" s="24" t="s">
        <v>148</v>
      </c>
    </row>
    <row r="196" customFormat="false" ht="18" hidden="false" customHeight="true" outlineLevel="0" collapsed="false">
      <c r="A196" s="17" t="s">
        <v>114</v>
      </c>
      <c r="B196" s="18" t="s">
        <v>150</v>
      </c>
      <c r="C196" s="19" t="s">
        <v>117</v>
      </c>
      <c r="D196" s="20"/>
      <c r="E196" s="20"/>
      <c r="F196" s="21" t="n">
        <f aca="false">'📋 Matches'!E52</f>
        <v>0</v>
      </c>
      <c r="G196" s="21" t="n">
        <f aca="false">'📋 Matches'!F52</f>
        <v>0</v>
      </c>
      <c r="H196" s="24" t="s">
        <v>148</v>
      </c>
      <c r="I196" s="24" t="s">
        <v>148</v>
      </c>
      <c r="J196" s="24" t="s">
        <v>148</v>
      </c>
      <c r="K196" s="24" t="s">
        <v>148</v>
      </c>
      <c r="L196" s="24" t="s">
        <v>148</v>
      </c>
    </row>
    <row r="197" customFormat="false" ht="18" hidden="false" customHeight="true" outlineLevel="0" collapsed="false">
      <c r="A197" s="17" t="s">
        <v>114</v>
      </c>
      <c r="B197" s="18" t="s">
        <v>150</v>
      </c>
      <c r="C197" s="19" t="s">
        <v>118</v>
      </c>
      <c r="D197" s="20"/>
      <c r="E197" s="20"/>
      <c r="F197" s="21" t="n">
        <f aca="false">'📋 Matches'!E53</f>
        <v>0</v>
      </c>
      <c r="G197" s="21" t="n">
        <f aca="false">'📋 Matches'!F53</f>
        <v>0</v>
      </c>
      <c r="H197" s="24" t="s">
        <v>148</v>
      </c>
      <c r="I197" s="24" t="s">
        <v>148</v>
      </c>
      <c r="J197" s="24" t="s">
        <v>148</v>
      </c>
      <c r="K197" s="24" t="s">
        <v>148</v>
      </c>
      <c r="L197" s="24" t="s">
        <v>148</v>
      </c>
    </row>
    <row r="198" customFormat="false" ht="18" hidden="false" customHeight="true" outlineLevel="0" collapsed="false">
      <c r="A198" s="17" t="s">
        <v>114</v>
      </c>
      <c r="B198" s="18" t="s">
        <v>150</v>
      </c>
      <c r="C198" s="19" t="s">
        <v>119</v>
      </c>
      <c r="D198" s="20"/>
      <c r="E198" s="20"/>
      <c r="F198" s="21" t="n">
        <f aca="false">'📋 Matches'!E54</f>
        <v>0</v>
      </c>
      <c r="G198" s="21" t="n">
        <f aca="false">'📋 Matches'!F54</f>
        <v>0</v>
      </c>
      <c r="H198" s="24" t="s">
        <v>148</v>
      </c>
      <c r="I198" s="24" t="s">
        <v>148</v>
      </c>
      <c r="J198" s="24" t="s">
        <v>148</v>
      </c>
      <c r="K198" s="24" t="s">
        <v>148</v>
      </c>
      <c r="L198" s="24" t="s">
        <v>148</v>
      </c>
    </row>
    <row r="199" customFormat="false" ht="18" hidden="false" customHeight="true" outlineLevel="0" collapsed="false">
      <c r="A199" s="17" t="s">
        <v>114</v>
      </c>
      <c r="B199" s="18" t="s">
        <v>150</v>
      </c>
      <c r="C199" s="19" t="s">
        <v>120</v>
      </c>
      <c r="D199" s="20"/>
      <c r="E199" s="20"/>
      <c r="F199" s="21" t="n">
        <f aca="false">'📋 Matches'!E55</f>
        <v>0</v>
      </c>
      <c r="G199" s="21" t="n">
        <f aca="false">'📋 Matches'!F55</f>
        <v>0</v>
      </c>
      <c r="H199" s="24" t="s">
        <v>148</v>
      </c>
      <c r="I199" s="24" t="s">
        <v>148</v>
      </c>
      <c r="J199" s="24" t="s">
        <v>148</v>
      </c>
      <c r="K199" s="24" t="s">
        <v>148</v>
      </c>
      <c r="L199" s="24" t="s">
        <v>148</v>
      </c>
    </row>
    <row r="200" customFormat="false" ht="18" hidden="false" customHeight="true" outlineLevel="0" collapsed="false">
      <c r="A200" s="17" t="s">
        <v>114</v>
      </c>
      <c r="B200" s="18" t="s">
        <v>150</v>
      </c>
      <c r="C200" s="19" t="s">
        <v>121</v>
      </c>
      <c r="D200" s="20"/>
      <c r="E200" s="20"/>
      <c r="F200" s="21" t="n">
        <f aca="false">'📋 Matches'!E56</f>
        <v>0</v>
      </c>
      <c r="G200" s="21" t="n">
        <f aca="false">'📋 Matches'!F56</f>
        <v>0</v>
      </c>
      <c r="H200" s="24" t="s">
        <v>148</v>
      </c>
      <c r="I200" s="24" t="s">
        <v>148</v>
      </c>
      <c r="J200" s="24" t="s">
        <v>148</v>
      </c>
      <c r="K200" s="24" t="s">
        <v>148</v>
      </c>
      <c r="L200" s="24" t="s">
        <v>148</v>
      </c>
    </row>
    <row r="201" customFormat="false" ht="18" hidden="false" customHeight="true" outlineLevel="0" collapsed="false">
      <c r="A201" s="17" t="s">
        <v>114</v>
      </c>
      <c r="B201" s="18" t="s">
        <v>150</v>
      </c>
      <c r="C201" s="19" t="s">
        <v>122</v>
      </c>
      <c r="D201" s="20"/>
      <c r="E201" s="20"/>
      <c r="F201" s="21" t="n">
        <f aca="false">'📋 Matches'!E57</f>
        <v>0</v>
      </c>
      <c r="G201" s="21" t="n">
        <f aca="false">'📋 Matches'!F57</f>
        <v>0</v>
      </c>
      <c r="H201" s="24" t="s">
        <v>148</v>
      </c>
      <c r="I201" s="24" t="s">
        <v>148</v>
      </c>
      <c r="J201" s="24" t="s">
        <v>148</v>
      </c>
      <c r="K201" s="24" t="s">
        <v>148</v>
      </c>
      <c r="L201" s="24" t="s">
        <v>148</v>
      </c>
    </row>
    <row r="202" customFormat="false" ht="18" hidden="false" customHeight="true" outlineLevel="0" collapsed="false">
      <c r="A202" s="17" t="s">
        <v>114</v>
      </c>
      <c r="B202" s="18" t="s">
        <v>150</v>
      </c>
      <c r="C202" s="19" t="s">
        <v>123</v>
      </c>
      <c r="D202" s="20"/>
      <c r="E202" s="20"/>
      <c r="F202" s="21" t="n">
        <f aca="false">'📋 Matches'!E58</f>
        <v>0</v>
      </c>
      <c r="G202" s="21" t="n">
        <f aca="false">'📋 Matches'!F58</f>
        <v>0</v>
      </c>
      <c r="H202" s="24" t="s">
        <v>148</v>
      </c>
      <c r="I202" s="24" t="s">
        <v>148</v>
      </c>
      <c r="J202" s="24" t="s">
        <v>148</v>
      </c>
      <c r="K202" s="24" t="s">
        <v>148</v>
      </c>
      <c r="L202" s="24" t="s">
        <v>148</v>
      </c>
    </row>
    <row r="203" customFormat="false" ht="18" hidden="false" customHeight="true" outlineLevel="0" collapsed="false">
      <c r="A203" s="17" t="s">
        <v>114</v>
      </c>
      <c r="B203" s="18" t="s">
        <v>150</v>
      </c>
      <c r="C203" s="19" t="s">
        <v>124</v>
      </c>
      <c r="D203" s="20"/>
      <c r="E203" s="20"/>
      <c r="F203" s="21" t="n">
        <f aca="false">'📋 Matches'!E59</f>
        <v>0</v>
      </c>
      <c r="G203" s="21" t="n">
        <f aca="false">'📋 Matches'!F59</f>
        <v>0</v>
      </c>
      <c r="H203" s="24" t="s">
        <v>148</v>
      </c>
      <c r="I203" s="24" t="s">
        <v>148</v>
      </c>
      <c r="J203" s="24" t="s">
        <v>148</v>
      </c>
      <c r="K203" s="24" t="s">
        <v>148</v>
      </c>
      <c r="L203" s="24" t="s">
        <v>148</v>
      </c>
    </row>
    <row r="204" customFormat="false" ht="18" hidden="false" customHeight="true" outlineLevel="0" collapsed="false">
      <c r="A204" s="17" t="s">
        <v>114</v>
      </c>
      <c r="B204" s="18" t="s">
        <v>150</v>
      </c>
      <c r="C204" s="19" t="s">
        <v>125</v>
      </c>
      <c r="D204" s="20"/>
      <c r="E204" s="20"/>
      <c r="F204" s="21" t="n">
        <f aca="false">'📋 Matches'!E60</f>
        <v>0</v>
      </c>
      <c r="G204" s="21" t="n">
        <f aca="false">'📋 Matches'!F60</f>
        <v>0</v>
      </c>
      <c r="H204" s="24" t="s">
        <v>148</v>
      </c>
      <c r="I204" s="24" t="s">
        <v>148</v>
      </c>
      <c r="J204" s="24" t="s">
        <v>148</v>
      </c>
      <c r="K204" s="24" t="s">
        <v>148</v>
      </c>
      <c r="L204" s="24" t="s">
        <v>148</v>
      </c>
    </row>
    <row r="205" customFormat="false" ht="18" hidden="false" customHeight="true" outlineLevel="0" collapsed="false">
      <c r="A205" s="17" t="s">
        <v>114</v>
      </c>
      <c r="B205" s="18" t="s">
        <v>150</v>
      </c>
      <c r="C205" s="19" t="s">
        <v>126</v>
      </c>
      <c r="D205" s="20"/>
      <c r="E205" s="20"/>
      <c r="F205" s="21" t="n">
        <f aca="false">'📋 Matches'!E61</f>
        <v>0</v>
      </c>
      <c r="G205" s="21" t="n">
        <f aca="false">'📋 Matches'!F61</f>
        <v>0</v>
      </c>
      <c r="H205" s="24" t="s">
        <v>148</v>
      </c>
      <c r="I205" s="24" t="s">
        <v>148</v>
      </c>
      <c r="J205" s="24" t="s">
        <v>148</v>
      </c>
      <c r="K205" s="24" t="s">
        <v>148</v>
      </c>
      <c r="L205" s="24" t="s">
        <v>148</v>
      </c>
    </row>
    <row r="206" customFormat="false" ht="18" hidden="false" customHeight="true" outlineLevel="0" collapsed="false">
      <c r="A206" s="17" t="s">
        <v>114</v>
      </c>
      <c r="B206" s="18" t="s">
        <v>150</v>
      </c>
      <c r="C206" s="19" t="s">
        <v>127</v>
      </c>
      <c r="D206" s="20"/>
      <c r="E206" s="20"/>
      <c r="F206" s="21" t="n">
        <f aca="false">'📋 Matches'!E62</f>
        <v>0</v>
      </c>
      <c r="G206" s="21" t="n">
        <f aca="false">'📋 Matches'!F62</f>
        <v>0</v>
      </c>
      <c r="H206" s="24" t="s">
        <v>148</v>
      </c>
      <c r="I206" s="24" t="s">
        <v>148</v>
      </c>
      <c r="J206" s="24" t="s">
        <v>148</v>
      </c>
      <c r="K206" s="24" t="s">
        <v>148</v>
      </c>
      <c r="L206" s="24" t="s">
        <v>148</v>
      </c>
    </row>
    <row r="207" customFormat="false" ht="18" hidden="false" customHeight="true" outlineLevel="0" collapsed="false">
      <c r="A207" s="17" t="s">
        <v>114</v>
      </c>
      <c r="B207" s="18" t="s">
        <v>150</v>
      </c>
      <c r="C207" s="19" t="s">
        <v>128</v>
      </c>
      <c r="D207" s="20"/>
      <c r="E207" s="20"/>
      <c r="F207" s="21" t="n">
        <f aca="false">'📋 Matches'!E63</f>
        <v>0</v>
      </c>
      <c r="G207" s="21" t="n">
        <f aca="false">'📋 Matches'!F63</f>
        <v>0</v>
      </c>
      <c r="H207" s="24" t="s">
        <v>148</v>
      </c>
      <c r="I207" s="24" t="s">
        <v>148</v>
      </c>
      <c r="J207" s="24" t="s">
        <v>148</v>
      </c>
      <c r="K207" s="24" t="s">
        <v>148</v>
      </c>
      <c r="L207" s="24" t="s">
        <v>148</v>
      </c>
    </row>
    <row r="208" customFormat="false" ht="18" hidden="false" customHeight="true" outlineLevel="0" collapsed="false">
      <c r="A208" s="17" t="s">
        <v>114</v>
      </c>
      <c r="B208" s="18" t="s">
        <v>150</v>
      </c>
      <c r="C208" s="19" t="s">
        <v>129</v>
      </c>
      <c r="D208" s="20"/>
      <c r="E208" s="20"/>
      <c r="F208" s="21" t="n">
        <f aca="false">'📋 Matches'!E64</f>
        <v>0</v>
      </c>
      <c r="G208" s="21" t="n">
        <f aca="false">'📋 Matches'!F64</f>
        <v>0</v>
      </c>
      <c r="H208" s="24" t="s">
        <v>148</v>
      </c>
      <c r="I208" s="24" t="s">
        <v>148</v>
      </c>
      <c r="J208" s="24" t="s">
        <v>148</v>
      </c>
      <c r="K208" s="24" t="s">
        <v>148</v>
      </c>
      <c r="L208" s="24" t="s">
        <v>148</v>
      </c>
    </row>
    <row r="209" customFormat="false" ht="18" hidden="false" customHeight="true" outlineLevel="0" collapsed="false">
      <c r="A209" s="17" t="s">
        <v>114</v>
      </c>
      <c r="B209" s="18" t="s">
        <v>150</v>
      </c>
      <c r="C209" s="19" t="s">
        <v>130</v>
      </c>
      <c r="D209" s="20"/>
      <c r="E209" s="20"/>
      <c r="F209" s="21" t="n">
        <f aca="false">'📋 Matches'!E65</f>
        <v>0</v>
      </c>
      <c r="G209" s="21" t="n">
        <f aca="false">'📋 Matches'!F65</f>
        <v>0</v>
      </c>
      <c r="H209" s="24" t="s">
        <v>148</v>
      </c>
      <c r="I209" s="24" t="s">
        <v>148</v>
      </c>
      <c r="J209" s="24" t="s">
        <v>148</v>
      </c>
      <c r="K209" s="24" t="s">
        <v>148</v>
      </c>
      <c r="L209" s="24" t="s">
        <v>148</v>
      </c>
    </row>
    <row r="210" customFormat="false" ht="18" hidden="false" customHeight="true" outlineLevel="0" collapsed="false">
      <c r="A210" s="17" t="s">
        <v>114</v>
      </c>
      <c r="B210" s="18" t="s">
        <v>150</v>
      </c>
      <c r="C210" s="19" t="s">
        <v>131</v>
      </c>
      <c r="D210" s="20"/>
      <c r="E210" s="20"/>
      <c r="F210" s="21" t="n">
        <f aca="false">'📋 Matches'!E66</f>
        <v>0</v>
      </c>
      <c r="G210" s="21" t="n">
        <f aca="false">'📋 Matches'!F66</f>
        <v>0</v>
      </c>
      <c r="H210" s="24" t="s">
        <v>148</v>
      </c>
      <c r="I210" s="24" t="s">
        <v>148</v>
      </c>
      <c r="J210" s="24" t="s">
        <v>148</v>
      </c>
      <c r="K210" s="24" t="s">
        <v>148</v>
      </c>
      <c r="L210" s="24" t="s">
        <v>148</v>
      </c>
    </row>
    <row r="211" customFormat="false" ht="18" hidden="false" customHeight="true" outlineLevel="0" collapsed="false">
      <c r="A211" s="17" t="s">
        <v>114</v>
      </c>
      <c r="B211" s="18" t="s">
        <v>150</v>
      </c>
      <c r="C211" s="19" t="s">
        <v>132</v>
      </c>
      <c r="D211" s="20"/>
      <c r="E211" s="20"/>
      <c r="F211" s="21" t="n">
        <f aca="false">'📋 Matches'!E67</f>
        <v>0</v>
      </c>
      <c r="G211" s="21" t="n">
        <f aca="false">'📋 Matches'!F67</f>
        <v>0</v>
      </c>
      <c r="H211" s="24" t="s">
        <v>148</v>
      </c>
      <c r="I211" s="24" t="s">
        <v>148</v>
      </c>
      <c r="J211" s="24" t="s">
        <v>148</v>
      </c>
      <c r="K211" s="24" t="s">
        <v>148</v>
      </c>
      <c r="L211" s="24" t="s">
        <v>148</v>
      </c>
    </row>
    <row r="212" customFormat="false" ht="18" hidden="false" customHeight="true" outlineLevel="0" collapsed="false">
      <c r="A212" s="17" t="s">
        <v>114</v>
      </c>
      <c r="B212" s="18" t="s">
        <v>150</v>
      </c>
      <c r="C212" s="19" t="s">
        <v>133</v>
      </c>
      <c r="D212" s="20"/>
      <c r="E212" s="20"/>
      <c r="F212" s="21" t="n">
        <f aca="false">'📋 Matches'!E68</f>
        <v>0</v>
      </c>
      <c r="G212" s="21" t="n">
        <f aca="false">'📋 Matches'!F68</f>
        <v>0</v>
      </c>
      <c r="H212" s="24" t="s">
        <v>148</v>
      </c>
      <c r="I212" s="24" t="s">
        <v>148</v>
      </c>
      <c r="J212" s="24" t="s">
        <v>148</v>
      </c>
      <c r="K212" s="24" t="s">
        <v>148</v>
      </c>
      <c r="L212" s="24" t="s">
        <v>148</v>
      </c>
    </row>
    <row r="213" customFormat="false" ht="18" hidden="false" customHeight="true" outlineLevel="0" collapsed="false">
      <c r="A213" s="17" t="s">
        <v>114</v>
      </c>
      <c r="B213" s="18" t="s">
        <v>150</v>
      </c>
      <c r="C213" s="19" t="s">
        <v>134</v>
      </c>
      <c r="D213" s="20"/>
      <c r="E213" s="20"/>
      <c r="F213" s="21" t="n">
        <f aca="false">'📋 Matches'!E69</f>
        <v>0</v>
      </c>
      <c r="G213" s="21" t="n">
        <f aca="false">'📋 Matches'!F69</f>
        <v>0</v>
      </c>
      <c r="H213" s="24" t="s">
        <v>148</v>
      </c>
      <c r="I213" s="24" t="s">
        <v>148</v>
      </c>
      <c r="J213" s="24" t="s">
        <v>148</v>
      </c>
      <c r="K213" s="24" t="s">
        <v>148</v>
      </c>
      <c r="L213" s="24" t="s">
        <v>148</v>
      </c>
    </row>
    <row r="214" customFormat="false" ht="18" hidden="false" customHeight="true" outlineLevel="0" collapsed="false">
      <c r="A214" s="17" t="s">
        <v>114</v>
      </c>
      <c r="B214" s="18" t="s">
        <v>150</v>
      </c>
      <c r="C214" s="19" t="s">
        <v>135</v>
      </c>
      <c r="D214" s="20"/>
      <c r="E214" s="20"/>
      <c r="F214" s="21" t="n">
        <f aca="false">'📋 Matches'!E70</f>
        <v>0</v>
      </c>
      <c r="G214" s="21" t="n">
        <f aca="false">'📋 Matches'!F70</f>
        <v>0</v>
      </c>
      <c r="H214" s="24" t="s">
        <v>148</v>
      </c>
      <c r="I214" s="24" t="s">
        <v>148</v>
      </c>
      <c r="J214" s="24" t="s">
        <v>148</v>
      </c>
      <c r="K214" s="24" t="s">
        <v>148</v>
      </c>
      <c r="L214" s="24" t="s">
        <v>148</v>
      </c>
    </row>
    <row r="215" customFormat="false" ht="18" hidden="false" customHeight="true" outlineLevel="0" collapsed="false">
      <c r="A215" s="17" t="s">
        <v>114</v>
      </c>
      <c r="B215" s="18" t="s">
        <v>150</v>
      </c>
      <c r="C215" s="19" t="s">
        <v>136</v>
      </c>
      <c r="D215" s="20"/>
      <c r="E215" s="20"/>
      <c r="F215" s="21" t="n">
        <f aca="false">'📋 Matches'!E71</f>
        <v>0</v>
      </c>
      <c r="G215" s="21" t="n">
        <f aca="false">'📋 Matches'!F71</f>
        <v>0</v>
      </c>
      <c r="H215" s="24" t="s">
        <v>148</v>
      </c>
      <c r="I215" s="24" t="s">
        <v>148</v>
      </c>
      <c r="J215" s="24" t="s">
        <v>148</v>
      </c>
      <c r="K215" s="24" t="s">
        <v>148</v>
      </c>
      <c r="L215" s="24" t="s">
        <v>148</v>
      </c>
    </row>
    <row r="216" customFormat="false" ht="18" hidden="false" customHeight="true" outlineLevel="0" collapsed="false">
      <c r="A216" s="17" t="s">
        <v>114</v>
      </c>
      <c r="B216" s="18" t="s">
        <v>150</v>
      </c>
      <c r="C216" s="19" t="s">
        <v>137</v>
      </c>
      <c r="D216" s="20"/>
      <c r="E216" s="20"/>
      <c r="F216" s="21" t="n">
        <f aca="false">'📋 Matches'!E72</f>
        <v>0</v>
      </c>
      <c r="G216" s="21" t="n">
        <f aca="false">'📋 Matches'!F72</f>
        <v>0</v>
      </c>
      <c r="H216" s="24" t="s">
        <v>148</v>
      </c>
      <c r="I216" s="24" t="s">
        <v>148</v>
      </c>
      <c r="J216" s="24" t="s">
        <v>148</v>
      </c>
      <c r="K216" s="24" t="s">
        <v>148</v>
      </c>
      <c r="L216" s="24" t="s">
        <v>148</v>
      </c>
    </row>
    <row r="217" customFormat="false" ht="18" hidden="false" customHeight="true" outlineLevel="0" collapsed="false">
      <c r="A217" s="17" t="s">
        <v>114</v>
      </c>
      <c r="B217" s="18" t="s">
        <v>150</v>
      </c>
      <c r="C217" s="19" t="s">
        <v>138</v>
      </c>
      <c r="D217" s="20"/>
      <c r="E217" s="20"/>
      <c r="F217" s="21" t="n">
        <f aca="false">'📋 Matches'!E73</f>
        <v>0</v>
      </c>
      <c r="G217" s="21" t="n">
        <f aca="false">'📋 Matches'!F73</f>
        <v>0</v>
      </c>
      <c r="H217" s="24" t="s">
        <v>148</v>
      </c>
      <c r="I217" s="24" t="s">
        <v>148</v>
      </c>
      <c r="J217" s="24" t="s">
        <v>148</v>
      </c>
      <c r="K217" s="24" t="s">
        <v>148</v>
      </c>
      <c r="L217" s="24" t="s">
        <v>148</v>
      </c>
    </row>
    <row r="218" customFormat="false" ht="18" hidden="false" customHeight="true" outlineLevel="0" collapsed="false">
      <c r="A218" s="25" t="s">
        <v>9</v>
      </c>
      <c r="B218" s="26" t="s">
        <v>151</v>
      </c>
      <c r="C218" s="27" t="s">
        <v>10</v>
      </c>
      <c r="D218" s="28" t="n">
        <v>1</v>
      </c>
      <c r="E218" s="28" t="n">
        <v>0</v>
      </c>
      <c r="F218" s="29" t="n">
        <f aca="false">'📋 Matches'!E2</f>
        <v>2</v>
      </c>
      <c r="G218" s="29" t="n">
        <f aca="false">'📋 Matches'!F2</f>
        <v>0</v>
      </c>
      <c r="H218" s="22" t="n">
        <f aca="false">IF(AND(ISNUMBER(F218),ISNUMBER(G218)),IF(SIGN(D218-E218)=SIGN(F218-G218),48,0),"")</f>
        <v>48</v>
      </c>
      <c r="I218" s="22" t="n">
        <f aca="false">IF(AND(ISNUMBER(F218),ISNUMBER(G218)),IF(D218=F218,15,0),"")</f>
        <v>0</v>
      </c>
      <c r="J218" s="22" t="n">
        <f aca="false">IF(AND(ISNUMBER(F218),ISNUMBER(G218)),IF(E218=G218,15,0),"")</f>
        <v>15</v>
      </c>
      <c r="K218" s="22" t="n">
        <f aca="false">IF(AND(ISNUMBER(F218),ISNUMBER(G218)),IF(ABS(D218-E218)=ABS(F218-G218),12,0),"")</f>
        <v>0</v>
      </c>
      <c r="L218" s="23" t="n">
        <f aca="false">IF(ISNUMBER(H218),H218+I218+J218+K218,"")</f>
        <v>63</v>
      </c>
    </row>
    <row r="219" customFormat="false" ht="18" hidden="false" customHeight="true" outlineLevel="0" collapsed="false">
      <c r="A219" s="25" t="s">
        <v>9</v>
      </c>
      <c r="B219" s="26" t="s">
        <v>151</v>
      </c>
      <c r="C219" s="27" t="s">
        <v>14</v>
      </c>
      <c r="D219" s="28" t="n">
        <v>2</v>
      </c>
      <c r="E219" s="28" t="n">
        <v>0</v>
      </c>
      <c r="F219" s="29" t="n">
        <f aca="false">'📋 Matches'!E3</f>
        <v>2</v>
      </c>
      <c r="G219" s="29" t="n">
        <f aca="false">'📋 Matches'!F3</f>
        <v>1</v>
      </c>
      <c r="H219" s="22" t="n">
        <f aca="false">IF(AND(ISNUMBER(F219),ISNUMBER(G219)),IF(SIGN(D219-E219)=SIGN(F219-G219),48,0),"")</f>
        <v>48</v>
      </c>
      <c r="I219" s="22" t="n">
        <f aca="false">IF(AND(ISNUMBER(F219),ISNUMBER(G219)),IF(D219=F219,15,0),"")</f>
        <v>15</v>
      </c>
      <c r="J219" s="22" t="n">
        <f aca="false">IF(AND(ISNUMBER(F219),ISNUMBER(G219)),IF(E219=G219,15,0),"")</f>
        <v>0</v>
      </c>
      <c r="K219" s="22" t="n">
        <f aca="false">IF(AND(ISNUMBER(F219),ISNUMBER(G219)),IF(ABS(D219-E219)=ABS(F219-G219),12,0),"")</f>
        <v>0</v>
      </c>
      <c r="L219" s="23" t="n">
        <f aca="false">IF(ISNUMBER(H219),H219+I219+J219+K219,"")</f>
        <v>63</v>
      </c>
    </row>
    <row r="220" customFormat="false" ht="18" hidden="false" customHeight="true" outlineLevel="0" collapsed="false">
      <c r="A220" s="25" t="s">
        <v>9</v>
      </c>
      <c r="B220" s="26" t="s">
        <v>151</v>
      </c>
      <c r="C220" s="27" t="s">
        <v>17</v>
      </c>
      <c r="D220" s="28" t="n">
        <v>1</v>
      </c>
      <c r="E220" s="28" t="n">
        <v>0</v>
      </c>
      <c r="F220" s="29" t="n">
        <f aca="false">'📋 Matches'!E4</f>
        <v>1</v>
      </c>
      <c r="G220" s="29" t="n">
        <f aca="false">'📋 Matches'!F4</f>
        <v>1</v>
      </c>
      <c r="H220" s="22" t="n">
        <f aca="false">IF(AND(ISNUMBER(F220),ISNUMBER(G220)),IF(SIGN(D220-E220)=SIGN(F220-G220),48,0),"")</f>
        <v>0</v>
      </c>
      <c r="I220" s="22" t="n">
        <f aca="false">IF(AND(ISNUMBER(F220),ISNUMBER(G220)),IF(D220=F220,15,0),"")</f>
        <v>15</v>
      </c>
      <c r="J220" s="22" t="n">
        <f aca="false">IF(AND(ISNUMBER(F220),ISNUMBER(G220)),IF(E220=G220,15,0),"")</f>
        <v>0</v>
      </c>
      <c r="K220" s="22" t="n">
        <f aca="false">IF(AND(ISNUMBER(F220),ISNUMBER(G220)),IF(ABS(D220-E220)=ABS(F220-G220),12,0),"")</f>
        <v>0</v>
      </c>
      <c r="L220" s="23" t="n">
        <f aca="false">IF(ISNUMBER(H220),H220+I220+J220+K220,"")</f>
        <v>15</v>
      </c>
    </row>
    <row r="221" customFormat="false" ht="18" hidden="false" customHeight="true" outlineLevel="0" collapsed="false">
      <c r="A221" s="25" t="s">
        <v>9</v>
      </c>
      <c r="B221" s="26" t="s">
        <v>151</v>
      </c>
      <c r="C221" s="27" t="s">
        <v>20</v>
      </c>
      <c r="D221" s="28" t="n">
        <v>2</v>
      </c>
      <c r="E221" s="28" t="n">
        <v>1</v>
      </c>
      <c r="F221" s="29" t="n">
        <f aca="false">'📋 Matches'!E5</f>
        <v>4</v>
      </c>
      <c r="G221" s="29" t="n">
        <f aca="false">'📋 Matches'!F5</f>
        <v>1</v>
      </c>
      <c r="H221" s="22" t="n">
        <f aca="false">IF(AND(ISNUMBER(F221),ISNUMBER(G221)),IF(SIGN(D221-E221)=SIGN(F221-G221),48,0),"")</f>
        <v>48</v>
      </c>
      <c r="I221" s="22" t="n">
        <f aca="false">IF(AND(ISNUMBER(F221),ISNUMBER(G221)),IF(D221=F221,15,0),"")</f>
        <v>0</v>
      </c>
      <c r="J221" s="22" t="n">
        <f aca="false">IF(AND(ISNUMBER(F221),ISNUMBER(G221)),IF(E221=G221,15,0),"")</f>
        <v>15</v>
      </c>
      <c r="K221" s="22" t="n">
        <f aca="false">IF(AND(ISNUMBER(F221),ISNUMBER(G221)),IF(ABS(D221-E221)=ABS(F221-G221),12,0),"")</f>
        <v>0</v>
      </c>
      <c r="L221" s="23" t="n">
        <f aca="false">IF(ISNUMBER(H221),H221+I221+J221+K221,"")</f>
        <v>63</v>
      </c>
    </row>
    <row r="222" customFormat="false" ht="18" hidden="false" customHeight="true" outlineLevel="0" collapsed="false">
      <c r="A222" s="25" t="s">
        <v>9</v>
      </c>
      <c r="B222" s="26" t="s">
        <v>151</v>
      </c>
      <c r="C222" s="27" t="s">
        <v>23</v>
      </c>
      <c r="D222" s="28" t="n">
        <v>0</v>
      </c>
      <c r="E222" s="28" t="n">
        <v>2</v>
      </c>
      <c r="F222" s="29" t="n">
        <f aca="false">'📋 Matches'!E6</f>
        <v>0</v>
      </c>
      <c r="G222" s="29" t="n">
        <f aca="false">'📋 Matches'!F6</f>
        <v>0</v>
      </c>
      <c r="H222" s="22" t="str">
        <f aca="false">IF(AND(ISNUMBER(F222),ISNUMBER(G222)),IF(SIGN(D222-E222)=SIGN(F222-G222),48,0),"")</f>
        <v/>
      </c>
      <c r="I222" s="22" t="str">
        <f aca="false">IF(AND(ISNUMBER(F222),ISNUMBER(G222)),IF(D222=F222,15,0),"")</f>
        <v/>
      </c>
      <c r="J222" s="22" t="str">
        <f aca="false">IF(AND(ISNUMBER(F222),ISNUMBER(G222)),IF(E222=G222,15,0),"")</f>
        <v/>
      </c>
      <c r="K222" s="22" t="str">
        <f aca="false">IF(AND(ISNUMBER(F222),ISNUMBER(G222)),IF(ABS(D222-E222)=ABS(F222-G222),12,0),"")</f>
        <v/>
      </c>
      <c r="L222" s="23" t="str">
        <f aca="false">IF(ISNUMBER(H222),H222+I222+J222+K222,"")</f>
        <v/>
      </c>
    </row>
    <row r="223" customFormat="false" ht="18" hidden="false" customHeight="true" outlineLevel="0" collapsed="false">
      <c r="A223" s="25" t="s">
        <v>9</v>
      </c>
      <c r="B223" s="26" t="s">
        <v>151</v>
      </c>
      <c r="C223" s="27" t="s">
        <v>27</v>
      </c>
      <c r="D223" s="28" t="n">
        <v>2</v>
      </c>
      <c r="E223" s="28" t="n">
        <v>1</v>
      </c>
      <c r="F223" s="29" t="n">
        <f aca="false">'📋 Matches'!E7</f>
        <v>0</v>
      </c>
      <c r="G223" s="29" t="n">
        <f aca="false">'📋 Matches'!F7</f>
        <v>0</v>
      </c>
      <c r="H223" s="22" t="str">
        <f aca="false">IF(AND(ISNUMBER(F223),ISNUMBER(G223)),IF(SIGN(D223-E223)=SIGN(F223-G223),48,0),"")</f>
        <v/>
      </c>
      <c r="I223" s="22" t="str">
        <f aca="false">IF(AND(ISNUMBER(F223),ISNUMBER(G223)),IF(D223=F223,15,0),"")</f>
        <v/>
      </c>
      <c r="J223" s="22" t="str">
        <f aca="false">IF(AND(ISNUMBER(F223),ISNUMBER(G223)),IF(E223=G223,15,0),"")</f>
        <v/>
      </c>
      <c r="K223" s="22" t="str">
        <f aca="false">IF(AND(ISNUMBER(F223),ISNUMBER(G223)),IF(ABS(D223-E223)=ABS(F223-G223),12,0),"")</f>
        <v/>
      </c>
      <c r="L223" s="23" t="str">
        <f aca="false">IF(ISNUMBER(H223),H223+I223+J223+K223,"")</f>
        <v/>
      </c>
    </row>
    <row r="224" customFormat="false" ht="18" hidden="false" customHeight="true" outlineLevel="0" collapsed="false">
      <c r="A224" s="25" t="s">
        <v>9</v>
      </c>
      <c r="B224" s="26" t="s">
        <v>151</v>
      </c>
      <c r="C224" s="27" t="s">
        <v>30</v>
      </c>
      <c r="D224" s="28" t="n">
        <v>0</v>
      </c>
      <c r="E224" s="28" t="n">
        <v>1</v>
      </c>
      <c r="F224" s="29" t="n">
        <f aca="false">'📋 Matches'!E8</f>
        <v>0</v>
      </c>
      <c r="G224" s="29" t="n">
        <f aca="false">'📋 Matches'!F8</f>
        <v>0</v>
      </c>
      <c r="H224" s="22" t="str">
        <f aca="false">IF(AND(ISNUMBER(F224),ISNUMBER(G224)),IF(SIGN(D224-E224)=SIGN(F224-G224),48,0),"")</f>
        <v/>
      </c>
      <c r="I224" s="22" t="str">
        <f aca="false">IF(AND(ISNUMBER(F224),ISNUMBER(G224)),IF(D224=F224,15,0),"")</f>
        <v/>
      </c>
      <c r="J224" s="22" t="str">
        <f aca="false">IF(AND(ISNUMBER(F224),ISNUMBER(G224)),IF(E224=G224,15,0),"")</f>
        <v/>
      </c>
      <c r="K224" s="22" t="str">
        <f aca="false">IF(AND(ISNUMBER(F224),ISNUMBER(G224)),IF(ABS(D224-E224)=ABS(F224-G224),12,0),"")</f>
        <v/>
      </c>
      <c r="L224" s="23" t="str">
        <f aca="false">IF(ISNUMBER(H224),H224+I224+J224+K224,"")</f>
        <v/>
      </c>
    </row>
    <row r="225" customFormat="false" ht="18" hidden="false" customHeight="true" outlineLevel="0" collapsed="false">
      <c r="A225" s="25" t="s">
        <v>9</v>
      </c>
      <c r="B225" s="26" t="s">
        <v>151</v>
      </c>
      <c r="C225" s="27" t="s">
        <v>33</v>
      </c>
      <c r="D225" s="28" t="n">
        <v>0</v>
      </c>
      <c r="E225" s="28" t="n">
        <v>1</v>
      </c>
      <c r="F225" s="29" t="n">
        <f aca="false">'📋 Matches'!E9</f>
        <v>0</v>
      </c>
      <c r="G225" s="29" t="n">
        <f aca="false">'📋 Matches'!F9</f>
        <v>0</v>
      </c>
      <c r="H225" s="22" t="str">
        <f aca="false">IF(AND(ISNUMBER(F225),ISNUMBER(G225)),IF(SIGN(D225-E225)=SIGN(F225-G225),48,0),"")</f>
        <v/>
      </c>
      <c r="I225" s="22" t="str">
        <f aca="false">IF(AND(ISNUMBER(F225),ISNUMBER(G225)),IF(D225=F225,15,0),"")</f>
        <v/>
      </c>
      <c r="J225" s="22" t="str">
        <f aca="false">IF(AND(ISNUMBER(F225),ISNUMBER(G225)),IF(E225=G225,15,0),"")</f>
        <v/>
      </c>
      <c r="K225" s="22" t="str">
        <f aca="false">IF(AND(ISNUMBER(F225),ISNUMBER(G225)),IF(ABS(D225-E225)=ABS(F225-G225),12,0),"")</f>
        <v/>
      </c>
      <c r="L225" s="23" t="str">
        <f aca="false">IF(ISNUMBER(H225),H225+I225+J225+K225,"")</f>
        <v/>
      </c>
    </row>
    <row r="226" customFormat="false" ht="18" hidden="false" customHeight="true" outlineLevel="0" collapsed="false">
      <c r="A226" s="25" t="s">
        <v>9</v>
      </c>
      <c r="B226" s="26" t="s">
        <v>151</v>
      </c>
      <c r="C226" s="27" t="s">
        <v>36</v>
      </c>
      <c r="D226" s="28" t="n">
        <v>4</v>
      </c>
      <c r="E226" s="28" t="n">
        <v>0</v>
      </c>
      <c r="F226" s="29" t="n">
        <f aca="false">'📋 Matches'!E10</f>
        <v>0</v>
      </c>
      <c r="G226" s="29" t="n">
        <f aca="false">'📋 Matches'!F10</f>
        <v>0</v>
      </c>
      <c r="H226" s="22" t="str">
        <f aca="false">IF(AND(ISNUMBER(F226),ISNUMBER(G226)),IF(SIGN(D226-E226)=SIGN(F226-G226),48,0),"")</f>
        <v/>
      </c>
      <c r="I226" s="22" t="str">
        <f aca="false">IF(AND(ISNUMBER(F226),ISNUMBER(G226)),IF(D226=F226,15,0),"")</f>
        <v/>
      </c>
      <c r="J226" s="22" t="str">
        <f aca="false">IF(AND(ISNUMBER(F226),ISNUMBER(G226)),IF(E226=G226,15,0),"")</f>
        <v/>
      </c>
      <c r="K226" s="22" t="str">
        <f aca="false">IF(AND(ISNUMBER(F226),ISNUMBER(G226)),IF(ABS(D226-E226)=ABS(F226-G226),12,0),"")</f>
        <v/>
      </c>
      <c r="L226" s="23" t="str">
        <f aca="false">IF(ISNUMBER(H226),H226+I226+J226+K226,"")</f>
        <v/>
      </c>
    </row>
    <row r="227" customFormat="false" ht="18" hidden="false" customHeight="true" outlineLevel="0" collapsed="false">
      <c r="A227" s="25" t="s">
        <v>9</v>
      </c>
      <c r="B227" s="26" t="s">
        <v>151</v>
      </c>
      <c r="C227" s="27" t="s">
        <v>39</v>
      </c>
      <c r="D227" s="28" t="n">
        <v>2</v>
      </c>
      <c r="E227" s="28" t="n">
        <v>1</v>
      </c>
      <c r="F227" s="29" t="n">
        <f aca="false">'📋 Matches'!E11</f>
        <v>0</v>
      </c>
      <c r="G227" s="29" t="n">
        <f aca="false">'📋 Matches'!F11</f>
        <v>0</v>
      </c>
      <c r="H227" s="22" t="str">
        <f aca="false">IF(AND(ISNUMBER(F227),ISNUMBER(G227)),IF(SIGN(D227-E227)=SIGN(F227-G227),48,0),"")</f>
        <v/>
      </c>
      <c r="I227" s="22" t="str">
        <f aca="false">IF(AND(ISNUMBER(F227),ISNUMBER(G227)),IF(D227=F227,15,0),"")</f>
        <v/>
      </c>
      <c r="J227" s="22" t="str">
        <f aca="false">IF(AND(ISNUMBER(F227),ISNUMBER(G227)),IF(E227=G227,15,0),"")</f>
        <v/>
      </c>
      <c r="K227" s="22" t="str">
        <f aca="false">IF(AND(ISNUMBER(F227),ISNUMBER(G227)),IF(ABS(D227-E227)=ABS(F227-G227),12,0),"")</f>
        <v/>
      </c>
      <c r="L227" s="23" t="str">
        <f aca="false">IF(ISNUMBER(H227),H227+I227+J227+K227,"")</f>
        <v/>
      </c>
    </row>
    <row r="228" customFormat="false" ht="18" hidden="false" customHeight="true" outlineLevel="0" collapsed="false">
      <c r="A228" s="25" t="s">
        <v>9</v>
      </c>
      <c r="B228" s="26" t="s">
        <v>151</v>
      </c>
      <c r="C228" s="27" t="s">
        <v>42</v>
      </c>
      <c r="D228" s="28" t="n">
        <v>0</v>
      </c>
      <c r="E228" s="28" t="n">
        <v>2</v>
      </c>
      <c r="F228" s="29" t="n">
        <f aca="false">'📋 Matches'!E12</f>
        <v>0</v>
      </c>
      <c r="G228" s="29" t="n">
        <f aca="false">'📋 Matches'!F12</f>
        <v>0</v>
      </c>
      <c r="H228" s="22" t="str">
        <f aca="false">IF(AND(ISNUMBER(F228),ISNUMBER(G228)),IF(SIGN(D228-E228)=SIGN(F228-G228),48,0),"")</f>
        <v/>
      </c>
      <c r="I228" s="22" t="str">
        <f aca="false">IF(AND(ISNUMBER(F228),ISNUMBER(G228)),IF(D228=F228,15,0),"")</f>
        <v/>
      </c>
      <c r="J228" s="22" t="str">
        <f aca="false">IF(AND(ISNUMBER(F228),ISNUMBER(G228)),IF(E228=G228,15,0),"")</f>
        <v/>
      </c>
      <c r="K228" s="22" t="str">
        <f aca="false">IF(AND(ISNUMBER(F228),ISNUMBER(G228)),IF(ABS(D228-E228)=ABS(F228-G228),12,0),"")</f>
        <v/>
      </c>
      <c r="L228" s="23" t="str">
        <f aca="false">IF(ISNUMBER(H228),H228+I228+J228+K228,"")</f>
        <v/>
      </c>
    </row>
    <row r="229" customFormat="false" ht="18" hidden="false" customHeight="true" outlineLevel="0" collapsed="false">
      <c r="A229" s="25" t="s">
        <v>9</v>
      </c>
      <c r="B229" s="26" t="s">
        <v>151</v>
      </c>
      <c r="C229" s="27" t="s">
        <v>45</v>
      </c>
      <c r="D229" s="28" t="n">
        <v>3</v>
      </c>
      <c r="E229" s="28" t="n">
        <v>1</v>
      </c>
      <c r="F229" s="29" t="n">
        <f aca="false">'📋 Matches'!E13</f>
        <v>0</v>
      </c>
      <c r="G229" s="29" t="n">
        <f aca="false">'📋 Matches'!F13</f>
        <v>0</v>
      </c>
      <c r="H229" s="22" t="str">
        <f aca="false">IF(AND(ISNUMBER(F229),ISNUMBER(G229)),IF(SIGN(D229-E229)=SIGN(F229-G229),48,0),"")</f>
        <v/>
      </c>
      <c r="I229" s="22" t="str">
        <f aca="false">IF(AND(ISNUMBER(F229),ISNUMBER(G229)),IF(D229=F229,15,0),"")</f>
        <v/>
      </c>
      <c r="J229" s="22" t="str">
        <f aca="false">IF(AND(ISNUMBER(F229),ISNUMBER(G229)),IF(E229=G229,15,0),"")</f>
        <v/>
      </c>
      <c r="K229" s="22" t="str">
        <f aca="false">IF(AND(ISNUMBER(F229),ISNUMBER(G229)),IF(ABS(D229-E229)=ABS(F229-G229),12,0),"")</f>
        <v/>
      </c>
      <c r="L229" s="23" t="str">
        <f aca="false">IF(ISNUMBER(H229),H229+I229+J229+K229,"")</f>
        <v/>
      </c>
    </row>
    <row r="230" customFormat="false" ht="18" hidden="false" customHeight="true" outlineLevel="0" collapsed="false">
      <c r="A230" s="25" t="s">
        <v>9</v>
      </c>
      <c r="B230" s="26" t="s">
        <v>151</v>
      </c>
      <c r="C230" s="27" t="s">
        <v>48</v>
      </c>
      <c r="D230" s="28" t="n">
        <v>3</v>
      </c>
      <c r="E230" s="28" t="n">
        <v>0</v>
      </c>
      <c r="F230" s="29" t="n">
        <f aca="false">'📋 Matches'!E14</f>
        <v>0</v>
      </c>
      <c r="G230" s="29" t="n">
        <f aca="false">'📋 Matches'!F14</f>
        <v>0</v>
      </c>
      <c r="H230" s="22" t="str">
        <f aca="false">IF(AND(ISNUMBER(F230),ISNUMBER(G230)),IF(SIGN(D230-E230)=SIGN(F230-G230),48,0),"")</f>
        <v/>
      </c>
      <c r="I230" s="22" t="str">
        <f aca="false">IF(AND(ISNUMBER(F230),ISNUMBER(G230)),IF(D230=F230,15,0),"")</f>
        <v/>
      </c>
      <c r="J230" s="22" t="str">
        <f aca="false">IF(AND(ISNUMBER(F230),ISNUMBER(G230)),IF(E230=G230,15,0),"")</f>
        <v/>
      </c>
      <c r="K230" s="22" t="str">
        <f aca="false">IF(AND(ISNUMBER(F230),ISNUMBER(G230)),IF(ABS(D230-E230)=ABS(F230-G230),12,0),"")</f>
        <v/>
      </c>
      <c r="L230" s="23" t="str">
        <f aca="false">IF(ISNUMBER(H230),H230+I230+J230+K230,"")</f>
        <v/>
      </c>
    </row>
    <row r="231" customFormat="false" ht="18" hidden="false" customHeight="true" outlineLevel="0" collapsed="false">
      <c r="A231" s="25" t="s">
        <v>9</v>
      </c>
      <c r="B231" s="26" t="s">
        <v>151</v>
      </c>
      <c r="C231" s="27" t="s">
        <v>51</v>
      </c>
      <c r="D231" s="28" t="n">
        <v>2</v>
      </c>
      <c r="E231" s="28" t="n">
        <v>1</v>
      </c>
      <c r="F231" s="29" t="n">
        <f aca="false">'📋 Matches'!E15</f>
        <v>0</v>
      </c>
      <c r="G231" s="29" t="n">
        <f aca="false">'📋 Matches'!F15</f>
        <v>0</v>
      </c>
      <c r="H231" s="22" t="str">
        <f aca="false">IF(AND(ISNUMBER(F231),ISNUMBER(G231)),IF(SIGN(D231-E231)=SIGN(F231-G231),48,0),"")</f>
        <v/>
      </c>
      <c r="I231" s="22" t="str">
        <f aca="false">IF(AND(ISNUMBER(F231),ISNUMBER(G231)),IF(D231=F231,15,0),"")</f>
        <v/>
      </c>
      <c r="J231" s="22" t="str">
        <f aca="false">IF(AND(ISNUMBER(F231),ISNUMBER(G231)),IF(E231=G231,15,0),"")</f>
        <v/>
      </c>
      <c r="K231" s="22" t="str">
        <f aca="false">IF(AND(ISNUMBER(F231),ISNUMBER(G231)),IF(ABS(D231-E231)=ABS(F231-G231),12,0),"")</f>
        <v/>
      </c>
      <c r="L231" s="23" t="str">
        <f aca="false">IF(ISNUMBER(H231),H231+I231+J231+K231,"")</f>
        <v/>
      </c>
    </row>
    <row r="232" customFormat="false" ht="18" hidden="false" customHeight="true" outlineLevel="0" collapsed="false">
      <c r="A232" s="25" t="s">
        <v>9</v>
      </c>
      <c r="B232" s="26" t="s">
        <v>151</v>
      </c>
      <c r="C232" s="27" t="s">
        <v>54</v>
      </c>
      <c r="D232" s="28" t="n">
        <v>0</v>
      </c>
      <c r="E232" s="28" t="n">
        <v>3</v>
      </c>
      <c r="F232" s="29" t="n">
        <f aca="false">'📋 Matches'!E16</f>
        <v>0</v>
      </c>
      <c r="G232" s="29" t="n">
        <f aca="false">'📋 Matches'!F16</f>
        <v>0</v>
      </c>
      <c r="H232" s="22" t="str">
        <f aca="false">IF(AND(ISNUMBER(F232),ISNUMBER(G232)),IF(SIGN(D232-E232)=SIGN(F232-G232),48,0),"")</f>
        <v/>
      </c>
      <c r="I232" s="22" t="str">
        <f aca="false">IF(AND(ISNUMBER(F232),ISNUMBER(G232)),IF(D232=F232,15,0),"")</f>
        <v/>
      </c>
      <c r="J232" s="22" t="str">
        <f aca="false">IF(AND(ISNUMBER(F232),ISNUMBER(G232)),IF(E232=G232,15,0),"")</f>
        <v/>
      </c>
      <c r="K232" s="22" t="str">
        <f aca="false">IF(AND(ISNUMBER(F232),ISNUMBER(G232)),IF(ABS(D232-E232)=ABS(F232-G232),12,0),"")</f>
        <v/>
      </c>
      <c r="L232" s="23" t="str">
        <f aca="false">IF(ISNUMBER(H232),H232+I232+J232+K232,"")</f>
        <v/>
      </c>
    </row>
    <row r="233" customFormat="false" ht="18" hidden="false" customHeight="true" outlineLevel="0" collapsed="false">
      <c r="A233" s="25" t="s">
        <v>9</v>
      </c>
      <c r="B233" s="26" t="s">
        <v>151</v>
      </c>
      <c r="C233" s="27" t="s">
        <v>57</v>
      </c>
      <c r="D233" s="28" t="n">
        <v>0</v>
      </c>
      <c r="E233" s="28" t="n">
        <v>1</v>
      </c>
      <c r="F233" s="29" t="n">
        <f aca="false">'📋 Matches'!E17</f>
        <v>0</v>
      </c>
      <c r="G233" s="29" t="n">
        <f aca="false">'📋 Matches'!F17</f>
        <v>0</v>
      </c>
      <c r="H233" s="22" t="str">
        <f aca="false">IF(AND(ISNUMBER(F233),ISNUMBER(G233)),IF(SIGN(D233-E233)=SIGN(F233-G233),48,0),"")</f>
        <v/>
      </c>
      <c r="I233" s="22" t="str">
        <f aca="false">IF(AND(ISNUMBER(F233),ISNUMBER(G233)),IF(D233=F233,15,0),"")</f>
        <v/>
      </c>
      <c r="J233" s="22" t="str">
        <f aca="false">IF(AND(ISNUMBER(F233),ISNUMBER(G233)),IF(E233=G233,15,0),"")</f>
        <v/>
      </c>
      <c r="K233" s="22" t="str">
        <f aca="false">IF(AND(ISNUMBER(F233),ISNUMBER(G233)),IF(ABS(D233-E233)=ABS(F233-G233),12,0),"")</f>
        <v/>
      </c>
      <c r="L233" s="23" t="str">
        <f aca="false">IF(ISNUMBER(H233),H233+I233+J233+K233,"")</f>
        <v/>
      </c>
    </row>
    <row r="234" customFormat="false" ht="18" hidden="false" customHeight="true" outlineLevel="0" collapsed="false">
      <c r="A234" s="25" t="s">
        <v>9</v>
      </c>
      <c r="B234" s="26" t="s">
        <v>151</v>
      </c>
      <c r="C234" s="27" t="s">
        <v>60</v>
      </c>
      <c r="D234" s="28" t="n">
        <v>3</v>
      </c>
      <c r="E234" s="28" t="n">
        <v>1</v>
      </c>
      <c r="F234" s="29" t="n">
        <f aca="false">'📋 Matches'!E18</f>
        <v>0</v>
      </c>
      <c r="G234" s="29" t="n">
        <f aca="false">'📋 Matches'!F18</f>
        <v>0</v>
      </c>
      <c r="H234" s="22" t="str">
        <f aca="false">IF(AND(ISNUMBER(F234),ISNUMBER(G234)),IF(SIGN(D234-E234)=SIGN(F234-G234),48,0),"")</f>
        <v/>
      </c>
      <c r="I234" s="22" t="str">
        <f aca="false">IF(AND(ISNUMBER(F234),ISNUMBER(G234)),IF(D234=F234,15,0),"")</f>
        <v/>
      </c>
      <c r="J234" s="22" t="str">
        <f aca="false">IF(AND(ISNUMBER(F234),ISNUMBER(G234)),IF(E234=G234,15,0),"")</f>
        <v/>
      </c>
      <c r="K234" s="22" t="str">
        <f aca="false">IF(AND(ISNUMBER(F234),ISNUMBER(G234)),IF(ABS(D234-E234)=ABS(F234-G234),12,0),"")</f>
        <v/>
      </c>
      <c r="L234" s="23" t="str">
        <f aca="false">IF(ISNUMBER(H234),H234+I234+J234+K234,"")</f>
        <v/>
      </c>
    </row>
    <row r="235" customFormat="false" ht="18" hidden="false" customHeight="true" outlineLevel="0" collapsed="false">
      <c r="A235" s="25" t="s">
        <v>9</v>
      </c>
      <c r="B235" s="26" t="s">
        <v>151</v>
      </c>
      <c r="C235" s="27" t="s">
        <v>63</v>
      </c>
      <c r="D235" s="28" t="n">
        <v>1</v>
      </c>
      <c r="E235" s="28" t="n">
        <v>2</v>
      </c>
      <c r="F235" s="29" t="n">
        <f aca="false">'📋 Matches'!E19</f>
        <v>0</v>
      </c>
      <c r="G235" s="29" t="n">
        <f aca="false">'📋 Matches'!F19</f>
        <v>0</v>
      </c>
      <c r="H235" s="22" t="str">
        <f aca="false">IF(AND(ISNUMBER(F235),ISNUMBER(G235)),IF(SIGN(D235-E235)=SIGN(F235-G235),48,0),"")</f>
        <v/>
      </c>
      <c r="I235" s="22" t="str">
        <f aca="false">IF(AND(ISNUMBER(F235),ISNUMBER(G235)),IF(D235=F235,15,0),"")</f>
        <v/>
      </c>
      <c r="J235" s="22" t="str">
        <f aca="false">IF(AND(ISNUMBER(F235),ISNUMBER(G235)),IF(E235=G235,15,0),"")</f>
        <v/>
      </c>
      <c r="K235" s="22" t="str">
        <f aca="false">IF(AND(ISNUMBER(F235),ISNUMBER(G235)),IF(ABS(D235-E235)=ABS(F235-G235),12,0),"")</f>
        <v/>
      </c>
      <c r="L235" s="23" t="str">
        <f aca="false">IF(ISNUMBER(H235),H235+I235+J235+K235,"")</f>
        <v/>
      </c>
    </row>
    <row r="236" customFormat="false" ht="18" hidden="false" customHeight="true" outlineLevel="0" collapsed="false">
      <c r="A236" s="25" t="s">
        <v>9</v>
      </c>
      <c r="B236" s="26" t="s">
        <v>151</v>
      </c>
      <c r="C236" s="27" t="s">
        <v>66</v>
      </c>
      <c r="D236" s="28" t="n">
        <v>3</v>
      </c>
      <c r="E236" s="28" t="n">
        <v>0</v>
      </c>
      <c r="F236" s="29" t="n">
        <f aca="false">'📋 Matches'!E20</f>
        <v>0</v>
      </c>
      <c r="G236" s="29" t="n">
        <f aca="false">'📋 Matches'!F20</f>
        <v>0</v>
      </c>
      <c r="H236" s="22" t="str">
        <f aca="false">IF(AND(ISNUMBER(F236),ISNUMBER(G236)),IF(SIGN(D236-E236)=SIGN(F236-G236),48,0),"")</f>
        <v/>
      </c>
      <c r="I236" s="22" t="str">
        <f aca="false">IF(AND(ISNUMBER(F236),ISNUMBER(G236)),IF(D236=F236,15,0),"")</f>
        <v/>
      </c>
      <c r="J236" s="22" t="str">
        <f aca="false">IF(AND(ISNUMBER(F236),ISNUMBER(G236)),IF(E236=G236,15,0),"")</f>
        <v/>
      </c>
      <c r="K236" s="22" t="str">
        <f aca="false">IF(AND(ISNUMBER(F236),ISNUMBER(G236)),IF(ABS(D236-E236)=ABS(F236-G236),12,0),"")</f>
        <v/>
      </c>
      <c r="L236" s="23" t="str">
        <f aca="false">IF(ISNUMBER(H236),H236+I236+J236+K236,"")</f>
        <v/>
      </c>
    </row>
    <row r="237" customFormat="false" ht="18" hidden="false" customHeight="true" outlineLevel="0" collapsed="false">
      <c r="A237" s="25" t="s">
        <v>9</v>
      </c>
      <c r="B237" s="26" t="s">
        <v>151</v>
      </c>
      <c r="C237" s="27" t="s">
        <v>69</v>
      </c>
      <c r="D237" s="28" t="n">
        <v>1</v>
      </c>
      <c r="E237" s="28" t="n">
        <v>0</v>
      </c>
      <c r="F237" s="29" t="n">
        <f aca="false">'📋 Matches'!E21</f>
        <v>0</v>
      </c>
      <c r="G237" s="29" t="n">
        <f aca="false">'📋 Matches'!F21</f>
        <v>0</v>
      </c>
      <c r="H237" s="22" t="str">
        <f aca="false">IF(AND(ISNUMBER(F237),ISNUMBER(G237)),IF(SIGN(D237-E237)=SIGN(F237-G237),48,0),"")</f>
        <v/>
      </c>
      <c r="I237" s="22" t="str">
        <f aca="false">IF(AND(ISNUMBER(F237),ISNUMBER(G237)),IF(D237=F237,15,0),"")</f>
        <v/>
      </c>
      <c r="J237" s="22" t="str">
        <f aca="false">IF(AND(ISNUMBER(F237),ISNUMBER(G237)),IF(E237=G237,15,0),"")</f>
        <v/>
      </c>
      <c r="K237" s="22" t="str">
        <f aca="false">IF(AND(ISNUMBER(F237),ISNUMBER(G237)),IF(ABS(D237-E237)=ABS(F237-G237),12,0),"")</f>
        <v/>
      </c>
      <c r="L237" s="23" t="str">
        <f aca="false">IF(ISNUMBER(H237),H237+I237+J237+K237,"")</f>
        <v/>
      </c>
    </row>
    <row r="238" customFormat="false" ht="18" hidden="false" customHeight="true" outlineLevel="0" collapsed="false">
      <c r="A238" s="25" t="s">
        <v>9</v>
      </c>
      <c r="B238" s="26" t="s">
        <v>151</v>
      </c>
      <c r="C238" s="27" t="s">
        <v>72</v>
      </c>
      <c r="D238" s="28" t="n">
        <v>3</v>
      </c>
      <c r="E238" s="28" t="n">
        <v>1</v>
      </c>
      <c r="F238" s="29" t="n">
        <f aca="false">'📋 Matches'!E22</f>
        <v>0</v>
      </c>
      <c r="G238" s="29" t="n">
        <f aca="false">'📋 Matches'!F22</f>
        <v>0</v>
      </c>
      <c r="H238" s="22" t="str">
        <f aca="false">IF(AND(ISNUMBER(F238),ISNUMBER(G238)),IF(SIGN(D238-E238)=SIGN(F238-G238),48,0),"")</f>
        <v/>
      </c>
      <c r="I238" s="22" t="str">
        <f aca="false">IF(AND(ISNUMBER(F238),ISNUMBER(G238)),IF(D238=F238,15,0),"")</f>
        <v/>
      </c>
      <c r="J238" s="22" t="str">
        <f aca="false">IF(AND(ISNUMBER(F238),ISNUMBER(G238)),IF(E238=G238,15,0),"")</f>
        <v/>
      </c>
      <c r="K238" s="22" t="str">
        <f aca="false">IF(AND(ISNUMBER(F238),ISNUMBER(G238)),IF(ABS(D238-E238)=ABS(F238-G238),12,0),"")</f>
        <v/>
      </c>
      <c r="L238" s="23" t="str">
        <f aca="false">IF(ISNUMBER(H238),H238+I238+J238+K238,"")</f>
        <v/>
      </c>
    </row>
    <row r="239" customFormat="false" ht="18" hidden="false" customHeight="true" outlineLevel="0" collapsed="false">
      <c r="A239" s="25" t="s">
        <v>9</v>
      </c>
      <c r="B239" s="26" t="s">
        <v>151</v>
      </c>
      <c r="C239" s="27" t="s">
        <v>75</v>
      </c>
      <c r="D239" s="28" t="n">
        <v>2</v>
      </c>
      <c r="E239" s="28" t="n">
        <v>1</v>
      </c>
      <c r="F239" s="29" t="n">
        <f aca="false">'📋 Matches'!E23</f>
        <v>0</v>
      </c>
      <c r="G239" s="29" t="n">
        <f aca="false">'📋 Matches'!F23</f>
        <v>0</v>
      </c>
      <c r="H239" s="22" t="str">
        <f aca="false">IF(AND(ISNUMBER(F239),ISNUMBER(G239)),IF(SIGN(D239-E239)=SIGN(F239-G239),48,0),"")</f>
        <v/>
      </c>
      <c r="I239" s="22" t="str">
        <f aca="false">IF(AND(ISNUMBER(F239),ISNUMBER(G239)),IF(D239=F239,15,0),"")</f>
        <v/>
      </c>
      <c r="J239" s="22" t="str">
        <f aca="false">IF(AND(ISNUMBER(F239),ISNUMBER(G239)),IF(E239=G239,15,0),"")</f>
        <v/>
      </c>
      <c r="K239" s="22" t="str">
        <f aca="false">IF(AND(ISNUMBER(F239),ISNUMBER(G239)),IF(ABS(D239-E239)=ABS(F239-G239),12,0),"")</f>
        <v/>
      </c>
      <c r="L239" s="23" t="str">
        <f aca="false">IF(ISNUMBER(H239),H239+I239+J239+K239,"")</f>
        <v/>
      </c>
    </row>
    <row r="240" customFormat="false" ht="18" hidden="false" customHeight="true" outlineLevel="0" collapsed="false">
      <c r="A240" s="25" t="s">
        <v>9</v>
      </c>
      <c r="B240" s="26" t="s">
        <v>151</v>
      </c>
      <c r="C240" s="27" t="s">
        <v>78</v>
      </c>
      <c r="D240" s="28" t="n">
        <v>1</v>
      </c>
      <c r="E240" s="28" t="n">
        <v>2</v>
      </c>
      <c r="F240" s="29" t="n">
        <f aca="false">'📋 Matches'!E24</f>
        <v>0</v>
      </c>
      <c r="G240" s="29" t="n">
        <f aca="false">'📋 Matches'!F24</f>
        <v>0</v>
      </c>
      <c r="H240" s="22" t="str">
        <f aca="false">IF(AND(ISNUMBER(F240),ISNUMBER(G240)),IF(SIGN(D240-E240)=SIGN(F240-G240),48,0),"")</f>
        <v/>
      </c>
      <c r="I240" s="22" t="str">
        <f aca="false">IF(AND(ISNUMBER(F240),ISNUMBER(G240)),IF(D240=F240,15,0),"")</f>
        <v/>
      </c>
      <c r="J240" s="22" t="str">
        <f aca="false">IF(AND(ISNUMBER(F240),ISNUMBER(G240)),IF(E240=G240,15,0),"")</f>
        <v/>
      </c>
      <c r="K240" s="22" t="str">
        <f aca="false">IF(AND(ISNUMBER(F240),ISNUMBER(G240)),IF(ABS(D240-E240)=ABS(F240-G240),12,0),"")</f>
        <v/>
      </c>
      <c r="L240" s="23" t="str">
        <f aca="false">IF(ISNUMBER(H240),H240+I240+J240+K240,"")</f>
        <v/>
      </c>
    </row>
    <row r="241" customFormat="false" ht="18" hidden="false" customHeight="true" outlineLevel="0" collapsed="false">
      <c r="A241" s="25" t="s">
        <v>9</v>
      </c>
      <c r="B241" s="26" t="s">
        <v>151</v>
      </c>
      <c r="C241" s="27" t="s">
        <v>81</v>
      </c>
      <c r="D241" s="28" t="n">
        <v>0</v>
      </c>
      <c r="E241" s="28" t="n">
        <v>1</v>
      </c>
      <c r="F241" s="29" t="n">
        <f aca="false">'📋 Matches'!E25</f>
        <v>0</v>
      </c>
      <c r="G241" s="29" t="n">
        <f aca="false">'📋 Matches'!F25</f>
        <v>0</v>
      </c>
      <c r="H241" s="22" t="str">
        <f aca="false">IF(AND(ISNUMBER(F241),ISNUMBER(G241)),IF(SIGN(D241-E241)=SIGN(F241-G241),48,0),"")</f>
        <v/>
      </c>
      <c r="I241" s="22" t="str">
        <f aca="false">IF(AND(ISNUMBER(F241),ISNUMBER(G241)),IF(D241=F241,15,0),"")</f>
        <v/>
      </c>
      <c r="J241" s="22" t="str">
        <f aca="false">IF(AND(ISNUMBER(F241),ISNUMBER(G241)),IF(E241=G241,15,0),"")</f>
        <v/>
      </c>
      <c r="K241" s="22" t="str">
        <f aca="false">IF(AND(ISNUMBER(F241),ISNUMBER(G241)),IF(ABS(D241-E241)=ABS(F241-G241),12,0),"")</f>
        <v/>
      </c>
      <c r="L241" s="23" t="str">
        <f aca="false">IF(ISNUMBER(H241),H241+I241+J241+K241,"")</f>
        <v/>
      </c>
    </row>
    <row r="242" customFormat="false" ht="18" hidden="false" customHeight="true" outlineLevel="0" collapsed="false">
      <c r="A242" s="25" t="s">
        <v>84</v>
      </c>
      <c r="B242" s="26" t="s">
        <v>151</v>
      </c>
      <c r="C242" s="27" t="s">
        <v>85</v>
      </c>
      <c r="D242" s="28"/>
      <c r="E242" s="28"/>
      <c r="F242" s="29" t="n">
        <f aca="false">'📋 Matches'!E26</f>
        <v>0</v>
      </c>
      <c r="G242" s="29" t="n">
        <f aca="false">'📋 Matches'!F26</f>
        <v>0</v>
      </c>
      <c r="H242" s="30" t="s">
        <v>148</v>
      </c>
      <c r="I242" s="30" t="s">
        <v>148</v>
      </c>
      <c r="J242" s="30" t="s">
        <v>148</v>
      </c>
      <c r="K242" s="30" t="s">
        <v>148</v>
      </c>
      <c r="L242" s="30" t="s">
        <v>148</v>
      </c>
    </row>
    <row r="243" customFormat="false" ht="18" hidden="false" customHeight="true" outlineLevel="0" collapsed="false">
      <c r="A243" s="25" t="s">
        <v>84</v>
      </c>
      <c r="B243" s="26" t="s">
        <v>151</v>
      </c>
      <c r="C243" s="27" t="s">
        <v>87</v>
      </c>
      <c r="D243" s="28"/>
      <c r="E243" s="28"/>
      <c r="F243" s="29" t="n">
        <f aca="false">'📋 Matches'!E27</f>
        <v>0</v>
      </c>
      <c r="G243" s="29" t="n">
        <f aca="false">'📋 Matches'!F27</f>
        <v>0</v>
      </c>
      <c r="H243" s="30" t="s">
        <v>148</v>
      </c>
      <c r="I243" s="30" t="s">
        <v>148</v>
      </c>
      <c r="J243" s="30" t="s">
        <v>148</v>
      </c>
      <c r="K243" s="30" t="s">
        <v>148</v>
      </c>
      <c r="L243" s="30" t="s">
        <v>148</v>
      </c>
    </row>
    <row r="244" customFormat="false" ht="18" hidden="false" customHeight="true" outlineLevel="0" collapsed="false">
      <c r="A244" s="25" t="s">
        <v>84</v>
      </c>
      <c r="B244" s="26" t="s">
        <v>151</v>
      </c>
      <c r="C244" s="27" t="s">
        <v>89</v>
      </c>
      <c r="D244" s="28"/>
      <c r="E244" s="28"/>
      <c r="F244" s="29" t="n">
        <f aca="false">'📋 Matches'!E28</f>
        <v>0</v>
      </c>
      <c r="G244" s="29" t="n">
        <f aca="false">'📋 Matches'!F28</f>
        <v>0</v>
      </c>
      <c r="H244" s="30" t="s">
        <v>148</v>
      </c>
      <c r="I244" s="30" t="s">
        <v>148</v>
      </c>
      <c r="J244" s="30" t="s">
        <v>148</v>
      </c>
      <c r="K244" s="30" t="s">
        <v>148</v>
      </c>
      <c r="L244" s="30" t="s">
        <v>148</v>
      </c>
    </row>
    <row r="245" customFormat="false" ht="18" hidden="false" customHeight="true" outlineLevel="0" collapsed="false">
      <c r="A245" s="25" t="s">
        <v>84</v>
      </c>
      <c r="B245" s="26" t="s">
        <v>151</v>
      </c>
      <c r="C245" s="27" t="s">
        <v>90</v>
      </c>
      <c r="D245" s="28"/>
      <c r="E245" s="28"/>
      <c r="F245" s="29" t="n">
        <f aca="false">'📋 Matches'!E29</f>
        <v>0</v>
      </c>
      <c r="G245" s="29" t="n">
        <f aca="false">'📋 Matches'!F29</f>
        <v>0</v>
      </c>
      <c r="H245" s="30" t="s">
        <v>148</v>
      </c>
      <c r="I245" s="30" t="s">
        <v>148</v>
      </c>
      <c r="J245" s="30" t="s">
        <v>148</v>
      </c>
      <c r="K245" s="30" t="s">
        <v>148</v>
      </c>
      <c r="L245" s="30" t="s">
        <v>148</v>
      </c>
    </row>
    <row r="246" customFormat="false" ht="18" hidden="false" customHeight="true" outlineLevel="0" collapsed="false">
      <c r="A246" s="25" t="s">
        <v>84</v>
      </c>
      <c r="B246" s="26" t="s">
        <v>151</v>
      </c>
      <c r="C246" s="27" t="s">
        <v>91</v>
      </c>
      <c r="D246" s="28"/>
      <c r="E246" s="28"/>
      <c r="F246" s="29" t="n">
        <f aca="false">'📋 Matches'!E30</f>
        <v>0</v>
      </c>
      <c r="G246" s="29" t="n">
        <f aca="false">'📋 Matches'!F30</f>
        <v>0</v>
      </c>
      <c r="H246" s="30" t="s">
        <v>148</v>
      </c>
      <c r="I246" s="30" t="s">
        <v>148</v>
      </c>
      <c r="J246" s="30" t="s">
        <v>148</v>
      </c>
      <c r="K246" s="30" t="s">
        <v>148</v>
      </c>
      <c r="L246" s="30" t="s">
        <v>148</v>
      </c>
    </row>
    <row r="247" customFormat="false" ht="18" hidden="false" customHeight="true" outlineLevel="0" collapsed="false">
      <c r="A247" s="25" t="s">
        <v>84</v>
      </c>
      <c r="B247" s="26" t="s">
        <v>151</v>
      </c>
      <c r="C247" s="27" t="s">
        <v>92</v>
      </c>
      <c r="D247" s="28"/>
      <c r="E247" s="28"/>
      <c r="F247" s="29" t="n">
        <f aca="false">'📋 Matches'!E31</f>
        <v>0</v>
      </c>
      <c r="G247" s="29" t="n">
        <f aca="false">'📋 Matches'!F31</f>
        <v>0</v>
      </c>
      <c r="H247" s="30" t="s">
        <v>148</v>
      </c>
      <c r="I247" s="30" t="s">
        <v>148</v>
      </c>
      <c r="J247" s="30" t="s">
        <v>148</v>
      </c>
      <c r="K247" s="30" t="s">
        <v>148</v>
      </c>
      <c r="L247" s="30" t="s">
        <v>148</v>
      </c>
    </row>
    <row r="248" customFormat="false" ht="18" hidden="false" customHeight="true" outlineLevel="0" collapsed="false">
      <c r="A248" s="25" t="s">
        <v>84</v>
      </c>
      <c r="B248" s="26" t="s">
        <v>151</v>
      </c>
      <c r="C248" s="27" t="s">
        <v>93</v>
      </c>
      <c r="D248" s="28"/>
      <c r="E248" s="28"/>
      <c r="F248" s="29" t="n">
        <f aca="false">'📋 Matches'!E32</f>
        <v>0</v>
      </c>
      <c r="G248" s="29" t="n">
        <f aca="false">'📋 Matches'!F32</f>
        <v>0</v>
      </c>
      <c r="H248" s="30" t="s">
        <v>148</v>
      </c>
      <c r="I248" s="30" t="s">
        <v>148</v>
      </c>
      <c r="J248" s="30" t="s">
        <v>148</v>
      </c>
      <c r="K248" s="30" t="s">
        <v>148</v>
      </c>
      <c r="L248" s="30" t="s">
        <v>148</v>
      </c>
    </row>
    <row r="249" customFormat="false" ht="18" hidden="false" customHeight="true" outlineLevel="0" collapsed="false">
      <c r="A249" s="25" t="s">
        <v>84</v>
      </c>
      <c r="B249" s="26" t="s">
        <v>151</v>
      </c>
      <c r="C249" s="27" t="s">
        <v>94</v>
      </c>
      <c r="D249" s="28"/>
      <c r="E249" s="28"/>
      <c r="F249" s="29" t="n">
        <f aca="false">'📋 Matches'!E33</f>
        <v>0</v>
      </c>
      <c r="G249" s="29" t="n">
        <f aca="false">'📋 Matches'!F33</f>
        <v>0</v>
      </c>
      <c r="H249" s="30" t="s">
        <v>148</v>
      </c>
      <c r="I249" s="30" t="s">
        <v>148</v>
      </c>
      <c r="J249" s="30" t="s">
        <v>148</v>
      </c>
      <c r="K249" s="30" t="s">
        <v>148</v>
      </c>
      <c r="L249" s="30" t="s">
        <v>148</v>
      </c>
    </row>
    <row r="250" customFormat="false" ht="18" hidden="false" customHeight="true" outlineLevel="0" collapsed="false">
      <c r="A250" s="25" t="s">
        <v>84</v>
      </c>
      <c r="B250" s="26" t="s">
        <v>151</v>
      </c>
      <c r="C250" s="27" t="s">
        <v>96</v>
      </c>
      <c r="D250" s="28"/>
      <c r="E250" s="28"/>
      <c r="F250" s="29" t="n">
        <f aca="false">'📋 Matches'!E34</f>
        <v>0</v>
      </c>
      <c r="G250" s="29" t="n">
        <f aca="false">'📋 Matches'!F34</f>
        <v>0</v>
      </c>
      <c r="H250" s="30" t="s">
        <v>148</v>
      </c>
      <c r="I250" s="30" t="s">
        <v>148</v>
      </c>
      <c r="J250" s="30" t="s">
        <v>148</v>
      </c>
      <c r="K250" s="30" t="s">
        <v>148</v>
      </c>
      <c r="L250" s="30" t="s">
        <v>148</v>
      </c>
    </row>
    <row r="251" customFormat="false" ht="18" hidden="false" customHeight="true" outlineLevel="0" collapsed="false">
      <c r="A251" s="25" t="s">
        <v>84</v>
      </c>
      <c r="B251" s="26" t="s">
        <v>151</v>
      </c>
      <c r="C251" s="27" t="s">
        <v>97</v>
      </c>
      <c r="D251" s="28"/>
      <c r="E251" s="28"/>
      <c r="F251" s="29" t="n">
        <f aca="false">'📋 Matches'!E35</f>
        <v>0</v>
      </c>
      <c r="G251" s="29" t="n">
        <f aca="false">'📋 Matches'!F35</f>
        <v>0</v>
      </c>
      <c r="H251" s="30" t="s">
        <v>148</v>
      </c>
      <c r="I251" s="30" t="s">
        <v>148</v>
      </c>
      <c r="J251" s="30" t="s">
        <v>148</v>
      </c>
      <c r="K251" s="30" t="s">
        <v>148</v>
      </c>
      <c r="L251" s="30" t="s">
        <v>148</v>
      </c>
    </row>
    <row r="252" customFormat="false" ht="18" hidden="false" customHeight="true" outlineLevel="0" collapsed="false">
      <c r="A252" s="25" t="s">
        <v>84</v>
      </c>
      <c r="B252" s="26" t="s">
        <v>151</v>
      </c>
      <c r="C252" s="27" t="s">
        <v>98</v>
      </c>
      <c r="D252" s="28"/>
      <c r="E252" s="28"/>
      <c r="F252" s="29" t="n">
        <f aca="false">'📋 Matches'!E36</f>
        <v>0</v>
      </c>
      <c r="G252" s="29" t="n">
        <f aca="false">'📋 Matches'!F36</f>
        <v>0</v>
      </c>
      <c r="H252" s="30" t="s">
        <v>148</v>
      </c>
      <c r="I252" s="30" t="s">
        <v>148</v>
      </c>
      <c r="J252" s="30" t="s">
        <v>148</v>
      </c>
      <c r="K252" s="30" t="s">
        <v>148</v>
      </c>
      <c r="L252" s="30" t="s">
        <v>148</v>
      </c>
    </row>
    <row r="253" customFormat="false" ht="18" hidden="false" customHeight="true" outlineLevel="0" collapsed="false">
      <c r="A253" s="25" t="s">
        <v>84</v>
      </c>
      <c r="B253" s="26" t="s">
        <v>151</v>
      </c>
      <c r="C253" s="27" t="s">
        <v>100</v>
      </c>
      <c r="D253" s="28"/>
      <c r="E253" s="28"/>
      <c r="F253" s="29" t="n">
        <f aca="false">'📋 Matches'!E37</f>
        <v>0</v>
      </c>
      <c r="G253" s="29" t="n">
        <f aca="false">'📋 Matches'!F37</f>
        <v>0</v>
      </c>
      <c r="H253" s="30" t="s">
        <v>148</v>
      </c>
      <c r="I253" s="30" t="s">
        <v>148</v>
      </c>
      <c r="J253" s="30" t="s">
        <v>148</v>
      </c>
      <c r="K253" s="30" t="s">
        <v>148</v>
      </c>
      <c r="L253" s="30" t="s">
        <v>148</v>
      </c>
    </row>
    <row r="254" customFormat="false" ht="18" hidden="false" customHeight="true" outlineLevel="0" collapsed="false">
      <c r="A254" s="25" t="s">
        <v>84</v>
      </c>
      <c r="B254" s="26" t="s">
        <v>151</v>
      </c>
      <c r="C254" s="27" t="s">
        <v>101</v>
      </c>
      <c r="D254" s="28"/>
      <c r="E254" s="28"/>
      <c r="F254" s="29" t="n">
        <f aca="false">'📋 Matches'!E38</f>
        <v>0</v>
      </c>
      <c r="G254" s="29" t="n">
        <f aca="false">'📋 Matches'!F38</f>
        <v>0</v>
      </c>
      <c r="H254" s="30" t="s">
        <v>148</v>
      </c>
      <c r="I254" s="30" t="s">
        <v>148</v>
      </c>
      <c r="J254" s="30" t="s">
        <v>148</v>
      </c>
      <c r="K254" s="30" t="s">
        <v>148</v>
      </c>
      <c r="L254" s="30" t="s">
        <v>148</v>
      </c>
    </row>
    <row r="255" customFormat="false" ht="18" hidden="false" customHeight="true" outlineLevel="0" collapsed="false">
      <c r="A255" s="25" t="s">
        <v>84</v>
      </c>
      <c r="B255" s="26" t="s">
        <v>151</v>
      </c>
      <c r="C255" s="27" t="s">
        <v>102</v>
      </c>
      <c r="D255" s="28"/>
      <c r="E255" s="28"/>
      <c r="F255" s="29" t="n">
        <f aca="false">'📋 Matches'!E39</f>
        <v>0</v>
      </c>
      <c r="G255" s="29" t="n">
        <f aca="false">'📋 Matches'!F39</f>
        <v>0</v>
      </c>
      <c r="H255" s="30" t="s">
        <v>148</v>
      </c>
      <c r="I255" s="30" t="s">
        <v>148</v>
      </c>
      <c r="J255" s="30" t="s">
        <v>148</v>
      </c>
      <c r="K255" s="30" t="s">
        <v>148</v>
      </c>
      <c r="L255" s="30" t="s">
        <v>148</v>
      </c>
    </row>
    <row r="256" customFormat="false" ht="18" hidden="false" customHeight="true" outlineLevel="0" collapsed="false">
      <c r="A256" s="25" t="s">
        <v>84</v>
      </c>
      <c r="B256" s="26" t="s">
        <v>151</v>
      </c>
      <c r="C256" s="27" t="s">
        <v>103</v>
      </c>
      <c r="D256" s="28"/>
      <c r="E256" s="28"/>
      <c r="F256" s="29" t="n">
        <f aca="false">'📋 Matches'!E40</f>
        <v>0</v>
      </c>
      <c r="G256" s="29" t="n">
        <f aca="false">'📋 Matches'!F40</f>
        <v>0</v>
      </c>
      <c r="H256" s="30" t="s">
        <v>148</v>
      </c>
      <c r="I256" s="30" t="s">
        <v>148</v>
      </c>
      <c r="J256" s="30" t="s">
        <v>148</v>
      </c>
      <c r="K256" s="30" t="s">
        <v>148</v>
      </c>
      <c r="L256" s="30" t="s">
        <v>148</v>
      </c>
    </row>
    <row r="257" customFormat="false" ht="18" hidden="false" customHeight="true" outlineLevel="0" collapsed="false">
      <c r="A257" s="25" t="s">
        <v>84</v>
      </c>
      <c r="B257" s="26" t="s">
        <v>151</v>
      </c>
      <c r="C257" s="27" t="s">
        <v>104</v>
      </c>
      <c r="D257" s="28"/>
      <c r="E257" s="28"/>
      <c r="F257" s="29" t="n">
        <f aca="false">'📋 Matches'!E41</f>
        <v>0</v>
      </c>
      <c r="G257" s="29" t="n">
        <f aca="false">'📋 Matches'!F41</f>
        <v>0</v>
      </c>
      <c r="H257" s="30" t="s">
        <v>148</v>
      </c>
      <c r="I257" s="30" t="s">
        <v>148</v>
      </c>
      <c r="J257" s="30" t="s">
        <v>148</v>
      </c>
      <c r="K257" s="30" t="s">
        <v>148</v>
      </c>
      <c r="L257" s="30" t="s">
        <v>148</v>
      </c>
    </row>
    <row r="258" customFormat="false" ht="18" hidden="false" customHeight="true" outlineLevel="0" collapsed="false">
      <c r="A258" s="25" t="s">
        <v>84</v>
      </c>
      <c r="B258" s="26" t="s">
        <v>151</v>
      </c>
      <c r="C258" s="27" t="s">
        <v>105</v>
      </c>
      <c r="D258" s="28"/>
      <c r="E258" s="28"/>
      <c r="F258" s="29" t="n">
        <f aca="false">'📋 Matches'!E42</f>
        <v>0</v>
      </c>
      <c r="G258" s="29" t="n">
        <f aca="false">'📋 Matches'!F42</f>
        <v>0</v>
      </c>
      <c r="H258" s="30" t="s">
        <v>148</v>
      </c>
      <c r="I258" s="30" t="s">
        <v>148</v>
      </c>
      <c r="J258" s="30" t="s">
        <v>148</v>
      </c>
      <c r="K258" s="30" t="s">
        <v>148</v>
      </c>
      <c r="L258" s="30" t="s">
        <v>148</v>
      </c>
    </row>
    <row r="259" customFormat="false" ht="18" hidden="false" customHeight="true" outlineLevel="0" collapsed="false">
      <c r="A259" s="25" t="s">
        <v>84</v>
      </c>
      <c r="B259" s="26" t="s">
        <v>151</v>
      </c>
      <c r="C259" s="27" t="s">
        <v>106</v>
      </c>
      <c r="D259" s="28"/>
      <c r="E259" s="28"/>
      <c r="F259" s="29" t="n">
        <f aca="false">'📋 Matches'!E43</f>
        <v>0</v>
      </c>
      <c r="G259" s="29" t="n">
        <f aca="false">'📋 Matches'!F43</f>
        <v>0</v>
      </c>
      <c r="H259" s="30" t="s">
        <v>148</v>
      </c>
      <c r="I259" s="30" t="s">
        <v>148</v>
      </c>
      <c r="J259" s="30" t="s">
        <v>148</v>
      </c>
      <c r="K259" s="30" t="s">
        <v>148</v>
      </c>
      <c r="L259" s="30" t="s">
        <v>148</v>
      </c>
    </row>
    <row r="260" customFormat="false" ht="18" hidden="false" customHeight="true" outlineLevel="0" collapsed="false">
      <c r="A260" s="25" t="s">
        <v>84</v>
      </c>
      <c r="B260" s="26" t="s">
        <v>151</v>
      </c>
      <c r="C260" s="27" t="s">
        <v>107</v>
      </c>
      <c r="D260" s="28"/>
      <c r="E260" s="28"/>
      <c r="F260" s="29" t="n">
        <f aca="false">'📋 Matches'!E44</f>
        <v>0</v>
      </c>
      <c r="G260" s="29" t="n">
        <f aca="false">'📋 Matches'!F44</f>
        <v>0</v>
      </c>
      <c r="H260" s="30" t="s">
        <v>148</v>
      </c>
      <c r="I260" s="30" t="s">
        <v>148</v>
      </c>
      <c r="J260" s="30" t="s">
        <v>148</v>
      </c>
      <c r="K260" s="30" t="s">
        <v>148</v>
      </c>
      <c r="L260" s="30" t="s">
        <v>148</v>
      </c>
    </row>
    <row r="261" customFormat="false" ht="18" hidden="false" customHeight="true" outlineLevel="0" collapsed="false">
      <c r="A261" s="25" t="s">
        <v>84</v>
      </c>
      <c r="B261" s="26" t="s">
        <v>151</v>
      </c>
      <c r="C261" s="27" t="s">
        <v>108</v>
      </c>
      <c r="D261" s="28"/>
      <c r="E261" s="28"/>
      <c r="F261" s="29" t="n">
        <f aca="false">'📋 Matches'!E45</f>
        <v>0</v>
      </c>
      <c r="G261" s="29" t="n">
        <f aca="false">'📋 Matches'!F45</f>
        <v>0</v>
      </c>
      <c r="H261" s="30" t="s">
        <v>148</v>
      </c>
      <c r="I261" s="30" t="s">
        <v>148</v>
      </c>
      <c r="J261" s="30" t="s">
        <v>148</v>
      </c>
      <c r="K261" s="30" t="s">
        <v>148</v>
      </c>
      <c r="L261" s="30" t="s">
        <v>148</v>
      </c>
    </row>
    <row r="262" customFormat="false" ht="18" hidden="false" customHeight="true" outlineLevel="0" collapsed="false">
      <c r="A262" s="25" t="s">
        <v>84</v>
      </c>
      <c r="B262" s="26" t="s">
        <v>151</v>
      </c>
      <c r="C262" s="27" t="s">
        <v>109</v>
      </c>
      <c r="D262" s="28"/>
      <c r="E262" s="28"/>
      <c r="F262" s="29" t="n">
        <f aca="false">'📋 Matches'!E46</f>
        <v>0</v>
      </c>
      <c r="G262" s="29" t="n">
        <f aca="false">'📋 Matches'!F46</f>
        <v>0</v>
      </c>
      <c r="H262" s="30" t="s">
        <v>148</v>
      </c>
      <c r="I262" s="30" t="s">
        <v>148</v>
      </c>
      <c r="J262" s="30" t="s">
        <v>148</v>
      </c>
      <c r="K262" s="30" t="s">
        <v>148</v>
      </c>
      <c r="L262" s="30" t="s">
        <v>148</v>
      </c>
    </row>
    <row r="263" customFormat="false" ht="18" hidden="false" customHeight="true" outlineLevel="0" collapsed="false">
      <c r="A263" s="25" t="s">
        <v>84</v>
      </c>
      <c r="B263" s="26" t="s">
        <v>151</v>
      </c>
      <c r="C263" s="27" t="s">
        <v>110</v>
      </c>
      <c r="D263" s="28"/>
      <c r="E263" s="28"/>
      <c r="F263" s="29" t="n">
        <f aca="false">'📋 Matches'!E47</f>
        <v>0</v>
      </c>
      <c r="G263" s="29" t="n">
        <f aca="false">'📋 Matches'!F47</f>
        <v>0</v>
      </c>
      <c r="H263" s="30" t="s">
        <v>148</v>
      </c>
      <c r="I263" s="30" t="s">
        <v>148</v>
      </c>
      <c r="J263" s="30" t="s">
        <v>148</v>
      </c>
      <c r="K263" s="30" t="s">
        <v>148</v>
      </c>
      <c r="L263" s="30" t="s">
        <v>148</v>
      </c>
    </row>
    <row r="264" customFormat="false" ht="18" hidden="false" customHeight="true" outlineLevel="0" collapsed="false">
      <c r="A264" s="25" t="s">
        <v>84</v>
      </c>
      <c r="B264" s="26" t="s">
        <v>151</v>
      </c>
      <c r="C264" s="27" t="s">
        <v>111</v>
      </c>
      <c r="D264" s="28"/>
      <c r="E264" s="28"/>
      <c r="F264" s="29" t="n">
        <f aca="false">'📋 Matches'!E48</f>
        <v>0</v>
      </c>
      <c r="G264" s="29" t="n">
        <f aca="false">'📋 Matches'!F48</f>
        <v>0</v>
      </c>
      <c r="H264" s="30" t="s">
        <v>148</v>
      </c>
      <c r="I264" s="30" t="s">
        <v>148</v>
      </c>
      <c r="J264" s="30" t="s">
        <v>148</v>
      </c>
      <c r="K264" s="30" t="s">
        <v>148</v>
      </c>
      <c r="L264" s="30" t="s">
        <v>148</v>
      </c>
    </row>
    <row r="265" customFormat="false" ht="18" hidden="false" customHeight="true" outlineLevel="0" collapsed="false">
      <c r="A265" s="25" t="s">
        <v>84</v>
      </c>
      <c r="B265" s="26" t="s">
        <v>151</v>
      </c>
      <c r="C265" s="27" t="s">
        <v>112</v>
      </c>
      <c r="D265" s="28"/>
      <c r="E265" s="28"/>
      <c r="F265" s="29" t="n">
        <f aca="false">'📋 Matches'!E49</f>
        <v>0</v>
      </c>
      <c r="G265" s="29" t="n">
        <f aca="false">'📋 Matches'!F49</f>
        <v>0</v>
      </c>
      <c r="H265" s="30" t="s">
        <v>148</v>
      </c>
      <c r="I265" s="30" t="s">
        <v>148</v>
      </c>
      <c r="J265" s="30" t="s">
        <v>148</v>
      </c>
      <c r="K265" s="30" t="s">
        <v>148</v>
      </c>
      <c r="L265" s="30" t="s">
        <v>148</v>
      </c>
    </row>
    <row r="266" customFormat="false" ht="18" hidden="false" customHeight="true" outlineLevel="0" collapsed="false">
      <c r="A266" s="25" t="s">
        <v>114</v>
      </c>
      <c r="B266" s="26" t="s">
        <v>151</v>
      </c>
      <c r="C266" s="27" t="s">
        <v>115</v>
      </c>
      <c r="D266" s="28"/>
      <c r="E266" s="28"/>
      <c r="F266" s="29" t="n">
        <f aca="false">'📋 Matches'!E50</f>
        <v>0</v>
      </c>
      <c r="G266" s="29" t="n">
        <f aca="false">'📋 Matches'!F50</f>
        <v>0</v>
      </c>
      <c r="H266" s="30" t="s">
        <v>148</v>
      </c>
      <c r="I266" s="30" t="s">
        <v>148</v>
      </c>
      <c r="J266" s="30" t="s">
        <v>148</v>
      </c>
      <c r="K266" s="30" t="s">
        <v>148</v>
      </c>
      <c r="L266" s="30" t="s">
        <v>148</v>
      </c>
    </row>
    <row r="267" customFormat="false" ht="18" hidden="false" customHeight="true" outlineLevel="0" collapsed="false">
      <c r="A267" s="25" t="s">
        <v>114</v>
      </c>
      <c r="B267" s="26" t="s">
        <v>151</v>
      </c>
      <c r="C267" s="27" t="s">
        <v>116</v>
      </c>
      <c r="D267" s="28"/>
      <c r="E267" s="28"/>
      <c r="F267" s="29" t="n">
        <f aca="false">'📋 Matches'!E51</f>
        <v>0</v>
      </c>
      <c r="G267" s="29" t="n">
        <f aca="false">'📋 Matches'!F51</f>
        <v>0</v>
      </c>
      <c r="H267" s="30" t="s">
        <v>148</v>
      </c>
      <c r="I267" s="30" t="s">
        <v>148</v>
      </c>
      <c r="J267" s="30" t="s">
        <v>148</v>
      </c>
      <c r="K267" s="30" t="s">
        <v>148</v>
      </c>
      <c r="L267" s="30" t="s">
        <v>148</v>
      </c>
    </row>
    <row r="268" customFormat="false" ht="18" hidden="false" customHeight="true" outlineLevel="0" collapsed="false">
      <c r="A268" s="25" t="s">
        <v>114</v>
      </c>
      <c r="B268" s="26" t="s">
        <v>151</v>
      </c>
      <c r="C268" s="27" t="s">
        <v>117</v>
      </c>
      <c r="D268" s="28"/>
      <c r="E268" s="28"/>
      <c r="F268" s="29" t="n">
        <f aca="false">'📋 Matches'!E52</f>
        <v>0</v>
      </c>
      <c r="G268" s="29" t="n">
        <f aca="false">'📋 Matches'!F52</f>
        <v>0</v>
      </c>
      <c r="H268" s="30" t="s">
        <v>148</v>
      </c>
      <c r="I268" s="30" t="s">
        <v>148</v>
      </c>
      <c r="J268" s="30" t="s">
        <v>148</v>
      </c>
      <c r="K268" s="30" t="s">
        <v>148</v>
      </c>
      <c r="L268" s="30" t="s">
        <v>148</v>
      </c>
    </row>
    <row r="269" customFormat="false" ht="18" hidden="false" customHeight="true" outlineLevel="0" collapsed="false">
      <c r="A269" s="25" t="s">
        <v>114</v>
      </c>
      <c r="B269" s="26" t="s">
        <v>151</v>
      </c>
      <c r="C269" s="27" t="s">
        <v>118</v>
      </c>
      <c r="D269" s="28"/>
      <c r="E269" s="28"/>
      <c r="F269" s="29" t="n">
        <f aca="false">'📋 Matches'!E53</f>
        <v>0</v>
      </c>
      <c r="G269" s="29" t="n">
        <f aca="false">'📋 Matches'!F53</f>
        <v>0</v>
      </c>
      <c r="H269" s="30" t="s">
        <v>148</v>
      </c>
      <c r="I269" s="30" t="s">
        <v>148</v>
      </c>
      <c r="J269" s="30" t="s">
        <v>148</v>
      </c>
      <c r="K269" s="30" t="s">
        <v>148</v>
      </c>
      <c r="L269" s="30" t="s">
        <v>148</v>
      </c>
    </row>
    <row r="270" customFormat="false" ht="18" hidden="false" customHeight="true" outlineLevel="0" collapsed="false">
      <c r="A270" s="25" t="s">
        <v>114</v>
      </c>
      <c r="B270" s="26" t="s">
        <v>151</v>
      </c>
      <c r="C270" s="27" t="s">
        <v>119</v>
      </c>
      <c r="D270" s="28"/>
      <c r="E270" s="28"/>
      <c r="F270" s="29" t="n">
        <f aca="false">'📋 Matches'!E54</f>
        <v>0</v>
      </c>
      <c r="G270" s="29" t="n">
        <f aca="false">'📋 Matches'!F54</f>
        <v>0</v>
      </c>
      <c r="H270" s="30" t="s">
        <v>148</v>
      </c>
      <c r="I270" s="30" t="s">
        <v>148</v>
      </c>
      <c r="J270" s="30" t="s">
        <v>148</v>
      </c>
      <c r="K270" s="30" t="s">
        <v>148</v>
      </c>
      <c r="L270" s="30" t="s">
        <v>148</v>
      </c>
    </row>
    <row r="271" customFormat="false" ht="18" hidden="false" customHeight="true" outlineLevel="0" collapsed="false">
      <c r="A271" s="25" t="s">
        <v>114</v>
      </c>
      <c r="B271" s="26" t="s">
        <v>151</v>
      </c>
      <c r="C271" s="27" t="s">
        <v>120</v>
      </c>
      <c r="D271" s="28"/>
      <c r="E271" s="28"/>
      <c r="F271" s="29" t="n">
        <f aca="false">'📋 Matches'!E55</f>
        <v>0</v>
      </c>
      <c r="G271" s="29" t="n">
        <f aca="false">'📋 Matches'!F55</f>
        <v>0</v>
      </c>
      <c r="H271" s="30" t="s">
        <v>148</v>
      </c>
      <c r="I271" s="30" t="s">
        <v>148</v>
      </c>
      <c r="J271" s="30" t="s">
        <v>148</v>
      </c>
      <c r="K271" s="30" t="s">
        <v>148</v>
      </c>
      <c r="L271" s="30" t="s">
        <v>148</v>
      </c>
    </row>
    <row r="272" customFormat="false" ht="18" hidden="false" customHeight="true" outlineLevel="0" collapsed="false">
      <c r="A272" s="25" t="s">
        <v>114</v>
      </c>
      <c r="B272" s="26" t="s">
        <v>151</v>
      </c>
      <c r="C272" s="27" t="s">
        <v>121</v>
      </c>
      <c r="D272" s="28"/>
      <c r="E272" s="28"/>
      <c r="F272" s="29" t="n">
        <f aca="false">'📋 Matches'!E56</f>
        <v>0</v>
      </c>
      <c r="G272" s="29" t="n">
        <f aca="false">'📋 Matches'!F56</f>
        <v>0</v>
      </c>
      <c r="H272" s="30" t="s">
        <v>148</v>
      </c>
      <c r="I272" s="30" t="s">
        <v>148</v>
      </c>
      <c r="J272" s="30" t="s">
        <v>148</v>
      </c>
      <c r="K272" s="30" t="s">
        <v>148</v>
      </c>
      <c r="L272" s="30" t="s">
        <v>148</v>
      </c>
    </row>
    <row r="273" customFormat="false" ht="18" hidden="false" customHeight="true" outlineLevel="0" collapsed="false">
      <c r="A273" s="25" t="s">
        <v>114</v>
      </c>
      <c r="B273" s="26" t="s">
        <v>151</v>
      </c>
      <c r="C273" s="27" t="s">
        <v>122</v>
      </c>
      <c r="D273" s="28"/>
      <c r="E273" s="28"/>
      <c r="F273" s="29" t="n">
        <f aca="false">'📋 Matches'!E57</f>
        <v>0</v>
      </c>
      <c r="G273" s="29" t="n">
        <f aca="false">'📋 Matches'!F57</f>
        <v>0</v>
      </c>
      <c r="H273" s="30" t="s">
        <v>148</v>
      </c>
      <c r="I273" s="30" t="s">
        <v>148</v>
      </c>
      <c r="J273" s="30" t="s">
        <v>148</v>
      </c>
      <c r="K273" s="30" t="s">
        <v>148</v>
      </c>
      <c r="L273" s="30" t="s">
        <v>148</v>
      </c>
    </row>
    <row r="274" customFormat="false" ht="18" hidden="false" customHeight="true" outlineLevel="0" collapsed="false">
      <c r="A274" s="25" t="s">
        <v>114</v>
      </c>
      <c r="B274" s="26" t="s">
        <v>151</v>
      </c>
      <c r="C274" s="27" t="s">
        <v>123</v>
      </c>
      <c r="D274" s="28"/>
      <c r="E274" s="28"/>
      <c r="F274" s="29" t="n">
        <f aca="false">'📋 Matches'!E58</f>
        <v>0</v>
      </c>
      <c r="G274" s="29" t="n">
        <f aca="false">'📋 Matches'!F58</f>
        <v>0</v>
      </c>
      <c r="H274" s="30" t="s">
        <v>148</v>
      </c>
      <c r="I274" s="30" t="s">
        <v>148</v>
      </c>
      <c r="J274" s="30" t="s">
        <v>148</v>
      </c>
      <c r="K274" s="30" t="s">
        <v>148</v>
      </c>
      <c r="L274" s="30" t="s">
        <v>148</v>
      </c>
    </row>
    <row r="275" customFormat="false" ht="18" hidden="false" customHeight="true" outlineLevel="0" collapsed="false">
      <c r="A275" s="25" t="s">
        <v>114</v>
      </c>
      <c r="B275" s="26" t="s">
        <v>151</v>
      </c>
      <c r="C275" s="27" t="s">
        <v>124</v>
      </c>
      <c r="D275" s="28"/>
      <c r="E275" s="28"/>
      <c r="F275" s="29" t="n">
        <f aca="false">'📋 Matches'!E59</f>
        <v>0</v>
      </c>
      <c r="G275" s="29" t="n">
        <f aca="false">'📋 Matches'!F59</f>
        <v>0</v>
      </c>
      <c r="H275" s="30" t="s">
        <v>148</v>
      </c>
      <c r="I275" s="30" t="s">
        <v>148</v>
      </c>
      <c r="J275" s="30" t="s">
        <v>148</v>
      </c>
      <c r="K275" s="30" t="s">
        <v>148</v>
      </c>
      <c r="L275" s="30" t="s">
        <v>148</v>
      </c>
    </row>
    <row r="276" customFormat="false" ht="18" hidden="false" customHeight="true" outlineLevel="0" collapsed="false">
      <c r="A276" s="25" t="s">
        <v>114</v>
      </c>
      <c r="B276" s="26" t="s">
        <v>151</v>
      </c>
      <c r="C276" s="27" t="s">
        <v>125</v>
      </c>
      <c r="D276" s="28"/>
      <c r="E276" s="28"/>
      <c r="F276" s="29" t="n">
        <f aca="false">'📋 Matches'!E60</f>
        <v>0</v>
      </c>
      <c r="G276" s="29" t="n">
        <f aca="false">'📋 Matches'!F60</f>
        <v>0</v>
      </c>
      <c r="H276" s="30" t="s">
        <v>148</v>
      </c>
      <c r="I276" s="30" t="s">
        <v>148</v>
      </c>
      <c r="J276" s="30" t="s">
        <v>148</v>
      </c>
      <c r="K276" s="30" t="s">
        <v>148</v>
      </c>
      <c r="L276" s="30" t="s">
        <v>148</v>
      </c>
    </row>
    <row r="277" customFormat="false" ht="18" hidden="false" customHeight="true" outlineLevel="0" collapsed="false">
      <c r="A277" s="25" t="s">
        <v>114</v>
      </c>
      <c r="B277" s="26" t="s">
        <v>151</v>
      </c>
      <c r="C277" s="27" t="s">
        <v>126</v>
      </c>
      <c r="D277" s="28"/>
      <c r="E277" s="28"/>
      <c r="F277" s="29" t="n">
        <f aca="false">'📋 Matches'!E61</f>
        <v>0</v>
      </c>
      <c r="G277" s="29" t="n">
        <f aca="false">'📋 Matches'!F61</f>
        <v>0</v>
      </c>
      <c r="H277" s="30" t="s">
        <v>148</v>
      </c>
      <c r="I277" s="30" t="s">
        <v>148</v>
      </c>
      <c r="J277" s="30" t="s">
        <v>148</v>
      </c>
      <c r="K277" s="30" t="s">
        <v>148</v>
      </c>
      <c r="L277" s="30" t="s">
        <v>148</v>
      </c>
    </row>
    <row r="278" customFormat="false" ht="18" hidden="false" customHeight="true" outlineLevel="0" collapsed="false">
      <c r="A278" s="25" t="s">
        <v>114</v>
      </c>
      <c r="B278" s="26" t="s">
        <v>151</v>
      </c>
      <c r="C278" s="27" t="s">
        <v>127</v>
      </c>
      <c r="D278" s="28"/>
      <c r="E278" s="28"/>
      <c r="F278" s="29" t="n">
        <f aca="false">'📋 Matches'!E62</f>
        <v>0</v>
      </c>
      <c r="G278" s="29" t="n">
        <f aca="false">'📋 Matches'!F62</f>
        <v>0</v>
      </c>
      <c r="H278" s="30" t="s">
        <v>148</v>
      </c>
      <c r="I278" s="30" t="s">
        <v>148</v>
      </c>
      <c r="J278" s="30" t="s">
        <v>148</v>
      </c>
      <c r="K278" s="30" t="s">
        <v>148</v>
      </c>
      <c r="L278" s="30" t="s">
        <v>148</v>
      </c>
    </row>
    <row r="279" customFormat="false" ht="18" hidden="false" customHeight="true" outlineLevel="0" collapsed="false">
      <c r="A279" s="25" t="s">
        <v>114</v>
      </c>
      <c r="B279" s="26" t="s">
        <v>151</v>
      </c>
      <c r="C279" s="27" t="s">
        <v>128</v>
      </c>
      <c r="D279" s="28"/>
      <c r="E279" s="28"/>
      <c r="F279" s="29" t="n">
        <f aca="false">'📋 Matches'!E63</f>
        <v>0</v>
      </c>
      <c r="G279" s="29" t="n">
        <f aca="false">'📋 Matches'!F63</f>
        <v>0</v>
      </c>
      <c r="H279" s="30" t="s">
        <v>148</v>
      </c>
      <c r="I279" s="30" t="s">
        <v>148</v>
      </c>
      <c r="J279" s="30" t="s">
        <v>148</v>
      </c>
      <c r="K279" s="30" t="s">
        <v>148</v>
      </c>
      <c r="L279" s="30" t="s">
        <v>148</v>
      </c>
    </row>
    <row r="280" customFormat="false" ht="18" hidden="false" customHeight="true" outlineLevel="0" collapsed="false">
      <c r="A280" s="25" t="s">
        <v>114</v>
      </c>
      <c r="B280" s="26" t="s">
        <v>151</v>
      </c>
      <c r="C280" s="27" t="s">
        <v>129</v>
      </c>
      <c r="D280" s="28"/>
      <c r="E280" s="28"/>
      <c r="F280" s="29" t="n">
        <f aca="false">'📋 Matches'!E64</f>
        <v>0</v>
      </c>
      <c r="G280" s="29" t="n">
        <f aca="false">'📋 Matches'!F64</f>
        <v>0</v>
      </c>
      <c r="H280" s="30" t="s">
        <v>148</v>
      </c>
      <c r="I280" s="30" t="s">
        <v>148</v>
      </c>
      <c r="J280" s="30" t="s">
        <v>148</v>
      </c>
      <c r="K280" s="30" t="s">
        <v>148</v>
      </c>
      <c r="L280" s="30" t="s">
        <v>148</v>
      </c>
    </row>
    <row r="281" customFormat="false" ht="18" hidden="false" customHeight="true" outlineLevel="0" collapsed="false">
      <c r="A281" s="25" t="s">
        <v>114</v>
      </c>
      <c r="B281" s="26" t="s">
        <v>151</v>
      </c>
      <c r="C281" s="27" t="s">
        <v>130</v>
      </c>
      <c r="D281" s="28"/>
      <c r="E281" s="28"/>
      <c r="F281" s="29" t="n">
        <f aca="false">'📋 Matches'!E65</f>
        <v>0</v>
      </c>
      <c r="G281" s="29" t="n">
        <f aca="false">'📋 Matches'!F65</f>
        <v>0</v>
      </c>
      <c r="H281" s="30" t="s">
        <v>148</v>
      </c>
      <c r="I281" s="30" t="s">
        <v>148</v>
      </c>
      <c r="J281" s="30" t="s">
        <v>148</v>
      </c>
      <c r="K281" s="30" t="s">
        <v>148</v>
      </c>
      <c r="L281" s="30" t="s">
        <v>148</v>
      </c>
    </row>
    <row r="282" customFormat="false" ht="18" hidden="false" customHeight="true" outlineLevel="0" collapsed="false">
      <c r="A282" s="25" t="s">
        <v>114</v>
      </c>
      <c r="B282" s="26" t="s">
        <v>151</v>
      </c>
      <c r="C282" s="27" t="s">
        <v>131</v>
      </c>
      <c r="D282" s="28"/>
      <c r="E282" s="28"/>
      <c r="F282" s="29" t="n">
        <f aca="false">'📋 Matches'!E66</f>
        <v>0</v>
      </c>
      <c r="G282" s="29" t="n">
        <f aca="false">'📋 Matches'!F66</f>
        <v>0</v>
      </c>
      <c r="H282" s="30" t="s">
        <v>148</v>
      </c>
      <c r="I282" s="30" t="s">
        <v>148</v>
      </c>
      <c r="J282" s="30" t="s">
        <v>148</v>
      </c>
      <c r="K282" s="30" t="s">
        <v>148</v>
      </c>
      <c r="L282" s="30" t="s">
        <v>148</v>
      </c>
    </row>
    <row r="283" customFormat="false" ht="18" hidden="false" customHeight="true" outlineLevel="0" collapsed="false">
      <c r="A283" s="25" t="s">
        <v>114</v>
      </c>
      <c r="B283" s="26" t="s">
        <v>151</v>
      </c>
      <c r="C283" s="27" t="s">
        <v>132</v>
      </c>
      <c r="D283" s="28"/>
      <c r="E283" s="28"/>
      <c r="F283" s="29" t="n">
        <f aca="false">'📋 Matches'!E67</f>
        <v>0</v>
      </c>
      <c r="G283" s="29" t="n">
        <f aca="false">'📋 Matches'!F67</f>
        <v>0</v>
      </c>
      <c r="H283" s="30" t="s">
        <v>148</v>
      </c>
      <c r="I283" s="30" t="s">
        <v>148</v>
      </c>
      <c r="J283" s="30" t="s">
        <v>148</v>
      </c>
      <c r="K283" s="30" t="s">
        <v>148</v>
      </c>
      <c r="L283" s="30" t="s">
        <v>148</v>
      </c>
    </row>
    <row r="284" customFormat="false" ht="18" hidden="false" customHeight="true" outlineLevel="0" collapsed="false">
      <c r="A284" s="25" t="s">
        <v>114</v>
      </c>
      <c r="B284" s="26" t="s">
        <v>151</v>
      </c>
      <c r="C284" s="27" t="s">
        <v>133</v>
      </c>
      <c r="D284" s="28"/>
      <c r="E284" s="28"/>
      <c r="F284" s="29" t="n">
        <f aca="false">'📋 Matches'!E68</f>
        <v>0</v>
      </c>
      <c r="G284" s="29" t="n">
        <f aca="false">'📋 Matches'!F68</f>
        <v>0</v>
      </c>
      <c r="H284" s="30" t="s">
        <v>148</v>
      </c>
      <c r="I284" s="30" t="s">
        <v>148</v>
      </c>
      <c r="J284" s="30" t="s">
        <v>148</v>
      </c>
      <c r="K284" s="30" t="s">
        <v>148</v>
      </c>
      <c r="L284" s="30" t="s">
        <v>148</v>
      </c>
    </row>
    <row r="285" customFormat="false" ht="18" hidden="false" customHeight="true" outlineLevel="0" collapsed="false">
      <c r="A285" s="25" t="s">
        <v>114</v>
      </c>
      <c r="B285" s="26" t="s">
        <v>151</v>
      </c>
      <c r="C285" s="27" t="s">
        <v>134</v>
      </c>
      <c r="D285" s="28"/>
      <c r="E285" s="28"/>
      <c r="F285" s="29" t="n">
        <f aca="false">'📋 Matches'!E69</f>
        <v>0</v>
      </c>
      <c r="G285" s="29" t="n">
        <f aca="false">'📋 Matches'!F69</f>
        <v>0</v>
      </c>
      <c r="H285" s="30" t="s">
        <v>148</v>
      </c>
      <c r="I285" s="30" t="s">
        <v>148</v>
      </c>
      <c r="J285" s="30" t="s">
        <v>148</v>
      </c>
      <c r="K285" s="30" t="s">
        <v>148</v>
      </c>
      <c r="L285" s="30" t="s">
        <v>148</v>
      </c>
    </row>
    <row r="286" customFormat="false" ht="18" hidden="false" customHeight="true" outlineLevel="0" collapsed="false">
      <c r="A286" s="25" t="s">
        <v>114</v>
      </c>
      <c r="B286" s="26" t="s">
        <v>151</v>
      </c>
      <c r="C286" s="27" t="s">
        <v>135</v>
      </c>
      <c r="D286" s="28"/>
      <c r="E286" s="28"/>
      <c r="F286" s="29" t="n">
        <f aca="false">'📋 Matches'!E70</f>
        <v>0</v>
      </c>
      <c r="G286" s="29" t="n">
        <f aca="false">'📋 Matches'!F70</f>
        <v>0</v>
      </c>
      <c r="H286" s="30" t="s">
        <v>148</v>
      </c>
      <c r="I286" s="30" t="s">
        <v>148</v>
      </c>
      <c r="J286" s="30" t="s">
        <v>148</v>
      </c>
      <c r="K286" s="30" t="s">
        <v>148</v>
      </c>
      <c r="L286" s="30" t="s">
        <v>148</v>
      </c>
    </row>
    <row r="287" customFormat="false" ht="18" hidden="false" customHeight="true" outlineLevel="0" collapsed="false">
      <c r="A287" s="25" t="s">
        <v>114</v>
      </c>
      <c r="B287" s="26" t="s">
        <v>151</v>
      </c>
      <c r="C287" s="27" t="s">
        <v>136</v>
      </c>
      <c r="D287" s="28"/>
      <c r="E287" s="28"/>
      <c r="F287" s="29" t="n">
        <f aca="false">'📋 Matches'!E71</f>
        <v>0</v>
      </c>
      <c r="G287" s="29" t="n">
        <f aca="false">'📋 Matches'!F71</f>
        <v>0</v>
      </c>
      <c r="H287" s="30" t="s">
        <v>148</v>
      </c>
      <c r="I287" s="30" t="s">
        <v>148</v>
      </c>
      <c r="J287" s="30" t="s">
        <v>148</v>
      </c>
      <c r="K287" s="30" t="s">
        <v>148</v>
      </c>
      <c r="L287" s="30" t="s">
        <v>148</v>
      </c>
    </row>
    <row r="288" customFormat="false" ht="18" hidden="false" customHeight="true" outlineLevel="0" collapsed="false">
      <c r="A288" s="25" t="s">
        <v>114</v>
      </c>
      <c r="B288" s="26" t="s">
        <v>151</v>
      </c>
      <c r="C288" s="27" t="s">
        <v>137</v>
      </c>
      <c r="D288" s="28"/>
      <c r="E288" s="28"/>
      <c r="F288" s="29" t="n">
        <f aca="false">'📋 Matches'!E72</f>
        <v>0</v>
      </c>
      <c r="G288" s="29" t="n">
        <f aca="false">'📋 Matches'!F72</f>
        <v>0</v>
      </c>
      <c r="H288" s="30" t="s">
        <v>148</v>
      </c>
      <c r="I288" s="30" t="s">
        <v>148</v>
      </c>
      <c r="J288" s="30" t="s">
        <v>148</v>
      </c>
      <c r="K288" s="30" t="s">
        <v>148</v>
      </c>
      <c r="L288" s="30" t="s">
        <v>148</v>
      </c>
    </row>
    <row r="289" customFormat="false" ht="18" hidden="false" customHeight="true" outlineLevel="0" collapsed="false">
      <c r="A289" s="25" t="s">
        <v>114</v>
      </c>
      <c r="B289" s="26" t="s">
        <v>151</v>
      </c>
      <c r="C289" s="27" t="s">
        <v>138</v>
      </c>
      <c r="D289" s="28"/>
      <c r="E289" s="28"/>
      <c r="F289" s="29" t="n">
        <f aca="false">'📋 Matches'!E73</f>
        <v>0</v>
      </c>
      <c r="G289" s="29" t="n">
        <f aca="false">'📋 Matches'!F73</f>
        <v>0</v>
      </c>
      <c r="H289" s="30" t="s">
        <v>148</v>
      </c>
      <c r="I289" s="30" t="s">
        <v>148</v>
      </c>
      <c r="J289" s="30" t="s">
        <v>148</v>
      </c>
      <c r="K289" s="30" t="s">
        <v>148</v>
      </c>
      <c r="L289" s="30" t="s">
        <v>148</v>
      </c>
    </row>
    <row r="290" customFormat="false" ht="18" hidden="false" customHeight="true" outlineLevel="0" collapsed="false">
      <c r="A290" s="17" t="s">
        <v>9</v>
      </c>
      <c r="B290" s="31" t="s">
        <v>152</v>
      </c>
      <c r="C290" s="19" t="s">
        <v>10</v>
      </c>
      <c r="D290" s="20" t="n">
        <v>2</v>
      </c>
      <c r="E290" s="20" t="n">
        <v>0</v>
      </c>
      <c r="F290" s="21" t="n">
        <f aca="false">'📋 Matches'!E2</f>
        <v>2</v>
      </c>
      <c r="G290" s="21" t="n">
        <f aca="false">'📋 Matches'!F2</f>
        <v>0</v>
      </c>
      <c r="H290" s="22" t="n">
        <f aca="false">IF(AND(ISNUMBER(F290),ISNUMBER(G290)),IF(SIGN(D290-E290)=SIGN(F290-G290),48,0),"")</f>
        <v>48</v>
      </c>
      <c r="I290" s="22" t="n">
        <f aca="false">IF(AND(ISNUMBER(F290),ISNUMBER(G290)),IF(D290=F290,15,0),"")</f>
        <v>15</v>
      </c>
      <c r="J290" s="22" t="n">
        <f aca="false">IF(AND(ISNUMBER(F290),ISNUMBER(G290)),IF(E290=G290,15,0),"")</f>
        <v>15</v>
      </c>
      <c r="K290" s="22" t="n">
        <f aca="false">IF(AND(ISNUMBER(F290),ISNUMBER(G290)),IF(ABS(D290-E290)=ABS(F290-G290),12,0),"")</f>
        <v>12</v>
      </c>
      <c r="L290" s="23" t="n">
        <f aca="false">IF(ISNUMBER(H290),H290+I290+J290+K290,"")</f>
        <v>90</v>
      </c>
    </row>
    <row r="291" customFormat="false" ht="18" hidden="false" customHeight="true" outlineLevel="0" collapsed="false">
      <c r="A291" s="17" t="s">
        <v>9</v>
      </c>
      <c r="B291" s="31" t="s">
        <v>152</v>
      </c>
      <c r="C291" s="19" t="s">
        <v>14</v>
      </c>
      <c r="D291" s="20" t="n">
        <v>1</v>
      </c>
      <c r="E291" s="20" t="n">
        <v>1</v>
      </c>
      <c r="F291" s="21" t="n">
        <f aca="false">'📋 Matches'!E3</f>
        <v>2</v>
      </c>
      <c r="G291" s="21" t="n">
        <f aca="false">'📋 Matches'!F3</f>
        <v>1</v>
      </c>
      <c r="H291" s="22" t="n">
        <f aca="false">IF(AND(ISNUMBER(F291),ISNUMBER(G291)),IF(SIGN(D291-E291)=SIGN(F291-G291),48,0),"")</f>
        <v>0</v>
      </c>
      <c r="I291" s="22" t="n">
        <f aca="false">IF(AND(ISNUMBER(F291),ISNUMBER(G291)),IF(D291=F291,15,0),"")</f>
        <v>0</v>
      </c>
      <c r="J291" s="22" t="n">
        <f aca="false">IF(AND(ISNUMBER(F291),ISNUMBER(G291)),IF(E291=G291,15,0),"")</f>
        <v>15</v>
      </c>
      <c r="K291" s="22" t="n">
        <f aca="false">IF(AND(ISNUMBER(F291),ISNUMBER(G291)),IF(ABS(D291-E291)=ABS(F291-G291),12,0),"")</f>
        <v>0</v>
      </c>
      <c r="L291" s="23" t="n">
        <f aca="false">IF(ISNUMBER(H291),H291+I291+J291+K291,"")</f>
        <v>15</v>
      </c>
    </row>
    <row r="292" customFormat="false" ht="18" hidden="false" customHeight="true" outlineLevel="0" collapsed="false">
      <c r="A292" s="17" t="s">
        <v>9</v>
      </c>
      <c r="B292" s="31" t="s">
        <v>152</v>
      </c>
      <c r="C292" s="19" t="s">
        <v>17</v>
      </c>
      <c r="D292" s="20" t="n">
        <v>2</v>
      </c>
      <c r="E292" s="20" t="n">
        <v>1</v>
      </c>
      <c r="F292" s="21" t="n">
        <f aca="false">'📋 Matches'!E4</f>
        <v>1</v>
      </c>
      <c r="G292" s="21" t="n">
        <f aca="false">'📋 Matches'!F4</f>
        <v>1</v>
      </c>
      <c r="H292" s="22" t="n">
        <f aca="false">IF(AND(ISNUMBER(F292),ISNUMBER(G292)),IF(SIGN(D292-E292)=SIGN(F292-G292),48,0),"")</f>
        <v>0</v>
      </c>
      <c r="I292" s="22" t="n">
        <f aca="false">IF(AND(ISNUMBER(F292),ISNUMBER(G292)),IF(D292=F292,15,0),"")</f>
        <v>0</v>
      </c>
      <c r="J292" s="22" t="n">
        <f aca="false">IF(AND(ISNUMBER(F292),ISNUMBER(G292)),IF(E292=G292,15,0),"")</f>
        <v>15</v>
      </c>
      <c r="K292" s="22" t="n">
        <f aca="false">IF(AND(ISNUMBER(F292),ISNUMBER(G292)),IF(ABS(D292-E292)=ABS(F292-G292),12,0),"")</f>
        <v>0</v>
      </c>
      <c r="L292" s="23" t="n">
        <f aca="false">IF(ISNUMBER(H292),H292+I292+J292+K292,"")</f>
        <v>15</v>
      </c>
    </row>
    <row r="293" customFormat="false" ht="18" hidden="false" customHeight="true" outlineLevel="0" collapsed="false">
      <c r="A293" s="17" t="s">
        <v>9</v>
      </c>
      <c r="B293" s="31" t="s">
        <v>152</v>
      </c>
      <c r="C293" s="19" t="s">
        <v>20</v>
      </c>
      <c r="D293" s="20" t="n">
        <v>2</v>
      </c>
      <c r="E293" s="20" t="n">
        <v>1</v>
      </c>
      <c r="F293" s="21" t="n">
        <f aca="false">'📋 Matches'!E5</f>
        <v>4</v>
      </c>
      <c r="G293" s="21" t="n">
        <f aca="false">'📋 Matches'!F5</f>
        <v>1</v>
      </c>
      <c r="H293" s="22" t="n">
        <f aca="false">IF(AND(ISNUMBER(F293),ISNUMBER(G293)),IF(SIGN(D293-E293)=SIGN(F293-G293),48,0),"")</f>
        <v>48</v>
      </c>
      <c r="I293" s="22" t="n">
        <f aca="false">IF(AND(ISNUMBER(F293),ISNUMBER(G293)),IF(D293=F293,15,0),"")</f>
        <v>0</v>
      </c>
      <c r="J293" s="22" t="n">
        <f aca="false">IF(AND(ISNUMBER(F293),ISNUMBER(G293)),IF(E293=G293,15,0),"")</f>
        <v>15</v>
      </c>
      <c r="K293" s="22" t="n">
        <f aca="false">IF(AND(ISNUMBER(F293),ISNUMBER(G293)),IF(ABS(D293-E293)=ABS(F293-G293),12,0),"")</f>
        <v>0</v>
      </c>
      <c r="L293" s="23" t="n">
        <f aca="false">IF(ISNUMBER(H293),H293+I293+J293+K293,"")</f>
        <v>63</v>
      </c>
    </row>
    <row r="294" customFormat="false" ht="18" hidden="false" customHeight="true" outlineLevel="0" collapsed="false">
      <c r="A294" s="17" t="s">
        <v>9</v>
      </c>
      <c r="B294" s="31" t="s">
        <v>152</v>
      </c>
      <c r="C294" s="19" t="s">
        <v>23</v>
      </c>
      <c r="D294" s="20" t="n">
        <v>0</v>
      </c>
      <c r="E294" s="20" t="n">
        <v>2</v>
      </c>
      <c r="F294" s="21" t="n">
        <f aca="false">'📋 Matches'!E6</f>
        <v>0</v>
      </c>
      <c r="G294" s="21" t="n">
        <f aca="false">'📋 Matches'!F6</f>
        <v>0</v>
      </c>
      <c r="H294" s="22" t="str">
        <f aca="false">IF(AND(ISNUMBER(F294),ISNUMBER(G294)),IF(SIGN(D294-E294)=SIGN(F294-G294),48,0),"")</f>
        <v/>
      </c>
      <c r="I294" s="22" t="str">
        <f aca="false">IF(AND(ISNUMBER(F294),ISNUMBER(G294)),IF(D294=F294,15,0),"")</f>
        <v/>
      </c>
      <c r="J294" s="22" t="str">
        <f aca="false">IF(AND(ISNUMBER(F294),ISNUMBER(G294)),IF(E294=G294,15,0),"")</f>
        <v/>
      </c>
      <c r="K294" s="22" t="str">
        <f aca="false">IF(AND(ISNUMBER(F294),ISNUMBER(G294)),IF(ABS(D294-E294)=ABS(F294-G294),12,0),"")</f>
        <v/>
      </c>
      <c r="L294" s="23" t="str">
        <f aca="false">IF(ISNUMBER(H294),H294+I294+J294+K294,"")</f>
        <v/>
      </c>
    </row>
    <row r="295" customFormat="false" ht="18" hidden="false" customHeight="true" outlineLevel="0" collapsed="false">
      <c r="A295" s="17" t="s">
        <v>9</v>
      </c>
      <c r="B295" s="31" t="s">
        <v>152</v>
      </c>
      <c r="C295" s="19" t="s">
        <v>27</v>
      </c>
      <c r="D295" s="20" t="n">
        <v>3</v>
      </c>
      <c r="E295" s="20" t="n">
        <v>0</v>
      </c>
      <c r="F295" s="21" t="n">
        <f aca="false">'📋 Matches'!E7</f>
        <v>0</v>
      </c>
      <c r="G295" s="21" t="n">
        <f aca="false">'📋 Matches'!F7</f>
        <v>0</v>
      </c>
      <c r="H295" s="22" t="str">
        <f aca="false">IF(AND(ISNUMBER(F295),ISNUMBER(G295)),IF(SIGN(D295-E295)=SIGN(F295-G295),48,0),"")</f>
        <v/>
      </c>
      <c r="I295" s="22" t="str">
        <f aca="false">IF(AND(ISNUMBER(F295),ISNUMBER(G295)),IF(D295=F295,15,0),"")</f>
        <v/>
      </c>
      <c r="J295" s="22" t="str">
        <f aca="false">IF(AND(ISNUMBER(F295),ISNUMBER(G295)),IF(E295=G295,15,0),"")</f>
        <v/>
      </c>
      <c r="K295" s="22" t="str">
        <f aca="false">IF(AND(ISNUMBER(F295),ISNUMBER(G295)),IF(ABS(D295-E295)=ABS(F295-G295),12,0),"")</f>
        <v/>
      </c>
      <c r="L295" s="23" t="str">
        <f aca="false">IF(ISNUMBER(H295),H295+I295+J295+K295,"")</f>
        <v/>
      </c>
    </row>
    <row r="296" customFormat="false" ht="18" hidden="false" customHeight="true" outlineLevel="0" collapsed="false">
      <c r="A296" s="17" t="s">
        <v>9</v>
      </c>
      <c r="B296" s="31" t="s">
        <v>152</v>
      </c>
      <c r="C296" s="19" t="s">
        <v>30</v>
      </c>
      <c r="D296" s="20" t="n">
        <v>0</v>
      </c>
      <c r="E296" s="20" t="n">
        <v>2</v>
      </c>
      <c r="F296" s="21" t="n">
        <f aca="false">'📋 Matches'!E8</f>
        <v>0</v>
      </c>
      <c r="G296" s="21" t="n">
        <f aca="false">'📋 Matches'!F8</f>
        <v>0</v>
      </c>
      <c r="H296" s="22" t="str">
        <f aca="false">IF(AND(ISNUMBER(F296),ISNUMBER(G296)),IF(SIGN(D296-E296)=SIGN(F296-G296),48,0),"")</f>
        <v/>
      </c>
      <c r="I296" s="22" t="str">
        <f aca="false">IF(AND(ISNUMBER(F296),ISNUMBER(G296)),IF(D296=F296,15,0),"")</f>
        <v/>
      </c>
      <c r="J296" s="22" t="str">
        <f aca="false">IF(AND(ISNUMBER(F296),ISNUMBER(G296)),IF(E296=G296,15,0),"")</f>
        <v/>
      </c>
      <c r="K296" s="22" t="str">
        <f aca="false">IF(AND(ISNUMBER(F296),ISNUMBER(G296)),IF(ABS(D296-E296)=ABS(F296-G296),12,0),"")</f>
        <v/>
      </c>
      <c r="L296" s="23" t="str">
        <f aca="false">IF(ISNUMBER(H296),H296+I296+J296+K296,"")</f>
        <v/>
      </c>
    </row>
    <row r="297" customFormat="false" ht="18" hidden="false" customHeight="true" outlineLevel="0" collapsed="false">
      <c r="A297" s="17" t="s">
        <v>9</v>
      </c>
      <c r="B297" s="31" t="s">
        <v>152</v>
      </c>
      <c r="C297" s="19" t="s">
        <v>33</v>
      </c>
      <c r="D297" s="20" t="n">
        <v>1</v>
      </c>
      <c r="E297" s="20" t="n">
        <v>1</v>
      </c>
      <c r="F297" s="21" t="n">
        <f aca="false">'📋 Matches'!E9</f>
        <v>0</v>
      </c>
      <c r="G297" s="21" t="n">
        <f aca="false">'📋 Matches'!F9</f>
        <v>0</v>
      </c>
      <c r="H297" s="22" t="str">
        <f aca="false">IF(AND(ISNUMBER(F297),ISNUMBER(G297)),IF(SIGN(D297-E297)=SIGN(F297-G297),48,0),"")</f>
        <v/>
      </c>
      <c r="I297" s="22" t="str">
        <f aca="false">IF(AND(ISNUMBER(F297),ISNUMBER(G297)),IF(D297=F297,15,0),"")</f>
        <v/>
      </c>
      <c r="J297" s="22" t="str">
        <f aca="false">IF(AND(ISNUMBER(F297),ISNUMBER(G297)),IF(E297=G297,15,0),"")</f>
        <v/>
      </c>
      <c r="K297" s="22" t="str">
        <f aca="false">IF(AND(ISNUMBER(F297),ISNUMBER(G297)),IF(ABS(D297-E297)=ABS(F297-G297),12,0),"")</f>
        <v/>
      </c>
      <c r="L297" s="23" t="str">
        <f aca="false">IF(ISNUMBER(H297),H297+I297+J297+K297,"")</f>
        <v/>
      </c>
    </row>
    <row r="298" customFormat="false" ht="18" hidden="false" customHeight="true" outlineLevel="0" collapsed="false">
      <c r="A298" s="17" t="s">
        <v>9</v>
      </c>
      <c r="B298" s="31" t="s">
        <v>152</v>
      </c>
      <c r="C298" s="19" t="s">
        <v>36</v>
      </c>
      <c r="D298" s="20" t="n">
        <v>3</v>
      </c>
      <c r="E298" s="20" t="n">
        <v>0</v>
      </c>
      <c r="F298" s="21" t="n">
        <f aca="false">'📋 Matches'!E10</f>
        <v>0</v>
      </c>
      <c r="G298" s="21" t="n">
        <f aca="false">'📋 Matches'!F10</f>
        <v>0</v>
      </c>
      <c r="H298" s="22" t="str">
        <f aca="false">IF(AND(ISNUMBER(F298),ISNUMBER(G298)),IF(SIGN(D298-E298)=SIGN(F298-G298),48,0),"")</f>
        <v/>
      </c>
      <c r="I298" s="22" t="str">
        <f aca="false">IF(AND(ISNUMBER(F298),ISNUMBER(G298)),IF(D298=F298,15,0),"")</f>
        <v/>
      </c>
      <c r="J298" s="22" t="str">
        <f aca="false">IF(AND(ISNUMBER(F298),ISNUMBER(G298)),IF(E298=G298,15,0),"")</f>
        <v/>
      </c>
      <c r="K298" s="22" t="str">
        <f aca="false">IF(AND(ISNUMBER(F298),ISNUMBER(G298)),IF(ABS(D298-E298)=ABS(F298-G298),12,0),"")</f>
        <v/>
      </c>
      <c r="L298" s="23" t="str">
        <f aca="false">IF(ISNUMBER(H298),H298+I298+J298+K298,"")</f>
        <v/>
      </c>
    </row>
    <row r="299" customFormat="false" ht="18" hidden="false" customHeight="true" outlineLevel="0" collapsed="false">
      <c r="A299" s="17" t="s">
        <v>9</v>
      </c>
      <c r="B299" s="31" t="s">
        <v>152</v>
      </c>
      <c r="C299" s="19" t="s">
        <v>39</v>
      </c>
      <c r="D299" s="20" t="n">
        <v>2</v>
      </c>
      <c r="E299" s="20" t="n">
        <v>1</v>
      </c>
      <c r="F299" s="21" t="n">
        <f aca="false">'📋 Matches'!E11</f>
        <v>0</v>
      </c>
      <c r="G299" s="21" t="n">
        <f aca="false">'📋 Matches'!F11</f>
        <v>0</v>
      </c>
      <c r="H299" s="22" t="str">
        <f aca="false">IF(AND(ISNUMBER(F299),ISNUMBER(G299)),IF(SIGN(D299-E299)=SIGN(F299-G299),48,0),"")</f>
        <v/>
      </c>
      <c r="I299" s="22" t="str">
        <f aca="false">IF(AND(ISNUMBER(F299),ISNUMBER(G299)),IF(D299=F299,15,0),"")</f>
        <v/>
      </c>
      <c r="J299" s="22" t="str">
        <f aca="false">IF(AND(ISNUMBER(F299),ISNUMBER(G299)),IF(E299=G299,15,0),"")</f>
        <v/>
      </c>
      <c r="K299" s="22" t="str">
        <f aca="false">IF(AND(ISNUMBER(F299),ISNUMBER(G299)),IF(ABS(D299-E299)=ABS(F299-G299),12,0),"")</f>
        <v/>
      </c>
      <c r="L299" s="23" t="str">
        <f aca="false">IF(ISNUMBER(H299),H299+I299+J299+K299,"")</f>
        <v/>
      </c>
    </row>
    <row r="300" customFormat="false" ht="18" hidden="false" customHeight="true" outlineLevel="0" collapsed="false">
      <c r="A300" s="17" t="s">
        <v>9</v>
      </c>
      <c r="B300" s="31" t="s">
        <v>152</v>
      </c>
      <c r="C300" s="19" t="s">
        <v>42</v>
      </c>
      <c r="D300" s="20" t="n">
        <v>1</v>
      </c>
      <c r="E300" s="20" t="n">
        <v>2</v>
      </c>
      <c r="F300" s="21" t="n">
        <f aca="false">'📋 Matches'!E12</f>
        <v>0</v>
      </c>
      <c r="G300" s="21" t="n">
        <f aca="false">'📋 Matches'!F12</f>
        <v>0</v>
      </c>
      <c r="H300" s="22" t="str">
        <f aca="false">IF(AND(ISNUMBER(F300),ISNUMBER(G300)),IF(SIGN(D300-E300)=SIGN(F300-G300),48,0),"")</f>
        <v/>
      </c>
      <c r="I300" s="22" t="str">
        <f aca="false">IF(AND(ISNUMBER(F300),ISNUMBER(G300)),IF(D300=F300,15,0),"")</f>
        <v/>
      </c>
      <c r="J300" s="22" t="str">
        <f aca="false">IF(AND(ISNUMBER(F300),ISNUMBER(G300)),IF(E300=G300,15,0),"")</f>
        <v/>
      </c>
      <c r="K300" s="22" t="str">
        <f aca="false">IF(AND(ISNUMBER(F300),ISNUMBER(G300)),IF(ABS(D300-E300)=ABS(F300-G300),12,0),"")</f>
        <v/>
      </c>
      <c r="L300" s="23" t="str">
        <f aca="false">IF(ISNUMBER(H300),H300+I300+J300+K300,"")</f>
        <v/>
      </c>
    </row>
    <row r="301" customFormat="false" ht="18" hidden="false" customHeight="true" outlineLevel="0" collapsed="false">
      <c r="A301" s="17" t="s">
        <v>9</v>
      </c>
      <c r="B301" s="31" t="s">
        <v>152</v>
      </c>
      <c r="C301" s="19" t="s">
        <v>45</v>
      </c>
      <c r="D301" s="20" t="n">
        <v>1</v>
      </c>
      <c r="E301" s="20" t="n">
        <v>1</v>
      </c>
      <c r="F301" s="21" t="n">
        <f aca="false">'📋 Matches'!E13</f>
        <v>0</v>
      </c>
      <c r="G301" s="21" t="n">
        <f aca="false">'📋 Matches'!F13</f>
        <v>0</v>
      </c>
      <c r="H301" s="22" t="str">
        <f aca="false">IF(AND(ISNUMBER(F301),ISNUMBER(G301)),IF(SIGN(D301-E301)=SIGN(F301-G301),48,0),"")</f>
        <v/>
      </c>
      <c r="I301" s="22" t="str">
        <f aca="false">IF(AND(ISNUMBER(F301),ISNUMBER(G301)),IF(D301=F301,15,0),"")</f>
        <v/>
      </c>
      <c r="J301" s="22" t="str">
        <f aca="false">IF(AND(ISNUMBER(F301),ISNUMBER(G301)),IF(E301=G301,15,0),"")</f>
        <v/>
      </c>
      <c r="K301" s="22" t="str">
        <f aca="false">IF(AND(ISNUMBER(F301),ISNUMBER(G301)),IF(ABS(D301-E301)=ABS(F301-G301),12,0),"")</f>
        <v/>
      </c>
      <c r="L301" s="23" t="str">
        <f aca="false">IF(ISNUMBER(H301),H301+I301+J301+K301,"")</f>
        <v/>
      </c>
    </row>
    <row r="302" customFormat="false" ht="18" hidden="false" customHeight="true" outlineLevel="0" collapsed="false">
      <c r="A302" s="17" t="s">
        <v>9</v>
      </c>
      <c r="B302" s="31" t="s">
        <v>152</v>
      </c>
      <c r="C302" s="19" t="s">
        <v>48</v>
      </c>
      <c r="D302" s="20" t="n">
        <v>3</v>
      </c>
      <c r="E302" s="20" t="n">
        <v>0</v>
      </c>
      <c r="F302" s="21" t="n">
        <f aca="false">'📋 Matches'!E14</f>
        <v>0</v>
      </c>
      <c r="G302" s="21" t="n">
        <f aca="false">'📋 Matches'!F14</f>
        <v>0</v>
      </c>
      <c r="H302" s="22" t="str">
        <f aca="false">IF(AND(ISNUMBER(F302),ISNUMBER(G302)),IF(SIGN(D302-E302)=SIGN(F302-G302),48,0),"")</f>
        <v/>
      </c>
      <c r="I302" s="22" t="str">
        <f aca="false">IF(AND(ISNUMBER(F302),ISNUMBER(G302)),IF(D302=F302,15,0),"")</f>
        <v/>
      </c>
      <c r="J302" s="22" t="str">
        <f aca="false">IF(AND(ISNUMBER(F302),ISNUMBER(G302)),IF(E302=G302,15,0),"")</f>
        <v/>
      </c>
      <c r="K302" s="22" t="str">
        <f aca="false">IF(AND(ISNUMBER(F302),ISNUMBER(G302)),IF(ABS(D302-E302)=ABS(F302-G302),12,0),"")</f>
        <v/>
      </c>
      <c r="L302" s="23" t="str">
        <f aca="false">IF(ISNUMBER(H302),H302+I302+J302+K302,"")</f>
        <v/>
      </c>
    </row>
    <row r="303" customFormat="false" ht="18" hidden="false" customHeight="true" outlineLevel="0" collapsed="false">
      <c r="A303" s="17" t="s">
        <v>9</v>
      </c>
      <c r="B303" s="31" t="s">
        <v>152</v>
      </c>
      <c r="C303" s="19" t="s">
        <v>51</v>
      </c>
      <c r="D303" s="20" t="n">
        <v>2</v>
      </c>
      <c r="E303" s="20" t="n">
        <v>0</v>
      </c>
      <c r="F303" s="21" t="n">
        <f aca="false">'📋 Matches'!E15</f>
        <v>0</v>
      </c>
      <c r="G303" s="21" t="n">
        <f aca="false">'📋 Matches'!F15</f>
        <v>0</v>
      </c>
      <c r="H303" s="22" t="str">
        <f aca="false">IF(AND(ISNUMBER(F303),ISNUMBER(G303)),IF(SIGN(D303-E303)=SIGN(F303-G303),48,0),"")</f>
        <v/>
      </c>
      <c r="I303" s="22" t="str">
        <f aca="false">IF(AND(ISNUMBER(F303),ISNUMBER(G303)),IF(D303=F303,15,0),"")</f>
        <v/>
      </c>
      <c r="J303" s="22" t="str">
        <f aca="false">IF(AND(ISNUMBER(F303),ISNUMBER(G303)),IF(E303=G303,15,0),"")</f>
        <v/>
      </c>
      <c r="K303" s="22" t="str">
        <f aca="false">IF(AND(ISNUMBER(F303),ISNUMBER(G303)),IF(ABS(D303-E303)=ABS(F303-G303),12,0),"")</f>
        <v/>
      </c>
      <c r="L303" s="23" t="str">
        <f aca="false">IF(ISNUMBER(H303),H303+I303+J303+K303,"")</f>
        <v/>
      </c>
    </row>
    <row r="304" customFormat="false" ht="18" hidden="false" customHeight="true" outlineLevel="0" collapsed="false">
      <c r="A304" s="17" t="s">
        <v>9</v>
      </c>
      <c r="B304" s="31" t="s">
        <v>152</v>
      </c>
      <c r="C304" s="19" t="s">
        <v>54</v>
      </c>
      <c r="D304" s="20" t="n">
        <v>1</v>
      </c>
      <c r="E304" s="20" t="n">
        <v>2</v>
      </c>
      <c r="F304" s="21" t="n">
        <f aca="false">'📋 Matches'!E16</f>
        <v>0</v>
      </c>
      <c r="G304" s="21" t="n">
        <f aca="false">'📋 Matches'!F16</f>
        <v>0</v>
      </c>
      <c r="H304" s="22" t="str">
        <f aca="false">IF(AND(ISNUMBER(F304),ISNUMBER(G304)),IF(SIGN(D304-E304)=SIGN(F304-G304),48,0),"")</f>
        <v/>
      </c>
      <c r="I304" s="22" t="str">
        <f aca="false">IF(AND(ISNUMBER(F304),ISNUMBER(G304)),IF(D304=F304,15,0),"")</f>
        <v/>
      </c>
      <c r="J304" s="22" t="str">
        <f aca="false">IF(AND(ISNUMBER(F304),ISNUMBER(G304)),IF(E304=G304,15,0),"")</f>
        <v/>
      </c>
      <c r="K304" s="22" t="str">
        <f aca="false">IF(AND(ISNUMBER(F304),ISNUMBER(G304)),IF(ABS(D304-E304)=ABS(F304-G304),12,0),"")</f>
        <v/>
      </c>
      <c r="L304" s="23" t="str">
        <f aca="false">IF(ISNUMBER(H304),H304+I304+J304+K304,"")</f>
        <v/>
      </c>
    </row>
    <row r="305" customFormat="false" ht="18" hidden="false" customHeight="true" outlineLevel="0" collapsed="false">
      <c r="A305" s="17" t="s">
        <v>9</v>
      </c>
      <c r="B305" s="31" t="s">
        <v>152</v>
      </c>
      <c r="C305" s="19" t="s">
        <v>57</v>
      </c>
      <c r="D305" s="20" t="n">
        <v>1</v>
      </c>
      <c r="E305" s="20" t="n">
        <v>0</v>
      </c>
      <c r="F305" s="21" t="n">
        <f aca="false">'📋 Matches'!E17</f>
        <v>0</v>
      </c>
      <c r="G305" s="21" t="n">
        <f aca="false">'📋 Matches'!F17</f>
        <v>0</v>
      </c>
      <c r="H305" s="22" t="str">
        <f aca="false">IF(AND(ISNUMBER(F305),ISNUMBER(G305)),IF(SIGN(D305-E305)=SIGN(F305-G305),48,0),"")</f>
        <v/>
      </c>
      <c r="I305" s="22" t="str">
        <f aca="false">IF(AND(ISNUMBER(F305),ISNUMBER(G305)),IF(D305=F305,15,0),"")</f>
        <v/>
      </c>
      <c r="J305" s="22" t="str">
        <f aca="false">IF(AND(ISNUMBER(F305),ISNUMBER(G305)),IF(E305=G305,15,0),"")</f>
        <v/>
      </c>
      <c r="K305" s="22" t="str">
        <f aca="false">IF(AND(ISNUMBER(F305),ISNUMBER(G305)),IF(ABS(D305-E305)=ABS(F305-G305),12,0),"")</f>
        <v/>
      </c>
      <c r="L305" s="23" t="str">
        <f aca="false">IF(ISNUMBER(H305),H305+I305+J305+K305,"")</f>
        <v/>
      </c>
    </row>
    <row r="306" customFormat="false" ht="18" hidden="false" customHeight="true" outlineLevel="0" collapsed="false">
      <c r="A306" s="17" t="s">
        <v>9</v>
      </c>
      <c r="B306" s="31" t="s">
        <v>152</v>
      </c>
      <c r="C306" s="19" t="s">
        <v>60</v>
      </c>
      <c r="D306" s="20" t="n">
        <v>3</v>
      </c>
      <c r="E306" s="20" t="n">
        <v>0</v>
      </c>
      <c r="F306" s="21" t="n">
        <f aca="false">'📋 Matches'!E18</f>
        <v>0</v>
      </c>
      <c r="G306" s="21" t="n">
        <f aca="false">'📋 Matches'!F18</f>
        <v>0</v>
      </c>
      <c r="H306" s="22" t="str">
        <f aca="false">IF(AND(ISNUMBER(F306),ISNUMBER(G306)),IF(SIGN(D306-E306)=SIGN(F306-G306),48,0),"")</f>
        <v/>
      </c>
      <c r="I306" s="22" t="str">
        <f aca="false">IF(AND(ISNUMBER(F306),ISNUMBER(G306)),IF(D306=F306,15,0),"")</f>
        <v/>
      </c>
      <c r="J306" s="22" t="str">
        <f aca="false">IF(AND(ISNUMBER(F306),ISNUMBER(G306)),IF(E306=G306,15,0),"")</f>
        <v/>
      </c>
      <c r="K306" s="22" t="str">
        <f aca="false">IF(AND(ISNUMBER(F306),ISNUMBER(G306)),IF(ABS(D306-E306)=ABS(F306-G306),12,0),"")</f>
        <v/>
      </c>
      <c r="L306" s="23" t="str">
        <f aca="false">IF(ISNUMBER(H306),H306+I306+J306+K306,"")</f>
        <v/>
      </c>
    </row>
    <row r="307" customFormat="false" ht="18" hidden="false" customHeight="true" outlineLevel="0" collapsed="false">
      <c r="A307" s="17" t="s">
        <v>9</v>
      </c>
      <c r="B307" s="31" t="s">
        <v>152</v>
      </c>
      <c r="C307" s="19" t="s">
        <v>63</v>
      </c>
      <c r="D307" s="20" t="n">
        <v>0</v>
      </c>
      <c r="E307" s="20" t="n">
        <v>2</v>
      </c>
      <c r="F307" s="21" t="n">
        <f aca="false">'📋 Matches'!E19</f>
        <v>0</v>
      </c>
      <c r="G307" s="21" t="n">
        <f aca="false">'📋 Matches'!F19</f>
        <v>0</v>
      </c>
      <c r="H307" s="22" t="str">
        <f aca="false">IF(AND(ISNUMBER(F307),ISNUMBER(G307)),IF(SIGN(D307-E307)=SIGN(F307-G307),48,0),"")</f>
        <v/>
      </c>
      <c r="I307" s="22" t="str">
        <f aca="false">IF(AND(ISNUMBER(F307),ISNUMBER(G307)),IF(D307=F307,15,0),"")</f>
        <v/>
      </c>
      <c r="J307" s="22" t="str">
        <f aca="false">IF(AND(ISNUMBER(F307),ISNUMBER(G307)),IF(E307=G307,15,0),"")</f>
        <v/>
      </c>
      <c r="K307" s="22" t="str">
        <f aca="false">IF(AND(ISNUMBER(F307),ISNUMBER(G307)),IF(ABS(D307-E307)=ABS(F307-G307),12,0),"")</f>
        <v/>
      </c>
      <c r="L307" s="23" t="str">
        <f aca="false">IF(ISNUMBER(H307),H307+I307+J307+K307,"")</f>
        <v/>
      </c>
    </row>
    <row r="308" customFormat="false" ht="18" hidden="false" customHeight="true" outlineLevel="0" collapsed="false">
      <c r="A308" s="17" t="s">
        <v>9</v>
      </c>
      <c r="B308" s="31" t="s">
        <v>152</v>
      </c>
      <c r="C308" s="19" t="s">
        <v>66</v>
      </c>
      <c r="D308" s="20" t="n">
        <v>3</v>
      </c>
      <c r="E308" s="20" t="n">
        <v>0</v>
      </c>
      <c r="F308" s="21" t="n">
        <f aca="false">'📋 Matches'!E20</f>
        <v>0</v>
      </c>
      <c r="G308" s="21" t="n">
        <f aca="false">'📋 Matches'!F20</f>
        <v>0</v>
      </c>
      <c r="H308" s="22" t="str">
        <f aca="false">IF(AND(ISNUMBER(F308),ISNUMBER(G308)),IF(SIGN(D308-E308)=SIGN(F308-G308),48,0),"")</f>
        <v/>
      </c>
      <c r="I308" s="22" t="str">
        <f aca="false">IF(AND(ISNUMBER(F308),ISNUMBER(G308)),IF(D308=F308,15,0),"")</f>
        <v/>
      </c>
      <c r="J308" s="22" t="str">
        <f aca="false">IF(AND(ISNUMBER(F308),ISNUMBER(G308)),IF(E308=G308,15,0),"")</f>
        <v/>
      </c>
      <c r="K308" s="22" t="str">
        <f aca="false">IF(AND(ISNUMBER(F308),ISNUMBER(G308)),IF(ABS(D308-E308)=ABS(F308-G308),12,0),"")</f>
        <v/>
      </c>
      <c r="L308" s="23" t="str">
        <f aca="false">IF(ISNUMBER(H308),H308+I308+J308+K308,"")</f>
        <v/>
      </c>
    </row>
    <row r="309" customFormat="false" ht="18" hidden="false" customHeight="true" outlineLevel="0" collapsed="false">
      <c r="A309" s="17" t="s">
        <v>9</v>
      </c>
      <c r="B309" s="31" t="s">
        <v>152</v>
      </c>
      <c r="C309" s="19" t="s">
        <v>69</v>
      </c>
      <c r="D309" s="20" t="n">
        <v>1</v>
      </c>
      <c r="E309" s="20" t="n">
        <v>1</v>
      </c>
      <c r="F309" s="21" t="n">
        <f aca="false">'📋 Matches'!E21</f>
        <v>0</v>
      </c>
      <c r="G309" s="21" t="n">
        <f aca="false">'📋 Matches'!F21</f>
        <v>0</v>
      </c>
      <c r="H309" s="22" t="str">
        <f aca="false">IF(AND(ISNUMBER(F309),ISNUMBER(G309)),IF(SIGN(D309-E309)=SIGN(F309-G309),48,0),"")</f>
        <v/>
      </c>
      <c r="I309" s="22" t="str">
        <f aca="false">IF(AND(ISNUMBER(F309),ISNUMBER(G309)),IF(D309=F309,15,0),"")</f>
        <v/>
      </c>
      <c r="J309" s="22" t="str">
        <f aca="false">IF(AND(ISNUMBER(F309),ISNUMBER(G309)),IF(E309=G309,15,0),"")</f>
        <v/>
      </c>
      <c r="K309" s="22" t="str">
        <f aca="false">IF(AND(ISNUMBER(F309),ISNUMBER(G309)),IF(ABS(D309-E309)=ABS(F309-G309),12,0),"")</f>
        <v/>
      </c>
      <c r="L309" s="23" t="str">
        <f aca="false">IF(ISNUMBER(H309),H309+I309+J309+K309,"")</f>
        <v/>
      </c>
    </row>
    <row r="310" customFormat="false" ht="18" hidden="false" customHeight="true" outlineLevel="0" collapsed="false">
      <c r="A310" s="17" t="s">
        <v>9</v>
      </c>
      <c r="B310" s="31" t="s">
        <v>152</v>
      </c>
      <c r="C310" s="19" t="s">
        <v>72</v>
      </c>
      <c r="D310" s="20" t="n">
        <v>2</v>
      </c>
      <c r="E310" s="20" t="n">
        <v>0</v>
      </c>
      <c r="F310" s="21" t="n">
        <f aca="false">'📋 Matches'!E22</f>
        <v>0</v>
      </c>
      <c r="G310" s="21" t="n">
        <f aca="false">'📋 Matches'!F22</f>
        <v>0</v>
      </c>
      <c r="H310" s="22" t="str">
        <f aca="false">IF(AND(ISNUMBER(F310),ISNUMBER(G310)),IF(SIGN(D310-E310)=SIGN(F310-G310),48,0),"")</f>
        <v/>
      </c>
      <c r="I310" s="22" t="str">
        <f aca="false">IF(AND(ISNUMBER(F310),ISNUMBER(G310)),IF(D310=F310,15,0),"")</f>
        <v/>
      </c>
      <c r="J310" s="22" t="str">
        <f aca="false">IF(AND(ISNUMBER(F310),ISNUMBER(G310)),IF(E310=G310,15,0),"")</f>
        <v/>
      </c>
      <c r="K310" s="22" t="str">
        <f aca="false">IF(AND(ISNUMBER(F310),ISNUMBER(G310)),IF(ABS(D310-E310)=ABS(F310-G310),12,0),"")</f>
        <v/>
      </c>
      <c r="L310" s="23" t="str">
        <f aca="false">IF(ISNUMBER(H310),H310+I310+J310+K310,"")</f>
        <v/>
      </c>
    </row>
    <row r="311" customFormat="false" ht="18" hidden="false" customHeight="true" outlineLevel="0" collapsed="false">
      <c r="A311" s="17" t="s">
        <v>9</v>
      </c>
      <c r="B311" s="31" t="s">
        <v>152</v>
      </c>
      <c r="C311" s="19" t="s">
        <v>75</v>
      </c>
      <c r="D311" s="20" t="n">
        <v>2</v>
      </c>
      <c r="E311" s="20" t="n">
        <v>0</v>
      </c>
      <c r="F311" s="21" t="n">
        <f aca="false">'📋 Matches'!E23</f>
        <v>0</v>
      </c>
      <c r="G311" s="21" t="n">
        <f aca="false">'📋 Matches'!F23</f>
        <v>0</v>
      </c>
      <c r="H311" s="22" t="str">
        <f aca="false">IF(AND(ISNUMBER(F311),ISNUMBER(G311)),IF(SIGN(D311-E311)=SIGN(F311-G311),48,0),"")</f>
        <v/>
      </c>
      <c r="I311" s="22" t="str">
        <f aca="false">IF(AND(ISNUMBER(F311),ISNUMBER(G311)),IF(D311=F311,15,0),"")</f>
        <v/>
      </c>
      <c r="J311" s="22" t="str">
        <f aca="false">IF(AND(ISNUMBER(F311),ISNUMBER(G311)),IF(E311=G311,15,0),"")</f>
        <v/>
      </c>
      <c r="K311" s="22" t="str">
        <f aca="false">IF(AND(ISNUMBER(F311),ISNUMBER(G311)),IF(ABS(D311-E311)=ABS(F311-G311),12,0),"")</f>
        <v/>
      </c>
      <c r="L311" s="23" t="str">
        <f aca="false">IF(ISNUMBER(H311),H311+I311+J311+K311,"")</f>
        <v/>
      </c>
    </row>
    <row r="312" customFormat="false" ht="18" hidden="false" customHeight="true" outlineLevel="0" collapsed="false">
      <c r="A312" s="17" t="s">
        <v>9</v>
      </c>
      <c r="B312" s="31" t="s">
        <v>152</v>
      </c>
      <c r="C312" s="19" t="s">
        <v>78</v>
      </c>
      <c r="D312" s="20" t="n">
        <v>1</v>
      </c>
      <c r="E312" s="20" t="n">
        <v>1</v>
      </c>
      <c r="F312" s="21" t="n">
        <f aca="false">'📋 Matches'!E24</f>
        <v>0</v>
      </c>
      <c r="G312" s="21" t="n">
        <f aca="false">'📋 Matches'!F24</f>
        <v>0</v>
      </c>
      <c r="H312" s="22" t="str">
        <f aca="false">IF(AND(ISNUMBER(F312),ISNUMBER(G312)),IF(SIGN(D312-E312)=SIGN(F312-G312),48,0),"")</f>
        <v/>
      </c>
      <c r="I312" s="22" t="str">
        <f aca="false">IF(AND(ISNUMBER(F312),ISNUMBER(G312)),IF(D312=F312,15,0),"")</f>
        <v/>
      </c>
      <c r="J312" s="22" t="str">
        <f aca="false">IF(AND(ISNUMBER(F312),ISNUMBER(G312)),IF(E312=G312,15,0),"")</f>
        <v/>
      </c>
      <c r="K312" s="22" t="str">
        <f aca="false">IF(AND(ISNUMBER(F312),ISNUMBER(G312)),IF(ABS(D312-E312)=ABS(F312-G312),12,0),"")</f>
        <v/>
      </c>
      <c r="L312" s="23" t="str">
        <f aca="false">IF(ISNUMBER(H312),H312+I312+J312+K312,"")</f>
        <v/>
      </c>
    </row>
    <row r="313" customFormat="false" ht="18" hidden="false" customHeight="true" outlineLevel="0" collapsed="false">
      <c r="A313" s="17" t="s">
        <v>9</v>
      </c>
      <c r="B313" s="31" t="s">
        <v>152</v>
      </c>
      <c r="C313" s="19" t="s">
        <v>81</v>
      </c>
      <c r="D313" s="20" t="n">
        <v>0</v>
      </c>
      <c r="E313" s="20" t="n">
        <v>1</v>
      </c>
      <c r="F313" s="21" t="n">
        <f aca="false">'📋 Matches'!E25</f>
        <v>0</v>
      </c>
      <c r="G313" s="21" t="n">
        <f aca="false">'📋 Matches'!F25</f>
        <v>0</v>
      </c>
      <c r="H313" s="22" t="str">
        <f aca="false">IF(AND(ISNUMBER(F313),ISNUMBER(G313)),IF(SIGN(D313-E313)=SIGN(F313-G313),48,0),"")</f>
        <v/>
      </c>
      <c r="I313" s="22" t="str">
        <f aca="false">IF(AND(ISNUMBER(F313),ISNUMBER(G313)),IF(D313=F313,15,0),"")</f>
        <v/>
      </c>
      <c r="J313" s="22" t="str">
        <f aca="false">IF(AND(ISNUMBER(F313),ISNUMBER(G313)),IF(E313=G313,15,0),"")</f>
        <v/>
      </c>
      <c r="K313" s="22" t="str">
        <f aca="false">IF(AND(ISNUMBER(F313),ISNUMBER(G313)),IF(ABS(D313-E313)=ABS(F313-G313),12,0),"")</f>
        <v/>
      </c>
      <c r="L313" s="23" t="str">
        <f aca="false">IF(ISNUMBER(H313),H313+I313+J313+K313,"")</f>
        <v/>
      </c>
    </row>
    <row r="314" customFormat="false" ht="18" hidden="false" customHeight="true" outlineLevel="0" collapsed="false">
      <c r="A314" s="17" t="s">
        <v>84</v>
      </c>
      <c r="B314" s="31" t="s">
        <v>152</v>
      </c>
      <c r="C314" s="19" t="s">
        <v>85</v>
      </c>
      <c r="D314" s="20"/>
      <c r="E314" s="20"/>
      <c r="F314" s="21" t="n">
        <f aca="false">'📋 Matches'!E26</f>
        <v>0</v>
      </c>
      <c r="G314" s="21" t="n">
        <f aca="false">'📋 Matches'!F26</f>
        <v>0</v>
      </c>
      <c r="H314" s="24" t="s">
        <v>148</v>
      </c>
      <c r="I314" s="24" t="s">
        <v>148</v>
      </c>
      <c r="J314" s="24" t="s">
        <v>148</v>
      </c>
      <c r="K314" s="24" t="s">
        <v>148</v>
      </c>
      <c r="L314" s="24" t="s">
        <v>148</v>
      </c>
    </row>
    <row r="315" customFormat="false" ht="18" hidden="false" customHeight="true" outlineLevel="0" collapsed="false">
      <c r="A315" s="17" t="s">
        <v>84</v>
      </c>
      <c r="B315" s="31" t="s">
        <v>152</v>
      </c>
      <c r="C315" s="19" t="s">
        <v>87</v>
      </c>
      <c r="D315" s="20"/>
      <c r="E315" s="20"/>
      <c r="F315" s="21" t="n">
        <f aca="false">'📋 Matches'!E27</f>
        <v>0</v>
      </c>
      <c r="G315" s="21" t="n">
        <f aca="false">'📋 Matches'!F27</f>
        <v>0</v>
      </c>
      <c r="H315" s="24" t="s">
        <v>148</v>
      </c>
      <c r="I315" s="24" t="s">
        <v>148</v>
      </c>
      <c r="J315" s="24" t="s">
        <v>148</v>
      </c>
      <c r="K315" s="24" t="s">
        <v>148</v>
      </c>
      <c r="L315" s="24" t="s">
        <v>148</v>
      </c>
    </row>
    <row r="316" customFormat="false" ht="18" hidden="false" customHeight="true" outlineLevel="0" collapsed="false">
      <c r="A316" s="17" t="s">
        <v>84</v>
      </c>
      <c r="B316" s="31" t="s">
        <v>152</v>
      </c>
      <c r="C316" s="19" t="s">
        <v>89</v>
      </c>
      <c r="D316" s="20"/>
      <c r="E316" s="20"/>
      <c r="F316" s="21" t="n">
        <f aca="false">'📋 Matches'!E28</f>
        <v>0</v>
      </c>
      <c r="G316" s="21" t="n">
        <f aca="false">'📋 Matches'!F28</f>
        <v>0</v>
      </c>
      <c r="H316" s="24" t="s">
        <v>148</v>
      </c>
      <c r="I316" s="24" t="s">
        <v>148</v>
      </c>
      <c r="J316" s="24" t="s">
        <v>148</v>
      </c>
      <c r="K316" s="24" t="s">
        <v>148</v>
      </c>
      <c r="L316" s="24" t="s">
        <v>148</v>
      </c>
    </row>
    <row r="317" customFormat="false" ht="18" hidden="false" customHeight="true" outlineLevel="0" collapsed="false">
      <c r="A317" s="17" t="s">
        <v>84</v>
      </c>
      <c r="B317" s="31" t="s">
        <v>152</v>
      </c>
      <c r="C317" s="19" t="s">
        <v>90</v>
      </c>
      <c r="D317" s="20"/>
      <c r="E317" s="20"/>
      <c r="F317" s="21" t="n">
        <f aca="false">'📋 Matches'!E29</f>
        <v>0</v>
      </c>
      <c r="G317" s="21" t="n">
        <f aca="false">'📋 Matches'!F29</f>
        <v>0</v>
      </c>
      <c r="H317" s="24" t="s">
        <v>148</v>
      </c>
      <c r="I317" s="24" t="s">
        <v>148</v>
      </c>
      <c r="J317" s="24" t="s">
        <v>148</v>
      </c>
      <c r="K317" s="24" t="s">
        <v>148</v>
      </c>
      <c r="L317" s="24" t="s">
        <v>148</v>
      </c>
    </row>
    <row r="318" customFormat="false" ht="18" hidden="false" customHeight="true" outlineLevel="0" collapsed="false">
      <c r="A318" s="17" t="s">
        <v>84</v>
      </c>
      <c r="B318" s="31" t="s">
        <v>152</v>
      </c>
      <c r="C318" s="19" t="s">
        <v>91</v>
      </c>
      <c r="D318" s="20"/>
      <c r="E318" s="20"/>
      <c r="F318" s="21" t="n">
        <f aca="false">'📋 Matches'!E30</f>
        <v>0</v>
      </c>
      <c r="G318" s="21" t="n">
        <f aca="false">'📋 Matches'!F30</f>
        <v>0</v>
      </c>
      <c r="H318" s="24" t="s">
        <v>148</v>
      </c>
      <c r="I318" s="24" t="s">
        <v>148</v>
      </c>
      <c r="J318" s="24" t="s">
        <v>148</v>
      </c>
      <c r="K318" s="24" t="s">
        <v>148</v>
      </c>
      <c r="L318" s="24" t="s">
        <v>148</v>
      </c>
    </row>
    <row r="319" customFormat="false" ht="18" hidden="false" customHeight="true" outlineLevel="0" collapsed="false">
      <c r="A319" s="17" t="s">
        <v>84</v>
      </c>
      <c r="B319" s="31" t="s">
        <v>152</v>
      </c>
      <c r="C319" s="19" t="s">
        <v>92</v>
      </c>
      <c r="D319" s="20"/>
      <c r="E319" s="20"/>
      <c r="F319" s="21" t="n">
        <f aca="false">'📋 Matches'!E31</f>
        <v>0</v>
      </c>
      <c r="G319" s="21" t="n">
        <f aca="false">'📋 Matches'!F31</f>
        <v>0</v>
      </c>
      <c r="H319" s="24" t="s">
        <v>148</v>
      </c>
      <c r="I319" s="24" t="s">
        <v>148</v>
      </c>
      <c r="J319" s="24" t="s">
        <v>148</v>
      </c>
      <c r="K319" s="24" t="s">
        <v>148</v>
      </c>
      <c r="L319" s="24" t="s">
        <v>148</v>
      </c>
    </row>
    <row r="320" customFormat="false" ht="18" hidden="false" customHeight="true" outlineLevel="0" collapsed="false">
      <c r="A320" s="17" t="s">
        <v>84</v>
      </c>
      <c r="B320" s="31" t="s">
        <v>152</v>
      </c>
      <c r="C320" s="19" t="s">
        <v>93</v>
      </c>
      <c r="D320" s="20"/>
      <c r="E320" s="20"/>
      <c r="F320" s="21" t="n">
        <f aca="false">'📋 Matches'!E32</f>
        <v>0</v>
      </c>
      <c r="G320" s="21" t="n">
        <f aca="false">'📋 Matches'!F32</f>
        <v>0</v>
      </c>
      <c r="H320" s="24" t="s">
        <v>148</v>
      </c>
      <c r="I320" s="24" t="s">
        <v>148</v>
      </c>
      <c r="J320" s="24" t="s">
        <v>148</v>
      </c>
      <c r="K320" s="24" t="s">
        <v>148</v>
      </c>
      <c r="L320" s="24" t="s">
        <v>148</v>
      </c>
    </row>
    <row r="321" customFormat="false" ht="18" hidden="false" customHeight="true" outlineLevel="0" collapsed="false">
      <c r="A321" s="17" t="s">
        <v>84</v>
      </c>
      <c r="B321" s="31" t="s">
        <v>152</v>
      </c>
      <c r="C321" s="19" t="s">
        <v>94</v>
      </c>
      <c r="D321" s="20"/>
      <c r="E321" s="20"/>
      <c r="F321" s="21" t="n">
        <f aca="false">'📋 Matches'!E33</f>
        <v>0</v>
      </c>
      <c r="G321" s="21" t="n">
        <f aca="false">'📋 Matches'!F33</f>
        <v>0</v>
      </c>
      <c r="H321" s="24" t="s">
        <v>148</v>
      </c>
      <c r="I321" s="24" t="s">
        <v>148</v>
      </c>
      <c r="J321" s="24" t="s">
        <v>148</v>
      </c>
      <c r="K321" s="24" t="s">
        <v>148</v>
      </c>
      <c r="L321" s="24" t="s">
        <v>148</v>
      </c>
    </row>
    <row r="322" customFormat="false" ht="18" hidden="false" customHeight="true" outlineLevel="0" collapsed="false">
      <c r="A322" s="17" t="s">
        <v>84</v>
      </c>
      <c r="B322" s="31" t="s">
        <v>152</v>
      </c>
      <c r="C322" s="19" t="s">
        <v>96</v>
      </c>
      <c r="D322" s="20"/>
      <c r="E322" s="20"/>
      <c r="F322" s="21" t="n">
        <f aca="false">'📋 Matches'!E34</f>
        <v>0</v>
      </c>
      <c r="G322" s="21" t="n">
        <f aca="false">'📋 Matches'!F34</f>
        <v>0</v>
      </c>
      <c r="H322" s="24" t="s">
        <v>148</v>
      </c>
      <c r="I322" s="24" t="s">
        <v>148</v>
      </c>
      <c r="J322" s="24" t="s">
        <v>148</v>
      </c>
      <c r="K322" s="24" t="s">
        <v>148</v>
      </c>
      <c r="L322" s="24" t="s">
        <v>148</v>
      </c>
    </row>
    <row r="323" customFormat="false" ht="18" hidden="false" customHeight="true" outlineLevel="0" collapsed="false">
      <c r="A323" s="17" t="s">
        <v>84</v>
      </c>
      <c r="B323" s="31" t="s">
        <v>152</v>
      </c>
      <c r="C323" s="19" t="s">
        <v>97</v>
      </c>
      <c r="D323" s="20"/>
      <c r="E323" s="20"/>
      <c r="F323" s="21" t="n">
        <f aca="false">'📋 Matches'!E35</f>
        <v>0</v>
      </c>
      <c r="G323" s="21" t="n">
        <f aca="false">'📋 Matches'!F35</f>
        <v>0</v>
      </c>
      <c r="H323" s="24" t="s">
        <v>148</v>
      </c>
      <c r="I323" s="24" t="s">
        <v>148</v>
      </c>
      <c r="J323" s="24" t="s">
        <v>148</v>
      </c>
      <c r="K323" s="24" t="s">
        <v>148</v>
      </c>
      <c r="L323" s="24" t="s">
        <v>148</v>
      </c>
    </row>
    <row r="324" customFormat="false" ht="18" hidden="false" customHeight="true" outlineLevel="0" collapsed="false">
      <c r="A324" s="17" t="s">
        <v>84</v>
      </c>
      <c r="B324" s="31" t="s">
        <v>152</v>
      </c>
      <c r="C324" s="19" t="s">
        <v>98</v>
      </c>
      <c r="D324" s="20"/>
      <c r="E324" s="20"/>
      <c r="F324" s="21" t="n">
        <f aca="false">'📋 Matches'!E36</f>
        <v>0</v>
      </c>
      <c r="G324" s="21" t="n">
        <f aca="false">'📋 Matches'!F36</f>
        <v>0</v>
      </c>
      <c r="H324" s="24" t="s">
        <v>148</v>
      </c>
      <c r="I324" s="24" t="s">
        <v>148</v>
      </c>
      <c r="J324" s="24" t="s">
        <v>148</v>
      </c>
      <c r="K324" s="24" t="s">
        <v>148</v>
      </c>
      <c r="L324" s="24" t="s">
        <v>148</v>
      </c>
    </row>
    <row r="325" customFormat="false" ht="18" hidden="false" customHeight="true" outlineLevel="0" collapsed="false">
      <c r="A325" s="17" t="s">
        <v>84</v>
      </c>
      <c r="B325" s="31" t="s">
        <v>152</v>
      </c>
      <c r="C325" s="19" t="s">
        <v>100</v>
      </c>
      <c r="D325" s="20"/>
      <c r="E325" s="20"/>
      <c r="F325" s="21" t="n">
        <f aca="false">'📋 Matches'!E37</f>
        <v>0</v>
      </c>
      <c r="G325" s="21" t="n">
        <f aca="false">'📋 Matches'!F37</f>
        <v>0</v>
      </c>
      <c r="H325" s="24" t="s">
        <v>148</v>
      </c>
      <c r="I325" s="24" t="s">
        <v>148</v>
      </c>
      <c r="J325" s="24" t="s">
        <v>148</v>
      </c>
      <c r="K325" s="24" t="s">
        <v>148</v>
      </c>
      <c r="L325" s="24" t="s">
        <v>148</v>
      </c>
    </row>
    <row r="326" customFormat="false" ht="18" hidden="false" customHeight="true" outlineLevel="0" collapsed="false">
      <c r="A326" s="17" t="s">
        <v>84</v>
      </c>
      <c r="B326" s="31" t="s">
        <v>152</v>
      </c>
      <c r="C326" s="19" t="s">
        <v>101</v>
      </c>
      <c r="D326" s="20"/>
      <c r="E326" s="20"/>
      <c r="F326" s="21" t="n">
        <f aca="false">'📋 Matches'!E38</f>
        <v>0</v>
      </c>
      <c r="G326" s="21" t="n">
        <f aca="false">'📋 Matches'!F38</f>
        <v>0</v>
      </c>
      <c r="H326" s="24" t="s">
        <v>148</v>
      </c>
      <c r="I326" s="24" t="s">
        <v>148</v>
      </c>
      <c r="J326" s="24" t="s">
        <v>148</v>
      </c>
      <c r="K326" s="24" t="s">
        <v>148</v>
      </c>
      <c r="L326" s="24" t="s">
        <v>148</v>
      </c>
    </row>
    <row r="327" customFormat="false" ht="18" hidden="false" customHeight="true" outlineLevel="0" collapsed="false">
      <c r="A327" s="17" t="s">
        <v>84</v>
      </c>
      <c r="B327" s="31" t="s">
        <v>152</v>
      </c>
      <c r="C327" s="19" t="s">
        <v>102</v>
      </c>
      <c r="D327" s="20"/>
      <c r="E327" s="20"/>
      <c r="F327" s="21" t="n">
        <f aca="false">'📋 Matches'!E39</f>
        <v>0</v>
      </c>
      <c r="G327" s="21" t="n">
        <f aca="false">'📋 Matches'!F39</f>
        <v>0</v>
      </c>
      <c r="H327" s="24" t="s">
        <v>148</v>
      </c>
      <c r="I327" s="24" t="s">
        <v>148</v>
      </c>
      <c r="J327" s="24" t="s">
        <v>148</v>
      </c>
      <c r="K327" s="24" t="s">
        <v>148</v>
      </c>
      <c r="L327" s="24" t="s">
        <v>148</v>
      </c>
    </row>
    <row r="328" customFormat="false" ht="18" hidden="false" customHeight="true" outlineLevel="0" collapsed="false">
      <c r="A328" s="17" t="s">
        <v>84</v>
      </c>
      <c r="B328" s="31" t="s">
        <v>152</v>
      </c>
      <c r="C328" s="19" t="s">
        <v>103</v>
      </c>
      <c r="D328" s="20"/>
      <c r="E328" s="20"/>
      <c r="F328" s="21" t="n">
        <f aca="false">'📋 Matches'!E40</f>
        <v>0</v>
      </c>
      <c r="G328" s="21" t="n">
        <f aca="false">'📋 Matches'!F40</f>
        <v>0</v>
      </c>
      <c r="H328" s="24" t="s">
        <v>148</v>
      </c>
      <c r="I328" s="24" t="s">
        <v>148</v>
      </c>
      <c r="J328" s="24" t="s">
        <v>148</v>
      </c>
      <c r="K328" s="24" t="s">
        <v>148</v>
      </c>
      <c r="L328" s="24" t="s">
        <v>148</v>
      </c>
    </row>
    <row r="329" customFormat="false" ht="18" hidden="false" customHeight="true" outlineLevel="0" collapsed="false">
      <c r="A329" s="17" t="s">
        <v>84</v>
      </c>
      <c r="B329" s="31" t="s">
        <v>152</v>
      </c>
      <c r="C329" s="19" t="s">
        <v>104</v>
      </c>
      <c r="D329" s="20"/>
      <c r="E329" s="20"/>
      <c r="F329" s="21" t="n">
        <f aca="false">'📋 Matches'!E41</f>
        <v>0</v>
      </c>
      <c r="G329" s="21" t="n">
        <f aca="false">'📋 Matches'!F41</f>
        <v>0</v>
      </c>
      <c r="H329" s="24" t="s">
        <v>148</v>
      </c>
      <c r="I329" s="24" t="s">
        <v>148</v>
      </c>
      <c r="J329" s="24" t="s">
        <v>148</v>
      </c>
      <c r="K329" s="24" t="s">
        <v>148</v>
      </c>
      <c r="L329" s="24" t="s">
        <v>148</v>
      </c>
    </row>
    <row r="330" customFormat="false" ht="18" hidden="false" customHeight="true" outlineLevel="0" collapsed="false">
      <c r="A330" s="17" t="s">
        <v>84</v>
      </c>
      <c r="B330" s="31" t="s">
        <v>152</v>
      </c>
      <c r="C330" s="19" t="s">
        <v>105</v>
      </c>
      <c r="D330" s="20"/>
      <c r="E330" s="20"/>
      <c r="F330" s="21" t="n">
        <f aca="false">'📋 Matches'!E42</f>
        <v>0</v>
      </c>
      <c r="G330" s="21" t="n">
        <f aca="false">'📋 Matches'!F42</f>
        <v>0</v>
      </c>
      <c r="H330" s="24" t="s">
        <v>148</v>
      </c>
      <c r="I330" s="24" t="s">
        <v>148</v>
      </c>
      <c r="J330" s="24" t="s">
        <v>148</v>
      </c>
      <c r="K330" s="24" t="s">
        <v>148</v>
      </c>
      <c r="L330" s="24" t="s">
        <v>148</v>
      </c>
    </row>
    <row r="331" customFormat="false" ht="18" hidden="false" customHeight="true" outlineLevel="0" collapsed="false">
      <c r="A331" s="17" t="s">
        <v>84</v>
      </c>
      <c r="B331" s="31" t="s">
        <v>152</v>
      </c>
      <c r="C331" s="19" t="s">
        <v>106</v>
      </c>
      <c r="D331" s="20"/>
      <c r="E331" s="20"/>
      <c r="F331" s="21" t="n">
        <f aca="false">'📋 Matches'!E43</f>
        <v>0</v>
      </c>
      <c r="G331" s="21" t="n">
        <f aca="false">'📋 Matches'!F43</f>
        <v>0</v>
      </c>
      <c r="H331" s="24" t="s">
        <v>148</v>
      </c>
      <c r="I331" s="24" t="s">
        <v>148</v>
      </c>
      <c r="J331" s="24" t="s">
        <v>148</v>
      </c>
      <c r="K331" s="24" t="s">
        <v>148</v>
      </c>
      <c r="L331" s="24" t="s">
        <v>148</v>
      </c>
    </row>
    <row r="332" customFormat="false" ht="18" hidden="false" customHeight="true" outlineLevel="0" collapsed="false">
      <c r="A332" s="17" t="s">
        <v>84</v>
      </c>
      <c r="B332" s="31" t="s">
        <v>152</v>
      </c>
      <c r="C332" s="19" t="s">
        <v>107</v>
      </c>
      <c r="D332" s="20"/>
      <c r="E332" s="20"/>
      <c r="F332" s="21" t="n">
        <f aca="false">'📋 Matches'!E44</f>
        <v>0</v>
      </c>
      <c r="G332" s="21" t="n">
        <f aca="false">'📋 Matches'!F44</f>
        <v>0</v>
      </c>
      <c r="H332" s="24" t="s">
        <v>148</v>
      </c>
      <c r="I332" s="24" t="s">
        <v>148</v>
      </c>
      <c r="J332" s="24" t="s">
        <v>148</v>
      </c>
      <c r="K332" s="24" t="s">
        <v>148</v>
      </c>
      <c r="L332" s="24" t="s">
        <v>148</v>
      </c>
    </row>
    <row r="333" customFormat="false" ht="18" hidden="false" customHeight="true" outlineLevel="0" collapsed="false">
      <c r="A333" s="17" t="s">
        <v>84</v>
      </c>
      <c r="B333" s="31" t="s">
        <v>152</v>
      </c>
      <c r="C333" s="19" t="s">
        <v>108</v>
      </c>
      <c r="D333" s="20"/>
      <c r="E333" s="20"/>
      <c r="F333" s="21" t="n">
        <f aca="false">'📋 Matches'!E45</f>
        <v>0</v>
      </c>
      <c r="G333" s="21" t="n">
        <f aca="false">'📋 Matches'!F45</f>
        <v>0</v>
      </c>
      <c r="H333" s="24" t="s">
        <v>148</v>
      </c>
      <c r="I333" s="24" t="s">
        <v>148</v>
      </c>
      <c r="J333" s="24" t="s">
        <v>148</v>
      </c>
      <c r="K333" s="24" t="s">
        <v>148</v>
      </c>
      <c r="L333" s="24" t="s">
        <v>148</v>
      </c>
    </row>
    <row r="334" customFormat="false" ht="18" hidden="false" customHeight="true" outlineLevel="0" collapsed="false">
      <c r="A334" s="17" t="s">
        <v>84</v>
      </c>
      <c r="B334" s="31" t="s">
        <v>152</v>
      </c>
      <c r="C334" s="19" t="s">
        <v>109</v>
      </c>
      <c r="D334" s="20"/>
      <c r="E334" s="20"/>
      <c r="F334" s="21" t="n">
        <f aca="false">'📋 Matches'!E46</f>
        <v>0</v>
      </c>
      <c r="G334" s="21" t="n">
        <f aca="false">'📋 Matches'!F46</f>
        <v>0</v>
      </c>
      <c r="H334" s="24" t="s">
        <v>148</v>
      </c>
      <c r="I334" s="24" t="s">
        <v>148</v>
      </c>
      <c r="J334" s="24" t="s">
        <v>148</v>
      </c>
      <c r="K334" s="24" t="s">
        <v>148</v>
      </c>
      <c r="L334" s="24" t="s">
        <v>148</v>
      </c>
    </row>
    <row r="335" customFormat="false" ht="18" hidden="false" customHeight="true" outlineLevel="0" collapsed="false">
      <c r="A335" s="17" t="s">
        <v>84</v>
      </c>
      <c r="B335" s="31" t="s">
        <v>152</v>
      </c>
      <c r="C335" s="19" t="s">
        <v>110</v>
      </c>
      <c r="D335" s="20"/>
      <c r="E335" s="20"/>
      <c r="F335" s="21" t="n">
        <f aca="false">'📋 Matches'!E47</f>
        <v>0</v>
      </c>
      <c r="G335" s="21" t="n">
        <f aca="false">'📋 Matches'!F47</f>
        <v>0</v>
      </c>
      <c r="H335" s="24" t="s">
        <v>148</v>
      </c>
      <c r="I335" s="24" t="s">
        <v>148</v>
      </c>
      <c r="J335" s="24" t="s">
        <v>148</v>
      </c>
      <c r="K335" s="24" t="s">
        <v>148</v>
      </c>
      <c r="L335" s="24" t="s">
        <v>148</v>
      </c>
    </row>
    <row r="336" customFormat="false" ht="18" hidden="false" customHeight="true" outlineLevel="0" collapsed="false">
      <c r="A336" s="17" t="s">
        <v>84</v>
      </c>
      <c r="B336" s="31" t="s">
        <v>152</v>
      </c>
      <c r="C336" s="19" t="s">
        <v>111</v>
      </c>
      <c r="D336" s="20"/>
      <c r="E336" s="20"/>
      <c r="F336" s="21" t="n">
        <f aca="false">'📋 Matches'!E48</f>
        <v>0</v>
      </c>
      <c r="G336" s="21" t="n">
        <f aca="false">'📋 Matches'!F48</f>
        <v>0</v>
      </c>
      <c r="H336" s="24" t="s">
        <v>148</v>
      </c>
      <c r="I336" s="24" t="s">
        <v>148</v>
      </c>
      <c r="J336" s="24" t="s">
        <v>148</v>
      </c>
      <c r="K336" s="24" t="s">
        <v>148</v>
      </c>
      <c r="L336" s="24" t="s">
        <v>148</v>
      </c>
    </row>
    <row r="337" customFormat="false" ht="18" hidden="false" customHeight="true" outlineLevel="0" collapsed="false">
      <c r="A337" s="17" t="s">
        <v>84</v>
      </c>
      <c r="B337" s="31" t="s">
        <v>152</v>
      </c>
      <c r="C337" s="19" t="s">
        <v>112</v>
      </c>
      <c r="D337" s="20"/>
      <c r="E337" s="20"/>
      <c r="F337" s="21" t="n">
        <f aca="false">'📋 Matches'!E49</f>
        <v>0</v>
      </c>
      <c r="G337" s="21" t="n">
        <f aca="false">'📋 Matches'!F49</f>
        <v>0</v>
      </c>
      <c r="H337" s="24" t="s">
        <v>148</v>
      </c>
      <c r="I337" s="24" t="s">
        <v>148</v>
      </c>
      <c r="J337" s="24" t="s">
        <v>148</v>
      </c>
      <c r="K337" s="24" t="s">
        <v>148</v>
      </c>
      <c r="L337" s="24" t="s">
        <v>148</v>
      </c>
    </row>
    <row r="338" customFormat="false" ht="18" hidden="false" customHeight="true" outlineLevel="0" collapsed="false">
      <c r="A338" s="17" t="s">
        <v>114</v>
      </c>
      <c r="B338" s="31" t="s">
        <v>152</v>
      </c>
      <c r="C338" s="19" t="s">
        <v>115</v>
      </c>
      <c r="D338" s="20"/>
      <c r="E338" s="20"/>
      <c r="F338" s="21" t="n">
        <f aca="false">'📋 Matches'!E50</f>
        <v>0</v>
      </c>
      <c r="G338" s="21" t="n">
        <f aca="false">'📋 Matches'!F50</f>
        <v>0</v>
      </c>
      <c r="H338" s="24" t="s">
        <v>148</v>
      </c>
      <c r="I338" s="24" t="s">
        <v>148</v>
      </c>
      <c r="J338" s="24" t="s">
        <v>148</v>
      </c>
      <c r="K338" s="24" t="s">
        <v>148</v>
      </c>
      <c r="L338" s="24" t="s">
        <v>148</v>
      </c>
    </row>
    <row r="339" customFormat="false" ht="18" hidden="false" customHeight="true" outlineLevel="0" collapsed="false">
      <c r="A339" s="17" t="s">
        <v>114</v>
      </c>
      <c r="B339" s="31" t="s">
        <v>152</v>
      </c>
      <c r="C339" s="19" t="s">
        <v>116</v>
      </c>
      <c r="D339" s="20"/>
      <c r="E339" s="20"/>
      <c r="F339" s="21" t="n">
        <f aca="false">'📋 Matches'!E51</f>
        <v>0</v>
      </c>
      <c r="G339" s="21" t="n">
        <f aca="false">'📋 Matches'!F51</f>
        <v>0</v>
      </c>
      <c r="H339" s="24" t="s">
        <v>148</v>
      </c>
      <c r="I339" s="24" t="s">
        <v>148</v>
      </c>
      <c r="J339" s="24" t="s">
        <v>148</v>
      </c>
      <c r="K339" s="24" t="s">
        <v>148</v>
      </c>
      <c r="L339" s="24" t="s">
        <v>148</v>
      </c>
    </row>
    <row r="340" customFormat="false" ht="18" hidden="false" customHeight="true" outlineLevel="0" collapsed="false">
      <c r="A340" s="17" t="s">
        <v>114</v>
      </c>
      <c r="B340" s="31" t="s">
        <v>152</v>
      </c>
      <c r="C340" s="19" t="s">
        <v>117</v>
      </c>
      <c r="D340" s="20"/>
      <c r="E340" s="20"/>
      <c r="F340" s="21" t="n">
        <f aca="false">'📋 Matches'!E52</f>
        <v>0</v>
      </c>
      <c r="G340" s="21" t="n">
        <f aca="false">'📋 Matches'!F52</f>
        <v>0</v>
      </c>
      <c r="H340" s="24" t="s">
        <v>148</v>
      </c>
      <c r="I340" s="24" t="s">
        <v>148</v>
      </c>
      <c r="J340" s="24" t="s">
        <v>148</v>
      </c>
      <c r="K340" s="24" t="s">
        <v>148</v>
      </c>
      <c r="L340" s="24" t="s">
        <v>148</v>
      </c>
    </row>
    <row r="341" customFormat="false" ht="18" hidden="false" customHeight="true" outlineLevel="0" collapsed="false">
      <c r="A341" s="17" t="s">
        <v>114</v>
      </c>
      <c r="B341" s="31" t="s">
        <v>152</v>
      </c>
      <c r="C341" s="19" t="s">
        <v>118</v>
      </c>
      <c r="D341" s="20"/>
      <c r="E341" s="20"/>
      <c r="F341" s="21" t="n">
        <f aca="false">'📋 Matches'!E53</f>
        <v>0</v>
      </c>
      <c r="G341" s="21" t="n">
        <f aca="false">'📋 Matches'!F53</f>
        <v>0</v>
      </c>
      <c r="H341" s="24" t="s">
        <v>148</v>
      </c>
      <c r="I341" s="24" t="s">
        <v>148</v>
      </c>
      <c r="J341" s="24" t="s">
        <v>148</v>
      </c>
      <c r="K341" s="24" t="s">
        <v>148</v>
      </c>
      <c r="L341" s="24" t="s">
        <v>148</v>
      </c>
    </row>
    <row r="342" customFormat="false" ht="18" hidden="false" customHeight="true" outlineLevel="0" collapsed="false">
      <c r="A342" s="17" t="s">
        <v>114</v>
      </c>
      <c r="B342" s="31" t="s">
        <v>152</v>
      </c>
      <c r="C342" s="19" t="s">
        <v>119</v>
      </c>
      <c r="D342" s="20"/>
      <c r="E342" s="20"/>
      <c r="F342" s="21" t="n">
        <f aca="false">'📋 Matches'!E54</f>
        <v>0</v>
      </c>
      <c r="G342" s="21" t="n">
        <f aca="false">'📋 Matches'!F54</f>
        <v>0</v>
      </c>
      <c r="H342" s="24" t="s">
        <v>148</v>
      </c>
      <c r="I342" s="24" t="s">
        <v>148</v>
      </c>
      <c r="J342" s="24" t="s">
        <v>148</v>
      </c>
      <c r="K342" s="24" t="s">
        <v>148</v>
      </c>
      <c r="L342" s="24" t="s">
        <v>148</v>
      </c>
    </row>
    <row r="343" customFormat="false" ht="18" hidden="false" customHeight="true" outlineLevel="0" collapsed="false">
      <c r="A343" s="17" t="s">
        <v>114</v>
      </c>
      <c r="B343" s="31" t="s">
        <v>152</v>
      </c>
      <c r="C343" s="19" t="s">
        <v>120</v>
      </c>
      <c r="D343" s="20"/>
      <c r="E343" s="20"/>
      <c r="F343" s="21" t="n">
        <f aca="false">'📋 Matches'!E55</f>
        <v>0</v>
      </c>
      <c r="G343" s="21" t="n">
        <f aca="false">'📋 Matches'!F55</f>
        <v>0</v>
      </c>
      <c r="H343" s="24" t="s">
        <v>148</v>
      </c>
      <c r="I343" s="24" t="s">
        <v>148</v>
      </c>
      <c r="J343" s="24" t="s">
        <v>148</v>
      </c>
      <c r="K343" s="24" t="s">
        <v>148</v>
      </c>
      <c r="L343" s="24" t="s">
        <v>148</v>
      </c>
    </row>
    <row r="344" customFormat="false" ht="18" hidden="false" customHeight="true" outlineLevel="0" collapsed="false">
      <c r="A344" s="17" t="s">
        <v>114</v>
      </c>
      <c r="B344" s="31" t="s">
        <v>152</v>
      </c>
      <c r="C344" s="19" t="s">
        <v>121</v>
      </c>
      <c r="D344" s="20"/>
      <c r="E344" s="20"/>
      <c r="F344" s="21" t="n">
        <f aca="false">'📋 Matches'!E56</f>
        <v>0</v>
      </c>
      <c r="G344" s="21" t="n">
        <f aca="false">'📋 Matches'!F56</f>
        <v>0</v>
      </c>
      <c r="H344" s="24" t="s">
        <v>148</v>
      </c>
      <c r="I344" s="24" t="s">
        <v>148</v>
      </c>
      <c r="J344" s="24" t="s">
        <v>148</v>
      </c>
      <c r="K344" s="24" t="s">
        <v>148</v>
      </c>
      <c r="L344" s="24" t="s">
        <v>148</v>
      </c>
    </row>
    <row r="345" customFormat="false" ht="18" hidden="false" customHeight="true" outlineLevel="0" collapsed="false">
      <c r="A345" s="17" t="s">
        <v>114</v>
      </c>
      <c r="B345" s="31" t="s">
        <v>152</v>
      </c>
      <c r="C345" s="19" t="s">
        <v>122</v>
      </c>
      <c r="D345" s="20"/>
      <c r="E345" s="20"/>
      <c r="F345" s="21" t="n">
        <f aca="false">'📋 Matches'!E57</f>
        <v>0</v>
      </c>
      <c r="G345" s="21" t="n">
        <f aca="false">'📋 Matches'!F57</f>
        <v>0</v>
      </c>
      <c r="H345" s="24" t="s">
        <v>148</v>
      </c>
      <c r="I345" s="24" t="s">
        <v>148</v>
      </c>
      <c r="J345" s="24" t="s">
        <v>148</v>
      </c>
      <c r="K345" s="24" t="s">
        <v>148</v>
      </c>
      <c r="L345" s="24" t="s">
        <v>148</v>
      </c>
    </row>
    <row r="346" customFormat="false" ht="18" hidden="false" customHeight="true" outlineLevel="0" collapsed="false">
      <c r="A346" s="17" t="s">
        <v>114</v>
      </c>
      <c r="B346" s="31" t="s">
        <v>152</v>
      </c>
      <c r="C346" s="19" t="s">
        <v>123</v>
      </c>
      <c r="D346" s="20"/>
      <c r="E346" s="20"/>
      <c r="F346" s="21" t="n">
        <f aca="false">'📋 Matches'!E58</f>
        <v>0</v>
      </c>
      <c r="G346" s="21" t="n">
        <f aca="false">'📋 Matches'!F58</f>
        <v>0</v>
      </c>
      <c r="H346" s="24" t="s">
        <v>148</v>
      </c>
      <c r="I346" s="24" t="s">
        <v>148</v>
      </c>
      <c r="J346" s="24" t="s">
        <v>148</v>
      </c>
      <c r="K346" s="24" t="s">
        <v>148</v>
      </c>
      <c r="L346" s="24" t="s">
        <v>148</v>
      </c>
    </row>
    <row r="347" customFormat="false" ht="18" hidden="false" customHeight="true" outlineLevel="0" collapsed="false">
      <c r="A347" s="17" t="s">
        <v>114</v>
      </c>
      <c r="B347" s="31" t="s">
        <v>152</v>
      </c>
      <c r="C347" s="19" t="s">
        <v>124</v>
      </c>
      <c r="D347" s="20"/>
      <c r="E347" s="20"/>
      <c r="F347" s="21" t="n">
        <f aca="false">'📋 Matches'!E59</f>
        <v>0</v>
      </c>
      <c r="G347" s="21" t="n">
        <f aca="false">'📋 Matches'!F59</f>
        <v>0</v>
      </c>
      <c r="H347" s="24" t="s">
        <v>148</v>
      </c>
      <c r="I347" s="24" t="s">
        <v>148</v>
      </c>
      <c r="J347" s="24" t="s">
        <v>148</v>
      </c>
      <c r="K347" s="24" t="s">
        <v>148</v>
      </c>
      <c r="L347" s="24" t="s">
        <v>148</v>
      </c>
    </row>
    <row r="348" customFormat="false" ht="18" hidden="false" customHeight="true" outlineLevel="0" collapsed="false">
      <c r="A348" s="17" t="s">
        <v>114</v>
      </c>
      <c r="B348" s="31" t="s">
        <v>152</v>
      </c>
      <c r="C348" s="19" t="s">
        <v>125</v>
      </c>
      <c r="D348" s="20"/>
      <c r="E348" s="20"/>
      <c r="F348" s="21" t="n">
        <f aca="false">'📋 Matches'!E60</f>
        <v>0</v>
      </c>
      <c r="G348" s="21" t="n">
        <f aca="false">'📋 Matches'!F60</f>
        <v>0</v>
      </c>
      <c r="H348" s="24" t="s">
        <v>148</v>
      </c>
      <c r="I348" s="24" t="s">
        <v>148</v>
      </c>
      <c r="J348" s="24" t="s">
        <v>148</v>
      </c>
      <c r="K348" s="24" t="s">
        <v>148</v>
      </c>
      <c r="L348" s="24" t="s">
        <v>148</v>
      </c>
    </row>
    <row r="349" customFormat="false" ht="18" hidden="false" customHeight="true" outlineLevel="0" collapsed="false">
      <c r="A349" s="17" t="s">
        <v>114</v>
      </c>
      <c r="B349" s="31" t="s">
        <v>152</v>
      </c>
      <c r="C349" s="19" t="s">
        <v>126</v>
      </c>
      <c r="D349" s="20"/>
      <c r="E349" s="20"/>
      <c r="F349" s="21" t="n">
        <f aca="false">'📋 Matches'!E61</f>
        <v>0</v>
      </c>
      <c r="G349" s="21" t="n">
        <f aca="false">'📋 Matches'!F61</f>
        <v>0</v>
      </c>
      <c r="H349" s="24" t="s">
        <v>148</v>
      </c>
      <c r="I349" s="24" t="s">
        <v>148</v>
      </c>
      <c r="J349" s="24" t="s">
        <v>148</v>
      </c>
      <c r="K349" s="24" t="s">
        <v>148</v>
      </c>
      <c r="L349" s="24" t="s">
        <v>148</v>
      </c>
    </row>
    <row r="350" customFormat="false" ht="18" hidden="false" customHeight="true" outlineLevel="0" collapsed="false">
      <c r="A350" s="17" t="s">
        <v>114</v>
      </c>
      <c r="B350" s="31" t="s">
        <v>152</v>
      </c>
      <c r="C350" s="19" t="s">
        <v>127</v>
      </c>
      <c r="D350" s="20"/>
      <c r="E350" s="20"/>
      <c r="F350" s="21" t="n">
        <f aca="false">'📋 Matches'!E62</f>
        <v>0</v>
      </c>
      <c r="G350" s="21" t="n">
        <f aca="false">'📋 Matches'!F62</f>
        <v>0</v>
      </c>
      <c r="H350" s="24" t="s">
        <v>148</v>
      </c>
      <c r="I350" s="24" t="s">
        <v>148</v>
      </c>
      <c r="J350" s="24" t="s">
        <v>148</v>
      </c>
      <c r="K350" s="24" t="s">
        <v>148</v>
      </c>
      <c r="L350" s="24" t="s">
        <v>148</v>
      </c>
    </row>
    <row r="351" customFormat="false" ht="18" hidden="false" customHeight="true" outlineLevel="0" collapsed="false">
      <c r="A351" s="17" t="s">
        <v>114</v>
      </c>
      <c r="B351" s="31" t="s">
        <v>152</v>
      </c>
      <c r="C351" s="19" t="s">
        <v>128</v>
      </c>
      <c r="D351" s="20"/>
      <c r="E351" s="20"/>
      <c r="F351" s="21" t="n">
        <f aca="false">'📋 Matches'!E63</f>
        <v>0</v>
      </c>
      <c r="G351" s="21" t="n">
        <f aca="false">'📋 Matches'!F63</f>
        <v>0</v>
      </c>
      <c r="H351" s="24" t="s">
        <v>148</v>
      </c>
      <c r="I351" s="24" t="s">
        <v>148</v>
      </c>
      <c r="J351" s="24" t="s">
        <v>148</v>
      </c>
      <c r="K351" s="24" t="s">
        <v>148</v>
      </c>
      <c r="L351" s="24" t="s">
        <v>148</v>
      </c>
    </row>
    <row r="352" customFormat="false" ht="18" hidden="false" customHeight="true" outlineLevel="0" collapsed="false">
      <c r="A352" s="17" t="s">
        <v>114</v>
      </c>
      <c r="B352" s="31" t="s">
        <v>152</v>
      </c>
      <c r="C352" s="19" t="s">
        <v>129</v>
      </c>
      <c r="D352" s="20"/>
      <c r="E352" s="20"/>
      <c r="F352" s="21" t="n">
        <f aca="false">'📋 Matches'!E64</f>
        <v>0</v>
      </c>
      <c r="G352" s="21" t="n">
        <f aca="false">'📋 Matches'!F64</f>
        <v>0</v>
      </c>
      <c r="H352" s="24" t="s">
        <v>148</v>
      </c>
      <c r="I352" s="24" t="s">
        <v>148</v>
      </c>
      <c r="J352" s="24" t="s">
        <v>148</v>
      </c>
      <c r="K352" s="24" t="s">
        <v>148</v>
      </c>
      <c r="L352" s="24" t="s">
        <v>148</v>
      </c>
    </row>
    <row r="353" customFormat="false" ht="18" hidden="false" customHeight="true" outlineLevel="0" collapsed="false">
      <c r="A353" s="17" t="s">
        <v>114</v>
      </c>
      <c r="B353" s="31" t="s">
        <v>152</v>
      </c>
      <c r="C353" s="19" t="s">
        <v>130</v>
      </c>
      <c r="D353" s="20"/>
      <c r="E353" s="20"/>
      <c r="F353" s="21" t="n">
        <f aca="false">'📋 Matches'!E65</f>
        <v>0</v>
      </c>
      <c r="G353" s="21" t="n">
        <f aca="false">'📋 Matches'!F65</f>
        <v>0</v>
      </c>
      <c r="H353" s="24" t="s">
        <v>148</v>
      </c>
      <c r="I353" s="24" t="s">
        <v>148</v>
      </c>
      <c r="J353" s="24" t="s">
        <v>148</v>
      </c>
      <c r="K353" s="24" t="s">
        <v>148</v>
      </c>
      <c r="L353" s="24" t="s">
        <v>148</v>
      </c>
    </row>
    <row r="354" customFormat="false" ht="18" hidden="false" customHeight="true" outlineLevel="0" collapsed="false">
      <c r="A354" s="17" t="s">
        <v>114</v>
      </c>
      <c r="B354" s="31" t="s">
        <v>152</v>
      </c>
      <c r="C354" s="19" t="s">
        <v>131</v>
      </c>
      <c r="D354" s="20"/>
      <c r="E354" s="20"/>
      <c r="F354" s="21" t="n">
        <f aca="false">'📋 Matches'!E66</f>
        <v>0</v>
      </c>
      <c r="G354" s="21" t="n">
        <f aca="false">'📋 Matches'!F66</f>
        <v>0</v>
      </c>
      <c r="H354" s="24" t="s">
        <v>148</v>
      </c>
      <c r="I354" s="24" t="s">
        <v>148</v>
      </c>
      <c r="J354" s="24" t="s">
        <v>148</v>
      </c>
      <c r="K354" s="24" t="s">
        <v>148</v>
      </c>
      <c r="L354" s="24" t="s">
        <v>148</v>
      </c>
    </row>
    <row r="355" customFormat="false" ht="18" hidden="false" customHeight="true" outlineLevel="0" collapsed="false">
      <c r="A355" s="17" t="s">
        <v>114</v>
      </c>
      <c r="B355" s="31" t="s">
        <v>152</v>
      </c>
      <c r="C355" s="19" t="s">
        <v>132</v>
      </c>
      <c r="D355" s="20"/>
      <c r="E355" s="20"/>
      <c r="F355" s="21" t="n">
        <f aca="false">'📋 Matches'!E67</f>
        <v>0</v>
      </c>
      <c r="G355" s="21" t="n">
        <f aca="false">'📋 Matches'!F67</f>
        <v>0</v>
      </c>
      <c r="H355" s="24" t="s">
        <v>148</v>
      </c>
      <c r="I355" s="24" t="s">
        <v>148</v>
      </c>
      <c r="J355" s="24" t="s">
        <v>148</v>
      </c>
      <c r="K355" s="24" t="s">
        <v>148</v>
      </c>
      <c r="L355" s="24" t="s">
        <v>148</v>
      </c>
    </row>
    <row r="356" customFormat="false" ht="18" hidden="false" customHeight="true" outlineLevel="0" collapsed="false">
      <c r="A356" s="17" t="s">
        <v>114</v>
      </c>
      <c r="B356" s="31" t="s">
        <v>152</v>
      </c>
      <c r="C356" s="19" t="s">
        <v>133</v>
      </c>
      <c r="D356" s="20"/>
      <c r="E356" s="20"/>
      <c r="F356" s="21" t="n">
        <f aca="false">'📋 Matches'!E68</f>
        <v>0</v>
      </c>
      <c r="G356" s="21" t="n">
        <f aca="false">'📋 Matches'!F68</f>
        <v>0</v>
      </c>
      <c r="H356" s="24" t="s">
        <v>148</v>
      </c>
      <c r="I356" s="24" t="s">
        <v>148</v>
      </c>
      <c r="J356" s="24" t="s">
        <v>148</v>
      </c>
      <c r="K356" s="24" t="s">
        <v>148</v>
      </c>
      <c r="L356" s="24" t="s">
        <v>148</v>
      </c>
    </row>
    <row r="357" customFormat="false" ht="18" hidden="false" customHeight="true" outlineLevel="0" collapsed="false">
      <c r="A357" s="17" t="s">
        <v>114</v>
      </c>
      <c r="B357" s="31" t="s">
        <v>152</v>
      </c>
      <c r="C357" s="19" t="s">
        <v>134</v>
      </c>
      <c r="D357" s="20"/>
      <c r="E357" s="20"/>
      <c r="F357" s="21" t="n">
        <f aca="false">'📋 Matches'!E69</f>
        <v>0</v>
      </c>
      <c r="G357" s="21" t="n">
        <f aca="false">'📋 Matches'!F69</f>
        <v>0</v>
      </c>
      <c r="H357" s="24" t="s">
        <v>148</v>
      </c>
      <c r="I357" s="24" t="s">
        <v>148</v>
      </c>
      <c r="J357" s="24" t="s">
        <v>148</v>
      </c>
      <c r="K357" s="24" t="s">
        <v>148</v>
      </c>
      <c r="L357" s="24" t="s">
        <v>148</v>
      </c>
    </row>
    <row r="358" customFormat="false" ht="18" hidden="false" customHeight="true" outlineLevel="0" collapsed="false">
      <c r="A358" s="17" t="s">
        <v>114</v>
      </c>
      <c r="B358" s="31" t="s">
        <v>152</v>
      </c>
      <c r="C358" s="19" t="s">
        <v>135</v>
      </c>
      <c r="D358" s="20"/>
      <c r="E358" s="20"/>
      <c r="F358" s="21" t="n">
        <f aca="false">'📋 Matches'!E70</f>
        <v>0</v>
      </c>
      <c r="G358" s="21" t="n">
        <f aca="false">'📋 Matches'!F70</f>
        <v>0</v>
      </c>
      <c r="H358" s="24" t="s">
        <v>148</v>
      </c>
      <c r="I358" s="24" t="s">
        <v>148</v>
      </c>
      <c r="J358" s="24" t="s">
        <v>148</v>
      </c>
      <c r="K358" s="24" t="s">
        <v>148</v>
      </c>
      <c r="L358" s="24" t="s">
        <v>148</v>
      </c>
    </row>
    <row r="359" customFormat="false" ht="18" hidden="false" customHeight="true" outlineLevel="0" collapsed="false">
      <c r="A359" s="17" t="s">
        <v>114</v>
      </c>
      <c r="B359" s="31" t="s">
        <v>152</v>
      </c>
      <c r="C359" s="19" t="s">
        <v>136</v>
      </c>
      <c r="D359" s="20"/>
      <c r="E359" s="20"/>
      <c r="F359" s="21" t="n">
        <f aca="false">'📋 Matches'!E71</f>
        <v>0</v>
      </c>
      <c r="G359" s="21" t="n">
        <f aca="false">'📋 Matches'!F71</f>
        <v>0</v>
      </c>
      <c r="H359" s="24" t="s">
        <v>148</v>
      </c>
      <c r="I359" s="24" t="s">
        <v>148</v>
      </c>
      <c r="J359" s="24" t="s">
        <v>148</v>
      </c>
      <c r="K359" s="24" t="s">
        <v>148</v>
      </c>
      <c r="L359" s="24" t="s">
        <v>148</v>
      </c>
    </row>
    <row r="360" customFormat="false" ht="18" hidden="false" customHeight="true" outlineLevel="0" collapsed="false">
      <c r="A360" s="17" t="s">
        <v>114</v>
      </c>
      <c r="B360" s="31" t="s">
        <v>152</v>
      </c>
      <c r="C360" s="19" t="s">
        <v>137</v>
      </c>
      <c r="D360" s="20"/>
      <c r="E360" s="20"/>
      <c r="F360" s="21" t="n">
        <f aca="false">'📋 Matches'!E72</f>
        <v>0</v>
      </c>
      <c r="G360" s="21" t="n">
        <f aca="false">'📋 Matches'!F72</f>
        <v>0</v>
      </c>
      <c r="H360" s="24" t="s">
        <v>148</v>
      </c>
      <c r="I360" s="24" t="s">
        <v>148</v>
      </c>
      <c r="J360" s="24" t="s">
        <v>148</v>
      </c>
      <c r="K360" s="24" t="s">
        <v>148</v>
      </c>
      <c r="L360" s="24" t="s">
        <v>148</v>
      </c>
    </row>
    <row r="361" customFormat="false" ht="18" hidden="false" customHeight="true" outlineLevel="0" collapsed="false">
      <c r="A361" s="17" t="s">
        <v>114</v>
      </c>
      <c r="B361" s="31" t="s">
        <v>152</v>
      </c>
      <c r="C361" s="19" t="s">
        <v>138</v>
      </c>
      <c r="D361" s="20"/>
      <c r="E361" s="20"/>
      <c r="F361" s="21" t="n">
        <f aca="false">'📋 Matches'!E73</f>
        <v>0</v>
      </c>
      <c r="G361" s="21" t="n">
        <f aca="false">'📋 Matches'!F73</f>
        <v>0</v>
      </c>
      <c r="H361" s="24" t="s">
        <v>148</v>
      </c>
      <c r="I361" s="24" t="s">
        <v>148</v>
      </c>
      <c r="J361" s="24" t="s">
        <v>148</v>
      </c>
      <c r="K361" s="24" t="s">
        <v>148</v>
      </c>
      <c r="L361" s="24" t="s">
        <v>148</v>
      </c>
    </row>
    <row r="362" customFormat="false" ht="18" hidden="false" customHeight="true" outlineLevel="0" collapsed="false">
      <c r="A362" s="25" t="s">
        <v>9</v>
      </c>
      <c r="B362" s="26" t="s">
        <v>153</v>
      </c>
      <c r="C362" s="27" t="s">
        <v>10</v>
      </c>
      <c r="D362" s="28" t="n">
        <v>2</v>
      </c>
      <c r="E362" s="28" t="n">
        <v>1</v>
      </c>
      <c r="F362" s="29" t="n">
        <f aca="false">'📋 Matches'!E2</f>
        <v>2</v>
      </c>
      <c r="G362" s="29" t="n">
        <f aca="false">'📋 Matches'!F2</f>
        <v>0</v>
      </c>
      <c r="H362" s="22" t="n">
        <f aca="false">IF(AND(ISNUMBER(F362),ISNUMBER(G362)),IF(SIGN(D362-E362)=SIGN(F362-G362),48,0),"")</f>
        <v>48</v>
      </c>
      <c r="I362" s="22" t="n">
        <f aca="false">IF(AND(ISNUMBER(F362),ISNUMBER(G362)),IF(D362=F362,15,0),"")</f>
        <v>15</v>
      </c>
      <c r="J362" s="22" t="n">
        <f aca="false">IF(AND(ISNUMBER(F362),ISNUMBER(G362)),IF(E362=G362,15,0),"")</f>
        <v>0</v>
      </c>
      <c r="K362" s="22" t="n">
        <f aca="false">IF(AND(ISNUMBER(F362),ISNUMBER(G362)),IF(ABS(D362-E362)=ABS(F362-G362),12,0),"")</f>
        <v>0</v>
      </c>
      <c r="L362" s="23" t="n">
        <f aca="false">IF(ISNUMBER(H362),H362+I362+J362+K362,"")</f>
        <v>63</v>
      </c>
    </row>
    <row r="363" customFormat="false" ht="18" hidden="false" customHeight="true" outlineLevel="0" collapsed="false">
      <c r="A363" s="25" t="s">
        <v>9</v>
      </c>
      <c r="B363" s="26" t="s">
        <v>153</v>
      </c>
      <c r="C363" s="27" t="s">
        <v>14</v>
      </c>
      <c r="D363" s="28" t="n">
        <v>0</v>
      </c>
      <c r="E363" s="28" t="n">
        <v>2</v>
      </c>
      <c r="F363" s="29" t="n">
        <f aca="false">'📋 Matches'!E3</f>
        <v>2</v>
      </c>
      <c r="G363" s="29" t="n">
        <f aca="false">'📋 Matches'!F3</f>
        <v>1</v>
      </c>
      <c r="H363" s="22" t="n">
        <f aca="false">IF(AND(ISNUMBER(F363),ISNUMBER(G363)),IF(SIGN(D363-E363)=SIGN(F363-G363),48,0),"")</f>
        <v>0</v>
      </c>
      <c r="I363" s="22" t="n">
        <f aca="false">IF(AND(ISNUMBER(F363),ISNUMBER(G363)),IF(D363=F363,15,0),"")</f>
        <v>0</v>
      </c>
      <c r="J363" s="22" t="n">
        <f aca="false">IF(AND(ISNUMBER(F363),ISNUMBER(G363)),IF(E363=G363,15,0),"")</f>
        <v>0</v>
      </c>
      <c r="K363" s="22" t="n">
        <f aca="false">IF(AND(ISNUMBER(F363),ISNUMBER(G363)),IF(ABS(D363-E363)=ABS(F363-G363),12,0),"")</f>
        <v>0</v>
      </c>
      <c r="L363" s="23" t="n">
        <f aca="false">IF(ISNUMBER(H363),H363+I363+J363+K363,"")</f>
        <v>0</v>
      </c>
    </row>
    <row r="364" customFormat="false" ht="18" hidden="false" customHeight="true" outlineLevel="0" collapsed="false">
      <c r="A364" s="25" t="s">
        <v>9</v>
      </c>
      <c r="B364" s="26" t="s">
        <v>153</v>
      </c>
      <c r="C364" s="27" t="s">
        <v>17</v>
      </c>
      <c r="D364" s="28" t="n">
        <v>1</v>
      </c>
      <c r="E364" s="28" t="n">
        <v>1</v>
      </c>
      <c r="F364" s="29" t="n">
        <f aca="false">'📋 Matches'!E4</f>
        <v>1</v>
      </c>
      <c r="G364" s="29" t="n">
        <f aca="false">'📋 Matches'!F4</f>
        <v>1</v>
      </c>
      <c r="H364" s="22" t="n">
        <f aca="false">IF(AND(ISNUMBER(F364),ISNUMBER(G364)),IF(SIGN(D364-E364)=SIGN(F364-G364),48,0),"")</f>
        <v>48</v>
      </c>
      <c r="I364" s="22" t="n">
        <f aca="false">IF(AND(ISNUMBER(F364),ISNUMBER(G364)),IF(D364=F364,15,0),"")</f>
        <v>15</v>
      </c>
      <c r="J364" s="22" t="n">
        <f aca="false">IF(AND(ISNUMBER(F364),ISNUMBER(G364)),IF(E364=G364,15,0),"")</f>
        <v>15</v>
      </c>
      <c r="K364" s="22" t="n">
        <f aca="false">IF(AND(ISNUMBER(F364),ISNUMBER(G364)),IF(ABS(D364-E364)=ABS(F364-G364),12,0),"")</f>
        <v>12</v>
      </c>
      <c r="L364" s="23" t="n">
        <f aca="false">IF(ISNUMBER(H364),H364+I364+J364+K364,"")</f>
        <v>90</v>
      </c>
    </row>
    <row r="365" customFormat="false" ht="18" hidden="false" customHeight="true" outlineLevel="0" collapsed="false">
      <c r="A365" s="25" t="s">
        <v>9</v>
      </c>
      <c r="B365" s="26" t="s">
        <v>153</v>
      </c>
      <c r="C365" s="27" t="s">
        <v>20</v>
      </c>
      <c r="D365" s="28" t="n">
        <v>1</v>
      </c>
      <c r="E365" s="28" t="n">
        <v>3</v>
      </c>
      <c r="F365" s="29" t="n">
        <f aca="false">'📋 Matches'!E5</f>
        <v>4</v>
      </c>
      <c r="G365" s="29" t="n">
        <f aca="false">'📋 Matches'!F5</f>
        <v>1</v>
      </c>
      <c r="H365" s="22" t="n">
        <f aca="false">IF(AND(ISNUMBER(F365),ISNUMBER(G365)),IF(SIGN(D365-E365)=SIGN(F365-G365),48,0),"")</f>
        <v>0</v>
      </c>
      <c r="I365" s="22" t="n">
        <f aca="false">IF(AND(ISNUMBER(F365),ISNUMBER(G365)),IF(D365=F365,15,0),"")</f>
        <v>0</v>
      </c>
      <c r="J365" s="22" t="n">
        <f aca="false">IF(AND(ISNUMBER(F365),ISNUMBER(G365)),IF(E365=G365,15,0),"")</f>
        <v>0</v>
      </c>
      <c r="K365" s="22" t="n">
        <f aca="false">IF(AND(ISNUMBER(F365),ISNUMBER(G365)),IF(ABS(D365-E365)=ABS(F365-G365),12,0),"")</f>
        <v>0</v>
      </c>
      <c r="L365" s="23" t="n">
        <f aca="false">IF(ISNUMBER(H365),H365+I365+J365+K365,"")</f>
        <v>0</v>
      </c>
    </row>
    <row r="366" customFormat="false" ht="18" hidden="false" customHeight="true" outlineLevel="0" collapsed="false">
      <c r="A366" s="25" t="s">
        <v>9</v>
      </c>
      <c r="B366" s="26" t="s">
        <v>153</v>
      </c>
      <c r="C366" s="27" t="s">
        <v>23</v>
      </c>
      <c r="D366" s="28" t="n">
        <v>0</v>
      </c>
      <c r="E366" s="28" t="n">
        <v>4</v>
      </c>
      <c r="F366" s="29" t="n">
        <f aca="false">'📋 Matches'!E6</f>
        <v>0</v>
      </c>
      <c r="G366" s="29" t="n">
        <f aca="false">'📋 Matches'!F6</f>
        <v>0</v>
      </c>
      <c r="H366" s="22" t="str">
        <f aca="false">IF(AND(ISNUMBER(F366),ISNUMBER(G366)),IF(SIGN(D366-E366)=SIGN(F366-G366),48,0),"")</f>
        <v/>
      </c>
      <c r="I366" s="22" t="str">
        <f aca="false">IF(AND(ISNUMBER(F366),ISNUMBER(G366)),IF(D366=F366,15,0),"")</f>
        <v/>
      </c>
      <c r="J366" s="22" t="str">
        <f aca="false">IF(AND(ISNUMBER(F366),ISNUMBER(G366)),IF(E366=G366,15,0),"")</f>
        <v/>
      </c>
      <c r="K366" s="22" t="str">
        <f aca="false">IF(AND(ISNUMBER(F366),ISNUMBER(G366)),IF(ABS(D366-E366)=ABS(F366-G366),12,0),"")</f>
        <v/>
      </c>
      <c r="L366" s="23" t="str">
        <f aca="false">IF(ISNUMBER(H366),H366+I366+J366+K366,"")</f>
        <v/>
      </c>
    </row>
    <row r="367" customFormat="false" ht="18" hidden="false" customHeight="true" outlineLevel="0" collapsed="false">
      <c r="A367" s="25" t="s">
        <v>9</v>
      </c>
      <c r="B367" s="26" t="s">
        <v>153</v>
      </c>
      <c r="C367" s="27" t="s">
        <v>27</v>
      </c>
      <c r="D367" s="28" t="n">
        <v>3</v>
      </c>
      <c r="E367" s="28" t="n">
        <v>1</v>
      </c>
      <c r="F367" s="29" t="n">
        <f aca="false">'📋 Matches'!E7</f>
        <v>0</v>
      </c>
      <c r="G367" s="29" t="n">
        <f aca="false">'📋 Matches'!F7</f>
        <v>0</v>
      </c>
      <c r="H367" s="22" t="str">
        <f aca="false">IF(AND(ISNUMBER(F367),ISNUMBER(G367)),IF(SIGN(D367-E367)=SIGN(F367-G367),48,0),"")</f>
        <v/>
      </c>
      <c r="I367" s="22" t="str">
        <f aca="false">IF(AND(ISNUMBER(F367),ISNUMBER(G367)),IF(D367=F367,15,0),"")</f>
        <v/>
      </c>
      <c r="J367" s="22" t="str">
        <f aca="false">IF(AND(ISNUMBER(F367),ISNUMBER(G367)),IF(E367=G367,15,0),"")</f>
        <v/>
      </c>
      <c r="K367" s="22" t="str">
        <f aca="false">IF(AND(ISNUMBER(F367),ISNUMBER(G367)),IF(ABS(D367-E367)=ABS(F367-G367),12,0),"")</f>
        <v/>
      </c>
      <c r="L367" s="23" t="str">
        <f aca="false">IF(ISNUMBER(H367),H367+I367+J367+K367,"")</f>
        <v/>
      </c>
    </row>
    <row r="368" customFormat="false" ht="18" hidden="false" customHeight="true" outlineLevel="0" collapsed="false">
      <c r="A368" s="25" t="s">
        <v>9</v>
      </c>
      <c r="B368" s="26" t="s">
        <v>153</v>
      </c>
      <c r="C368" s="27" t="s">
        <v>30</v>
      </c>
      <c r="D368" s="28" t="n">
        <v>1</v>
      </c>
      <c r="E368" s="28" t="n">
        <v>1</v>
      </c>
      <c r="F368" s="29" t="n">
        <f aca="false">'📋 Matches'!E8</f>
        <v>0</v>
      </c>
      <c r="G368" s="29" t="n">
        <f aca="false">'📋 Matches'!F8</f>
        <v>0</v>
      </c>
      <c r="H368" s="22" t="str">
        <f aca="false">IF(AND(ISNUMBER(F368),ISNUMBER(G368)),IF(SIGN(D368-E368)=SIGN(F368-G368),48,0),"")</f>
        <v/>
      </c>
      <c r="I368" s="22" t="str">
        <f aca="false">IF(AND(ISNUMBER(F368),ISNUMBER(G368)),IF(D368=F368,15,0),"")</f>
        <v/>
      </c>
      <c r="J368" s="22" t="str">
        <f aca="false">IF(AND(ISNUMBER(F368),ISNUMBER(G368)),IF(E368=G368,15,0),"")</f>
        <v/>
      </c>
      <c r="K368" s="22" t="str">
        <f aca="false">IF(AND(ISNUMBER(F368),ISNUMBER(G368)),IF(ABS(D368-E368)=ABS(F368-G368),12,0),"")</f>
        <v/>
      </c>
      <c r="L368" s="23" t="str">
        <f aca="false">IF(ISNUMBER(H368),H368+I368+J368+K368,"")</f>
        <v/>
      </c>
    </row>
    <row r="369" customFormat="false" ht="18" hidden="false" customHeight="true" outlineLevel="0" collapsed="false">
      <c r="A369" s="25" t="s">
        <v>9</v>
      </c>
      <c r="B369" s="26" t="s">
        <v>153</v>
      </c>
      <c r="C369" s="27" t="s">
        <v>33</v>
      </c>
      <c r="D369" s="28" t="n">
        <v>0</v>
      </c>
      <c r="E369" s="28" t="n">
        <v>2</v>
      </c>
      <c r="F369" s="29" t="n">
        <f aca="false">'📋 Matches'!E9</f>
        <v>0</v>
      </c>
      <c r="G369" s="29" t="n">
        <f aca="false">'📋 Matches'!F9</f>
        <v>0</v>
      </c>
      <c r="H369" s="22" t="str">
        <f aca="false">IF(AND(ISNUMBER(F369),ISNUMBER(G369)),IF(SIGN(D369-E369)=SIGN(F369-G369),48,0),"")</f>
        <v/>
      </c>
      <c r="I369" s="22" t="str">
        <f aca="false">IF(AND(ISNUMBER(F369),ISNUMBER(G369)),IF(D369=F369,15,0),"")</f>
        <v/>
      </c>
      <c r="J369" s="22" t="str">
        <f aca="false">IF(AND(ISNUMBER(F369),ISNUMBER(G369)),IF(E369=G369,15,0),"")</f>
        <v/>
      </c>
      <c r="K369" s="22" t="str">
        <f aca="false">IF(AND(ISNUMBER(F369),ISNUMBER(G369)),IF(ABS(D369-E369)=ABS(F369-G369),12,0),"")</f>
        <v/>
      </c>
      <c r="L369" s="23" t="str">
        <f aca="false">IF(ISNUMBER(H369),H369+I369+J369+K369,"")</f>
        <v/>
      </c>
    </row>
    <row r="370" customFormat="false" ht="18" hidden="false" customHeight="true" outlineLevel="0" collapsed="false">
      <c r="A370" s="25" t="s">
        <v>9</v>
      </c>
      <c r="B370" s="26" t="s">
        <v>153</v>
      </c>
      <c r="C370" s="27" t="s">
        <v>36</v>
      </c>
      <c r="D370" s="28" t="n">
        <v>3</v>
      </c>
      <c r="E370" s="28" t="n">
        <v>0</v>
      </c>
      <c r="F370" s="29" t="n">
        <f aca="false">'📋 Matches'!E10</f>
        <v>0</v>
      </c>
      <c r="G370" s="29" t="n">
        <f aca="false">'📋 Matches'!F10</f>
        <v>0</v>
      </c>
      <c r="H370" s="22" t="str">
        <f aca="false">IF(AND(ISNUMBER(F370),ISNUMBER(G370)),IF(SIGN(D370-E370)=SIGN(F370-G370),48,0),"")</f>
        <v/>
      </c>
      <c r="I370" s="22" t="str">
        <f aca="false">IF(AND(ISNUMBER(F370),ISNUMBER(G370)),IF(D370=F370,15,0),"")</f>
        <v/>
      </c>
      <c r="J370" s="22" t="str">
        <f aca="false">IF(AND(ISNUMBER(F370),ISNUMBER(G370)),IF(E370=G370,15,0),"")</f>
        <v/>
      </c>
      <c r="K370" s="22" t="str">
        <f aca="false">IF(AND(ISNUMBER(F370),ISNUMBER(G370)),IF(ABS(D370-E370)=ABS(F370-G370),12,0),"")</f>
        <v/>
      </c>
      <c r="L370" s="23" t="str">
        <f aca="false">IF(ISNUMBER(H370),H370+I370+J370+K370,"")</f>
        <v/>
      </c>
    </row>
    <row r="371" customFormat="false" ht="18" hidden="false" customHeight="true" outlineLevel="0" collapsed="false">
      <c r="A371" s="25" t="s">
        <v>9</v>
      </c>
      <c r="B371" s="26" t="s">
        <v>153</v>
      </c>
      <c r="C371" s="27" t="s">
        <v>39</v>
      </c>
      <c r="D371" s="28" t="n">
        <v>2</v>
      </c>
      <c r="E371" s="28" t="n">
        <v>0</v>
      </c>
      <c r="F371" s="29" t="n">
        <f aca="false">'📋 Matches'!E11</f>
        <v>0</v>
      </c>
      <c r="G371" s="29" t="n">
        <f aca="false">'📋 Matches'!F11</f>
        <v>0</v>
      </c>
      <c r="H371" s="22" t="str">
        <f aca="false">IF(AND(ISNUMBER(F371),ISNUMBER(G371)),IF(SIGN(D371-E371)=SIGN(F371-G371),48,0),"")</f>
        <v/>
      </c>
      <c r="I371" s="22" t="str">
        <f aca="false">IF(AND(ISNUMBER(F371),ISNUMBER(G371)),IF(D371=F371,15,0),"")</f>
        <v/>
      </c>
      <c r="J371" s="22" t="str">
        <f aca="false">IF(AND(ISNUMBER(F371),ISNUMBER(G371)),IF(E371=G371,15,0),"")</f>
        <v/>
      </c>
      <c r="K371" s="22" t="str">
        <f aca="false">IF(AND(ISNUMBER(F371),ISNUMBER(G371)),IF(ABS(D371-E371)=ABS(F371-G371),12,0),"")</f>
        <v/>
      </c>
      <c r="L371" s="23" t="str">
        <f aca="false">IF(ISNUMBER(H371),H371+I371+J371+K371,"")</f>
        <v/>
      </c>
    </row>
    <row r="372" customFormat="false" ht="18" hidden="false" customHeight="true" outlineLevel="0" collapsed="false">
      <c r="A372" s="25" t="s">
        <v>9</v>
      </c>
      <c r="B372" s="26" t="s">
        <v>153</v>
      </c>
      <c r="C372" s="27" t="s">
        <v>42</v>
      </c>
      <c r="D372" s="28" t="n">
        <v>1</v>
      </c>
      <c r="E372" s="28" t="n">
        <v>2</v>
      </c>
      <c r="F372" s="29" t="n">
        <f aca="false">'📋 Matches'!E12</f>
        <v>0</v>
      </c>
      <c r="G372" s="29" t="n">
        <f aca="false">'📋 Matches'!F12</f>
        <v>0</v>
      </c>
      <c r="H372" s="22" t="str">
        <f aca="false">IF(AND(ISNUMBER(F372),ISNUMBER(G372)),IF(SIGN(D372-E372)=SIGN(F372-G372),48,0),"")</f>
        <v/>
      </c>
      <c r="I372" s="22" t="str">
        <f aca="false">IF(AND(ISNUMBER(F372),ISNUMBER(G372)),IF(D372=F372,15,0),"")</f>
        <v/>
      </c>
      <c r="J372" s="22" t="str">
        <f aca="false">IF(AND(ISNUMBER(F372),ISNUMBER(G372)),IF(E372=G372,15,0),"")</f>
        <v/>
      </c>
      <c r="K372" s="22" t="str">
        <f aca="false">IF(AND(ISNUMBER(F372),ISNUMBER(G372)),IF(ABS(D372-E372)=ABS(F372-G372),12,0),"")</f>
        <v/>
      </c>
      <c r="L372" s="23" t="str">
        <f aca="false">IF(ISNUMBER(H372),H372+I372+J372+K372,"")</f>
        <v/>
      </c>
    </row>
    <row r="373" customFormat="false" ht="18" hidden="false" customHeight="true" outlineLevel="0" collapsed="false">
      <c r="A373" s="25" t="s">
        <v>9</v>
      </c>
      <c r="B373" s="26" t="s">
        <v>153</v>
      </c>
      <c r="C373" s="27" t="s">
        <v>45</v>
      </c>
      <c r="D373" s="28" t="n">
        <v>3</v>
      </c>
      <c r="E373" s="28" t="n">
        <v>1</v>
      </c>
      <c r="F373" s="29" t="n">
        <f aca="false">'📋 Matches'!E13</f>
        <v>0</v>
      </c>
      <c r="G373" s="29" t="n">
        <f aca="false">'📋 Matches'!F13</f>
        <v>0</v>
      </c>
      <c r="H373" s="22" t="str">
        <f aca="false">IF(AND(ISNUMBER(F373),ISNUMBER(G373)),IF(SIGN(D373-E373)=SIGN(F373-G373),48,0),"")</f>
        <v/>
      </c>
      <c r="I373" s="22" t="str">
        <f aca="false">IF(AND(ISNUMBER(F373),ISNUMBER(G373)),IF(D373=F373,15,0),"")</f>
        <v/>
      </c>
      <c r="J373" s="22" t="str">
        <f aca="false">IF(AND(ISNUMBER(F373),ISNUMBER(G373)),IF(E373=G373,15,0),"")</f>
        <v/>
      </c>
      <c r="K373" s="22" t="str">
        <f aca="false">IF(AND(ISNUMBER(F373),ISNUMBER(G373)),IF(ABS(D373-E373)=ABS(F373-G373),12,0),"")</f>
        <v/>
      </c>
      <c r="L373" s="23" t="str">
        <f aca="false">IF(ISNUMBER(H373),H373+I373+J373+K373,"")</f>
        <v/>
      </c>
    </row>
    <row r="374" customFormat="false" ht="18" hidden="false" customHeight="true" outlineLevel="0" collapsed="false">
      <c r="A374" s="25" t="s">
        <v>9</v>
      </c>
      <c r="B374" s="26" t="s">
        <v>153</v>
      </c>
      <c r="C374" s="27" t="s">
        <v>48</v>
      </c>
      <c r="D374" s="28" t="n">
        <v>5</v>
      </c>
      <c r="E374" s="28" t="n">
        <v>0</v>
      </c>
      <c r="F374" s="29" t="n">
        <f aca="false">'📋 Matches'!E14</f>
        <v>0</v>
      </c>
      <c r="G374" s="29" t="n">
        <f aca="false">'📋 Matches'!F14</f>
        <v>0</v>
      </c>
      <c r="H374" s="22" t="str">
        <f aca="false">IF(AND(ISNUMBER(F374),ISNUMBER(G374)),IF(SIGN(D374-E374)=SIGN(F374-G374),48,0),"")</f>
        <v/>
      </c>
      <c r="I374" s="22" t="str">
        <f aca="false">IF(AND(ISNUMBER(F374),ISNUMBER(G374)),IF(D374=F374,15,0),"")</f>
        <v/>
      </c>
      <c r="J374" s="22" t="str">
        <f aca="false">IF(AND(ISNUMBER(F374),ISNUMBER(G374)),IF(E374=G374,15,0),"")</f>
        <v/>
      </c>
      <c r="K374" s="22" t="str">
        <f aca="false">IF(AND(ISNUMBER(F374),ISNUMBER(G374)),IF(ABS(D374-E374)=ABS(F374-G374),12,0),"")</f>
        <v/>
      </c>
      <c r="L374" s="23" t="str">
        <f aca="false">IF(ISNUMBER(H374),H374+I374+J374+K374,"")</f>
        <v/>
      </c>
    </row>
    <row r="375" customFormat="false" ht="18" hidden="false" customHeight="true" outlineLevel="0" collapsed="false">
      <c r="A375" s="25" t="s">
        <v>9</v>
      </c>
      <c r="B375" s="26" t="s">
        <v>153</v>
      </c>
      <c r="C375" s="27" t="s">
        <v>51</v>
      </c>
      <c r="D375" s="28" t="n">
        <v>3</v>
      </c>
      <c r="E375" s="28" t="n">
        <v>0</v>
      </c>
      <c r="F375" s="29" t="n">
        <f aca="false">'📋 Matches'!E15</f>
        <v>0</v>
      </c>
      <c r="G375" s="29" t="n">
        <f aca="false">'📋 Matches'!F15</f>
        <v>0</v>
      </c>
      <c r="H375" s="22" t="str">
        <f aca="false">IF(AND(ISNUMBER(F375),ISNUMBER(G375)),IF(SIGN(D375-E375)=SIGN(F375-G375),48,0),"")</f>
        <v/>
      </c>
      <c r="I375" s="22" t="str">
        <f aca="false">IF(AND(ISNUMBER(F375),ISNUMBER(G375)),IF(D375=F375,15,0),"")</f>
        <v/>
      </c>
      <c r="J375" s="22" t="str">
        <f aca="false">IF(AND(ISNUMBER(F375),ISNUMBER(G375)),IF(E375=G375,15,0),"")</f>
        <v/>
      </c>
      <c r="K375" s="22" t="str">
        <f aca="false">IF(AND(ISNUMBER(F375),ISNUMBER(G375)),IF(ABS(D375-E375)=ABS(F375-G375),12,0),"")</f>
        <v/>
      </c>
      <c r="L375" s="23" t="str">
        <f aca="false">IF(ISNUMBER(H375),H375+I375+J375+K375,"")</f>
        <v/>
      </c>
    </row>
    <row r="376" customFormat="false" ht="18" hidden="false" customHeight="true" outlineLevel="0" collapsed="false">
      <c r="A376" s="25" t="s">
        <v>9</v>
      </c>
      <c r="B376" s="26" t="s">
        <v>153</v>
      </c>
      <c r="C376" s="27" t="s">
        <v>54</v>
      </c>
      <c r="D376" s="28" t="n">
        <v>0</v>
      </c>
      <c r="E376" s="28" t="n">
        <v>4</v>
      </c>
      <c r="F376" s="29" t="n">
        <f aca="false">'📋 Matches'!E16</f>
        <v>0</v>
      </c>
      <c r="G376" s="29" t="n">
        <f aca="false">'📋 Matches'!F16</f>
        <v>0</v>
      </c>
      <c r="H376" s="22" t="str">
        <f aca="false">IF(AND(ISNUMBER(F376),ISNUMBER(G376)),IF(SIGN(D376-E376)=SIGN(F376-G376),48,0),"")</f>
        <v/>
      </c>
      <c r="I376" s="22" t="str">
        <f aca="false">IF(AND(ISNUMBER(F376),ISNUMBER(G376)),IF(D376=F376,15,0),"")</f>
        <v/>
      </c>
      <c r="J376" s="22" t="str">
        <f aca="false">IF(AND(ISNUMBER(F376),ISNUMBER(G376)),IF(E376=G376,15,0),"")</f>
        <v/>
      </c>
      <c r="K376" s="22" t="str">
        <f aca="false">IF(AND(ISNUMBER(F376),ISNUMBER(G376)),IF(ABS(D376-E376)=ABS(F376-G376),12,0),"")</f>
        <v/>
      </c>
      <c r="L376" s="23" t="str">
        <f aca="false">IF(ISNUMBER(H376),H376+I376+J376+K376,"")</f>
        <v/>
      </c>
    </row>
    <row r="377" customFormat="false" ht="18" hidden="false" customHeight="true" outlineLevel="0" collapsed="false">
      <c r="A377" s="25" t="s">
        <v>9</v>
      </c>
      <c r="B377" s="26" t="s">
        <v>153</v>
      </c>
      <c r="C377" s="27" t="s">
        <v>57</v>
      </c>
      <c r="D377" s="28" t="n">
        <v>1</v>
      </c>
      <c r="E377" s="28" t="n">
        <v>2</v>
      </c>
      <c r="F377" s="29" t="n">
        <f aca="false">'📋 Matches'!E17</f>
        <v>0</v>
      </c>
      <c r="G377" s="29" t="n">
        <f aca="false">'📋 Matches'!F17</f>
        <v>0</v>
      </c>
      <c r="H377" s="22" t="str">
        <f aca="false">IF(AND(ISNUMBER(F377),ISNUMBER(G377)),IF(SIGN(D377-E377)=SIGN(F377-G377),48,0),"")</f>
        <v/>
      </c>
      <c r="I377" s="22" t="str">
        <f aca="false">IF(AND(ISNUMBER(F377),ISNUMBER(G377)),IF(D377=F377,15,0),"")</f>
        <v/>
      </c>
      <c r="J377" s="22" t="str">
        <f aca="false">IF(AND(ISNUMBER(F377),ISNUMBER(G377)),IF(E377=G377,15,0),"")</f>
        <v/>
      </c>
      <c r="K377" s="22" t="str">
        <f aca="false">IF(AND(ISNUMBER(F377),ISNUMBER(G377)),IF(ABS(D377-E377)=ABS(F377-G377),12,0),"")</f>
        <v/>
      </c>
      <c r="L377" s="23" t="str">
        <f aca="false">IF(ISNUMBER(H377),H377+I377+J377+K377,"")</f>
        <v/>
      </c>
    </row>
    <row r="378" customFormat="false" ht="18" hidden="false" customHeight="true" outlineLevel="0" collapsed="false">
      <c r="A378" s="25" t="s">
        <v>9</v>
      </c>
      <c r="B378" s="26" t="s">
        <v>153</v>
      </c>
      <c r="C378" s="27" t="s">
        <v>60</v>
      </c>
      <c r="D378" s="28" t="n">
        <v>4</v>
      </c>
      <c r="E378" s="28" t="n">
        <v>2</v>
      </c>
      <c r="F378" s="29" t="n">
        <f aca="false">'📋 Matches'!E18</f>
        <v>0</v>
      </c>
      <c r="G378" s="29" t="n">
        <f aca="false">'📋 Matches'!F18</f>
        <v>0</v>
      </c>
      <c r="H378" s="22" t="str">
        <f aca="false">IF(AND(ISNUMBER(F378),ISNUMBER(G378)),IF(SIGN(D378-E378)=SIGN(F378-G378),48,0),"")</f>
        <v/>
      </c>
      <c r="I378" s="22" t="str">
        <f aca="false">IF(AND(ISNUMBER(F378),ISNUMBER(G378)),IF(D378=F378,15,0),"")</f>
        <v/>
      </c>
      <c r="J378" s="22" t="str">
        <f aca="false">IF(AND(ISNUMBER(F378),ISNUMBER(G378)),IF(E378=G378,15,0),"")</f>
        <v/>
      </c>
      <c r="K378" s="22" t="str">
        <f aca="false">IF(AND(ISNUMBER(F378),ISNUMBER(G378)),IF(ABS(D378-E378)=ABS(F378-G378),12,0),"")</f>
        <v/>
      </c>
      <c r="L378" s="23" t="str">
        <f aca="false">IF(ISNUMBER(H378),H378+I378+J378+K378,"")</f>
        <v/>
      </c>
    </row>
    <row r="379" customFormat="false" ht="18" hidden="false" customHeight="true" outlineLevel="0" collapsed="false">
      <c r="A379" s="25" t="s">
        <v>9</v>
      </c>
      <c r="B379" s="26" t="s">
        <v>153</v>
      </c>
      <c r="C379" s="27" t="s">
        <v>63</v>
      </c>
      <c r="D379" s="28" t="n">
        <v>1</v>
      </c>
      <c r="E379" s="28" t="n">
        <v>5</v>
      </c>
      <c r="F379" s="29" t="n">
        <f aca="false">'📋 Matches'!E19</f>
        <v>0</v>
      </c>
      <c r="G379" s="29" t="n">
        <f aca="false">'📋 Matches'!F19</f>
        <v>0</v>
      </c>
      <c r="H379" s="22" t="str">
        <f aca="false">IF(AND(ISNUMBER(F379),ISNUMBER(G379)),IF(SIGN(D379-E379)=SIGN(F379-G379),48,0),"")</f>
        <v/>
      </c>
      <c r="I379" s="22" t="str">
        <f aca="false">IF(AND(ISNUMBER(F379),ISNUMBER(G379)),IF(D379=F379,15,0),"")</f>
        <v/>
      </c>
      <c r="J379" s="22" t="str">
        <f aca="false">IF(AND(ISNUMBER(F379),ISNUMBER(G379)),IF(E379=G379,15,0),"")</f>
        <v/>
      </c>
      <c r="K379" s="22" t="str">
        <f aca="false">IF(AND(ISNUMBER(F379),ISNUMBER(G379)),IF(ABS(D379-E379)=ABS(F379-G379),12,0),"")</f>
        <v/>
      </c>
      <c r="L379" s="23" t="str">
        <f aca="false">IF(ISNUMBER(H379),H379+I379+J379+K379,"")</f>
        <v/>
      </c>
    </row>
    <row r="380" customFormat="false" ht="18" hidden="false" customHeight="true" outlineLevel="0" collapsed="false">
      <c r="A380" s="25" t="s">
        <v>9</v>
      </c>
      <c r="B380" s="26" t="s">
        <v>153</v>
      </c>
      <c r="C380" s="27" t="s">
        <v>66</v>
      </c>
      <c r="D380" s="28" t="n">
        <v>3</v>
      </c>
      <c r="E380" s="28" t="n">
        <v>1</v>
      </c>
      <c r="F380" s="29" t="n">
        <f aca="false">'📋 Matches'!E20</f>
        <v>0</v>
      </c>
      <c r="G380" s="29" t="n">
        <f aca="false">'📋 Matches'!F20</f>
        <v>0</v>
      </c>
      <c r="H380" s="22" t="str">
        <f aca="false">IF(AND(ISNUMBER(F380),ISNUMBER(G380)),IF(SIGN(D380-E380)=SIGN(F380-G380),48,0),"")</f>
        <v/>
      </c>
      <c r="I380" s="22" t="str">
        <f aca="false">IF(AND(ISNUMBER(F380),ISNUMBER(G380)),IF(D380=F380,15,0),"")</f>
        <v/>
      </c>
      <c r="J380" s="22" t="str">
        <f aca="false">IF(AND(ISNUMBER(F380),ISNUMBER(G380)),IF(E380=G380,15,0),"")</f>
        <v/>
      </c>
      <c r="K380" s="22" t="str">
        <f aca="false">IF(AND(ISNUMBER(F380),ISNUMBER(G380)),IF(ABS(D380-E380)=ABS(F380-G380),12,0),"")</f>
        <v/>
      </c>
      <c r="L380" s="23" t="str">
        <f aca="false">IF(ISNUMBER(H380),H380+I380+J380+K380,"")</f>
        <v/>
      </c>
    </row>
    <row r="381" customFormat="false" ht="18" hidden="false" customHeight="true" outlineLevel="0" collapsed="false">
      <c r="A381" s="25" t="s">
        <v>9</v>
      </c>
      <c r="B381" s="26" t="s">
        <v>153</v>
      </c>
      <c r="C381" s="27" t="s">
        <v>69</v>
      </c>
      <c r="D381" s="28" t="n">
        <v>3</v>
      </c>
      <c r="E381" s="28" t="n">
        <v>0</v>
      </c>
      <c r="F381" s="29" t="n">
        <f aca="false">'📋 Matches'!E21</f>
        <v>0</v>
      </c>
      <c r="G381" s="29" t="n">
        <f aca="false">'📋 Matches'!F21</f>
        <v>0</v>
      </c>
      <c r="H381" s="22" t="str">
        <f aca="false">IF(AND(ISNUMBER(F381),ISNUMBER(G381)),IF(SIGN(D381-E381)=SIGN(F381-G381),48,0),"")</f>
        <v/>
      </c>
      <c r="I381" s="22" t="str">
        <f aca="false">IF(AND(ISNUMBER(F381),ISNUMBER(G381)),IF(D381=F381,15,0),"")</f>
        <v/>
      </c>
      <c r="J381" s="22" t="str">
        <f aca="false">IF(AND(ISNUMBER(F381),ISNUMBER(G381)),IF(E381=G381,15,0),"")</f>
        <v/>
      </c>
      <c r="K381" s="22" t="str">
        <f aca="false">IF(AND(ISNUMBER(F381),ISNUMBER(G381)),IF(ABS(D381-E381)=ABS(F381-G381),12,0),"")</f>
        <v/>
      </c>
      <c r="L381" s="23" t="str">
        <f aca="false">IF(ISNUMBER(H381),H381+I381+J381+K381,"")</f>
        <v/>
      </c>
    </row>
    <row r="382" customFormat="false" ht="18" hidden="false" customHeight="true" outlineLevel="0" collapsed="false">
      <c r="A382" s="25" t="s">
        <v>9</v>
      </c>
      <c r="B382" s="26" t="s">
        <v>153</v>
      </c>
      <c r="C382" s="27" t="s">
        <v>72</v>
      </c>
      <c r="D382" s="28" t="n">
        <v>4</v>
      </c>
      <c r="E382" s="28" t="n">
        <v>1</v>
      </c>
      <c r="F382" s="29" t="n">
        <f aca="false">'📋 Matches'!E22</f>
        <v>0</v>
      </c>
      <c r="G382" s="29" t="n">
        <f aca="false">'📋 Matches'!F22</f>
        <v>0</v>
      </c>
      <c r="H382" s="22" t="str">
        <f aca="false">IF(AND(ISNUMBER(F382),ISNUMBER(G382)),IF(SIGN(D382-E382)=SIGN(F382-G382),48,0),"")</f>
        <v/>
      </c>
      <c r="I382" s="22" t="str">
        <f aca="false">IF(AND(ISNUMBER(F382),ISNUMBER(G382)),IF(D382=F382,15,0),"")</f>
        <v/>
      </c>
      <c r="J382" s="22" t="str">
        <f aca="false">IF(AND(ISNUMBER(F382),ISNUMBER(G382)),IF(E382=G382,15,0),"")</f>
        <v/>
      </c>
      <c r="K382" s="22" t="str">
        <f aca="false">IF(AND(ISNUMBER(F382),ISNUMBER(G382)),IF(ABS(D382-E382)=ABS(F382-G382),12,0),"")</f>
        <v/>
      </c>
      <c r="L382" s="23" t="str">
        <f aca="false">IF(ISNUMBER(H382),H382+I382+J382+K382,"")</f>
        <v/>
      </c>
    </row>
    <row r="383" customFormat="false" ht="18" hidden="false" customHeight="true" outlineLevel="0" collapsed="false">
      <c r="A383" s="25" t="s">
        <v>9</v>
      </c>
      <c r="B383" s="26" t="s">
        <v>153</v>
      </c>
      <c r="C383" s="27" t="s">
        <v>75</v>
      </c>
      <c r="D383" s="28" t="n">
        <v>2</v>
      </c>
      <c r="E383" s="28" t="n">
        <v>1</v>
      </c>
      <c r="F383" s="29" t="n">
        <f aca="false">'📋 Matches'!E23</f>
        <v>0</v>
      </c>
      <c r="G383" s="29" t="n">
        <f aca="false">'📋 Matches'!F23</f>
        <v>0</v>
      </c>
      <c r="H383" s="22" t="str">
        <f aca="false">IF(AND(ISNUMBER(F383),ISNUMBER(G383)),IF(SIGN(D383-E383)=SIGN(F383-G383),48,0),"")</f>
        <v/>
      </c>
      <c r="I383" s="22" t="str">
        <f aca="false">IF(AND(ISNUMBER(F383),ISNUMBER(G383)),IF(D383=F383,15,0),"")</f>
        <v/>
      </c>
      <c r="J383" s="22" t="str">
        <f aca="false">IF(AND(ISNUMBER(F383),ISNUMBER(G383)),IF(E383=G383,15,0),"")</f>
        <v/>
      </c>
      <c r="K383" s="22" t="str">
        <f aca="false">IF(AND(ISNUMBER(F383),ISNUMBER(G383)),IF(ABS(D383-E383)=ABS(F383-G383),12,0),"")</f>
        <v/>
      </c>
      <c r="L383" s="23" t="str">
        <f aca="false">IF(ISNUMBER(H383),H383+I383+J383+K383,"")</f>
        <v/>
      </c>
    </row>
    <row r="384" customFormat="false" ht="18" hidden="false" customHeight="true" outlineLevel="0" collapsed="false">
      <c r="A384" s="25" t="s">
        <v>9</v>
      </c>
      <c r="B384" s="26" t="s">
        <v>153</v>
      </c>
      <c r="C384" s="27" t="s">
        <v>78</v>
      </c>
      <c r="D384" s="28" t="n">
        <v>2</v>
      </c>
      <c r="E384" s="28" t="n">
        <v>1</v>
      </c>
      <c r="F384" s="29" t="n">
        <f aca="false">'📋 Matches'!E24</f>
        <v>0</v>
      </c>
      <c r="G384" s="29" t="n">
        <f aca="false">'📋 Matches'!F24</f>
        <v>0</v>
      </c>
      <c r="H384" s="22" t="str">
        <f aca="false">IF(AND(ISNUMBER(F384),ISNUMBER(G384)),IF(SIGN(D384-E384)=SIGN(F384-G384),48,0),"")</f>
        <v/>
      </c>
      <c r="I384" s="22" t="str">
        <f aca="false">IF(AND(ISNUMBER(F384),ISNUMBER(G384)),IF(D384=F384,15,0),"")</f>
        <v/>
      </c>
      <c r="J384" s="22" t="str">
        <f aca="false">IF(AND(ISNUMBER(F384),ISNUMBER(G384)),IF(E384=G384,15,0),"")</f>
        <v/>
      </c>
      <c r="K384" s="22" t="str">
        <f aca="false">IF(AND(ISNUMBER(F384),ISNUMBER(G384)),IF(ABS(D384-E384)=ABS(F384-G384),12,0),"")</f>
        <v/>
      </c>
      <c r="L384" s="23" t="str">
        <f aca="false">IF(ISNUMBER(H384),H384+I384+J384+K384,"")</f>
        <v/>
      </c>
    </row>
    <row r="385" customFormat="false" ht="18" hidden="false" customHeight="true" outlineLevel="0" collapsed="false">
      <c r="A385" s="25" t="s">
        <v>9</v>
      </c>
      <c r="B385" s="26" t="s">
        <v>153</v>
      </c>
      <c r="C385" s="27" t="s">
        <v>81</v>
      </c>
      <c r="D385" s="28" t="n">
        <v>0</v>
      </c>
      <c r="E385" s="28" t="n">
        <v>3</v>
      </c>
      <c r="F385" s="29" t="n">
        <f aca="false">'📋 Matches'!E25</f>
        <v>0</v>
      </c>
      <c r="G385" s="29" t="n">
        <f aca="false">'📋 Matches'!F25</f>
        <v>0</v>
      </c>
      <c r="H385" s="22" t="str">
        <f aca="false">IF(AND(ISNUMBER(F385),ISNUMBER(G385)),IF(SIGN(D385-E385)=SIGN(F385-G385),48,0),"")</f>
        <v/>
      </c>
      <c r="I385" s="22" t="str">
        <f aca="false">IF(AND(ISNUMBER(F385),ISNUMBER(G385)),IF(D385=F385,15,0),"")</f>
        <v/>
      </c>
      <c r="J385" s="22" t="str">
        <f aca="false">IF(AND(ISNUMBER(F385),ISNUMBER(G385)),IF(E385=G385,15,0),"")</f>
        <v/>
      </c>
      <c r="K385" s="22" t="str">
        <f aca="false">IF(AND(ISNUMBER(F385),ISNUMBER(G385)),IF(ABS(D385-E385)=ABS(F385-G385),12,0),"")</f>
        <v/>
      </c>
      <c r="L385" s="23" t="str">
        <f aca="false">IF(ISNUMBER(H385),H385+I385+J385+K385,"")</f>
        <v/>
      </c>
    </row>
    <row r="386" customFormat="false" ht="18" hidden="false" customHeight="true" outlineLevel="0" collapsed="false">
      <c r="A386" s="25" t="s">
        <v>84</v>
      </c>
      <c r="B386" s="26" t="s">
        <v>153</v>
      </c>
      <c r="C386" s="27" t="s">
        <v>85</v>
      </c>
      <c r="D386" s="28"/>
      <c r="E386" s="28"/>
      <c r="F386" s="29" t="n">
        <f aca="false">'📋 Matches'!E26</f>
        <v>0</v>
      </c>
      <c r="G386" s="29" t="n">
        <f aca="false">'📋 Matches'!F26</f>
        <v>0</v>
      </c>
      <c r="H386" s="30" t="s">
        <v>148</v>
      </c>
      <c r="I386" s="30" t="s">
        <v>148</v>
      </c>
      <c r="J386" s="30" t="s">
        <v>148</v>
      </c>
      <c r="K386" s="30" t="s">
        <v>148</v>
      </c>
      <c r="L386" s="30" t="s">
        <v>148</v>
      </c>
    </row>
    <row r="387" customFormat="false" ht="18" hidden="false" customHeight="true" outlineLevel="0" collapsed="false">
      <c r="A387" s="25" t="s">
        <v>84</v>
      </c>
      <c r="B387" s="26" t="s">
        <v>153</v>
      </c>
      <c r="C387" s="27" t="s">
        <v>87</v>
      </c>
      <c r="D387" s="28"/>
      <c r="E387" s="28"/>
      <c r="F387" s="29" t="n">
        <f aca="false">'📋 Matches'!E27</f>
        <v>0</v>
      </c>
      <c r="G387" s="29" t="n">
        <f aca="false">'📋 Matches'!F27</f>
        <v>0</v>
      </c>
      <c r="H387" s="30" t="s">
        <v>148</v>
      </c>
      <c r="I387" s="30" t="s">
        <v>148</v>
      </c>
      <c r="J387" s="30" t="s">
        <v>148</v>
      </c>
      <c r="K387" s="30" t="s">
        <v>148</v>
      </c>
      <c r="L387" s="30" t="s">
        <v>148</v>
      </c>
    </row>
    <row r="388" customFormat="false" ht="18" hidden="false" customHeight="true" outlineLevel="0" collapsed="false">
      <c r="A388" s="25" t="s">
        <v>84</v>
      </c>
      <c r="B388" s="26" t="s">
        <v>153</v>
      </c>
      <c r="C388" s="27" t="s">
        <v>89</v>
      </c>
      <c r="D388" s="28"/>
      <c r="E388" s="28"/>
      <c r="F388" s="29" t="n">
        <f aca="false">'📋 Matches'!E28</f>
        <v>0</v>
      </c>
      <c r="G388" s="29" t="n">
        <f aca="false">'📋 Matches'!F28</f>
        <v>0</v>
      </c>
      <c r="H388" s="30" t="s">
        <v>148</v>
      </c>
      <c r="I388" s="30" t="s">
        <v>148</v>
      </c>
      <c r="J388" s="30" t="s">
        <v>148</v>
      </c>
      <c r="K388" s="30" t="s">
        <v>148</v>
      </c>
      <c r="L388" s="30" t="s">
        <v>148</v>
      </c>
    </row>
    <row r="389" customFormat="false" ht="18" hidden="false" customHeight="true" outlineLevel="0" collapsed="false">
      <c r="A389" s="25" t="s">
        <v>84</v>
      </c>
      <c r="B389" s="26" t="s">
        <v>153</v>
      </c>
      <c r="C389" s="27" t="s">
        <v>90</v>
      </c>
      <c r="D389" s="28"/>
      <c r="E389" s="28"/>
      <c r="F389" s="29" t="n">
        <f aca="false">'📋 Matches'!E29</f>
        <v>0</v>
      </c>
      <c r="G389" s="29" t="n">
        <f aca="false">'📋 Matches'!F29</f>
        <v>0</v>
      </c>
      <c r="H389" s="30" t="s">
        <v>148</v>
      </c>
      <c r="I389" s="30" t="s">
        <v>148</v>
      </c>
      <c r="J389" s="30" t="s">
        <v>148</v>
      </c>
      <c r="K389" s="30" t="s">
        <v>148</v>
      </c>
      <c r="L389" s="30" t="s">
        <v>148</v>
      </c>
    </row>
    <row r="390" customFormat="false" ht="18" hidden="false" customHeight="true" outlineLevel="0" collapsed="false">
      <c r="A390" s="25" t="s">
        <v>84</v>
      </c>
      <c r="B390" s="26" t="s">
        <v>153</v>
      </c>
      <c r="C390" s="27" t="s">
        <v>91</v>
      </c>
      <c r="D390" s="28"/>
      <c r="E390" s="28"/>
      <c r="F390" s="29" t="n">
        <f aca="false">'📋 Matches'!E30</f>
        <v>0</v>
      </c>
      <c r="G390" s="29" t="n">
        <f aca="false">'📋 Matches'!F30</f>
        <v>0</v>
      </c>
      <c r="H390" s="30" t="s">
        <v>148</v>
      </c>
      <c r="I390" s="30" t="s">
        <v>148</v>
      </c>
      <c r="J390" s="30" t="s">
        <v>148</v>
      </c>
      <c r="K390" s="30" t="s">
        <v>148</v>
      </c>
      <c r="L390" s="30" t="s">
        <v>148</v>
      </c>
    </row>
    <row r="391" customFormat="false" ht="18" hidden="false" customHeight="true" outlineLevel="0" collapsed="false">
      <c r="A391" s="25" t="s">
        <v>84</v>
      </c>
      <c r="B391" s="26" t="s">
        <v>153</v>
      </c>
      <c r="C391" s="27" t="s">
        <v>92</v>
      </c>
      <c r="D391" s="28"/>
      <c r="E391" s="28"/>
      <c r="F391" s="29" t="n">
        <f aca="false">'📋 Matches'!E31</f>
        <v>0</v>
      </c>
      <c r="G391" s="29" t="n">
        <f aca="false">'📋 Matches'!F31</f>
        <v>0</v>
      </c>
      <c r="H391" s="30" t="s">
        <v>148</v>
      </c>
      <c r="I391" s="30" t="s">
        <v>148</v>
      </c>
      <c r="J391" s="30" t="s">
        <v>148</v>
      </c>
      <c r="K391" s="30" t="s">
        <v>148</v>
      </c>
      <c r="L391" s="30" t="s">
        <v>148</v>
      </c>
    </row>
    <row r="392" customFormat="false" ht="18" hidden="false" customHeight="true" outlineLevel="0" collapsed="false">
      <c r="A392" s="25" t="s">
        <v>84</v>
      </c>
      <c r="B392" s="26" t="s">
        <v>153</v>
      </c>
      <c r="C392" s="27" t="s">
        <v>93</v>
      </c>
      <c r="D392" s="28"/>
      <c r="E392" s="28"/>
      <c r="F392" s="29" t="n">
        <f aca="false">'📋 Matches'!E32</f>
        <v>0</v>
      </c>
      <c r="G392" s="29" t="n">
        <f aca="false">'📋 Matches'!F32</f>
        <v>0</v>
      </c>
      <c r="H392" s="30" t="s">
        <v>148</v>
      </c>
      <c r="I392" s="30" t="s">
        <v>148</v>
      </c>
      <c r="J392" s="30" t="s">
        <v>148</v>
      </c>
      <c r="K392" s="30" t="s">
        <v>148</v>
      </c>
      <c r="L392" s="30" t="s">
        <v>148</v>
      </c>
    </row>
    <row r="393" customFormat="false" ht="18" hidden="false" customHeight="true" outlineLevel="0" collapsed="false">
      <c r="A393" s="25" t="s">
        <v>84</v>
      </c>
      <c r="B393" s="26" t="s">
        <v>153</v>
      </c>
      <c r="C393" s="27" t="s">
        <v>94</v>
      </c>
      <c r="D393" s="28"/>
      <c r="E393" s="28"/>
      <c r="F393" s="29" t="n">
        <f aca="false">'📋 Matches'!E33</f>
        <v>0</v>
      </c>
      <c r="G393" s="29" t="n">
        <f aca="false">'📋 Matches'!F33</f>
        <v>0</v>
      </c>
      <c r="H393" s="30" t="s">
        <v>148</v>
      </c>
      <c r="I393" s="30" t="s">
        <v>148</v>
      </c>
      <c r="J393" s="30" t="s">
        <v>148</v>
      </c>
      <c r="K393" s="30" t="s">
        <v>148</v>
      </c>
      <c r="L393" s="30" t="s">
        <v>148</v>
      </c>
    </row>
    <row r="394" customFormat="false" ht="18" hidden="false" customHeight="true" outlineLevel="0" collapsed="false">
      <c r="A394" s="25" t="s">
        <v>84</v>
      </c>
      <c r="B394" s="26" t="s">
        <v>153</v>
      </c>
      <c r="C394" s="27" t="s">
        <v>96</v>
      </c>
      <c r="D394" s="28"/>
      <c r="E394" s="28"/>
      <c r="F394" s="29" t="n">
        <f aca="false">'📋 Matches'!E34</f>
        <v>0</v>
      </c>
      <c r="G394" s="29" t="n">
        <f aca="false">'📋 Matches'!F34</f>
        <v>0</v>
      </c>
      <c r="H394" s="30" t="s">
        <v>148</v>
      </c>
      <c r="I394" s="30" t="s">
        <v>148</v>
      </c>
      <c r="J394" s="30" t="s">
        <v>148</v>
      </c>
      <c r="K394" s="30" t="s">
        <v>148</v>
      </c>
      <c r="L394" s="30" t="s">
        <v>148</v>
      </c>
    </row>
    <row r="395" customFormat="false" ht="18" hidden="false" customHeight="true" outlineLevel="0" collapsed="false">
      <c r="A395" s="25" t="s">
        <v>84</v>
      </c>
      <c r="B395" s="26" t="s">
        <v>153</v>
      </c>
      <c r="C395" s="27" t="s">
        <v>97</v>
      </c>
      <c r="D395" s="28"/>
      <c r="E395" s="28"/>
      <c r="F395" s="29" t="n">
        <f aca="false">'📋 Matches'!E35</f>
        <v>0</v>
      </c>
      <c r="G395" s="29" t="n">
        <f aca="false">'📋 Matches'!F35</f>
        <v>0</v>
      </c>
      <c r="H395" s="30" t="s">
        <v>148</v>
      </c>
      <c r="I395" s="30" t="s">
        <v>148</v>
      </c>
      <c r="J395" s="30" t="s">
        <v>148</v>
      </c>
      <c r="K395" s="30" t="s">
        <v>148</v>
      </c>
      <c r="L395" s="30" t="s">
        <v>148</v>
      </c>
    </row>
    <row r="396" customFormat="false" ht="18" hidden="false" customHeight="true" outlineLevel="0" collapsed="false">
      <c r="A396" s="25" t="s">
        <v>84</v>
      </c>
      <c r="B396" s="26" t="s">
        <v>153</v>
      </c>
      <c r="C396" s="27" t="s">
        <v>98</v>
      </c>
      <c r="D396" s="28"/>
      <c r="E396" s="28"/>
      <c r="F396" s="29" t="n">
        <f aca="false">'📋 Matches'!E36</f>
        <v>0</v>
      </c>
      <c r="G396" s="29" t="n">
        <f aca="false">'📋 Matches'!F36</f>
        <v>0</v>
      </c>
      <c r="H396" s="30" t="s">
        <v>148</v>
      </c>
      <c r="I396" s="30" t="s">
        <v>148</v>
      </c>
      <c r="J396" s="30" t="s">
        <v>148</v>
      </c>
      <c r="K396" s="30" t="s">
        <v>148</v>
      </c>
      <c r="L396" s="30" t="s">
        <v>148</v>
      </c>
    </row>
    <row r="397" customFormat="false" ht="18" hidden="false" customHeight="true" outlineLevel="0" collapsed="false">
      <c r="A397" s="25" t="s">
        <v>84</v>
      </c>
      <c r="B397" s="26" t="s">
        <v>153</v>
      </c>
      <c r="C397" s="27" t="s">
        <v>100</v>
      </c>
      <c r="D397" s="28"/>
      <c r="E397" s="28"/>
      <c r="F397" s="29" t="n">
        <f aca="false">'📋 Matches'!E37</f>
        <v>0</v>
      </c>
      <c r="G397" s="29" t="n">
        <f aca="false">'📋 Matches'!F37</f>
        <v>0</v>
      </c>
      <c r="H397" s="30" t="s">
        <v>148</v>
      </c>
      <c r="I397" s="30" t="s">
        <v>148</v>
      </c>
      <c r="J397" s="30" t="s">
        <v>148</v>
      </c>
      <c r="K397" s="30" t="s">
        <v>148</v>
      </c>
      <c r="L397" s="30" t="s">
        <v>148</v>
      </c>
    </row>
    <row r="398" customFormat="false" ht="18" hidden="false" customHeight="true" outlineLevel="0" collapsed="false">
      <c r="A398" s="25" t="s">
        <v>84</v>
      </c>
      <c r="B398" s="26" t="s">
        <v>153</v>
      </c>
      <c r="C398" s="27" t="s">
        <v>101</v>
      </c>
      <c r="D398" s="28"/>
      <c r="E398" s="28"/>
      <c r="F398" s="29" t="n">
        <f aca="false">'📋 Matches'!E38</f>
        <v>0</v>
      </c>
      <c r="G398" s="29" t="n">
        <f aca="false">'📋 Matches'!F38</f>
        <v>0</v>
      </c>
      <c r="H398" s="30" t="s">
        <v>148</v>
      </c>
      <c r="I398" s="30" t="s">
        <v>148</v>
      </c>
      <c r="J398" s="30" t="s">
        <v>148</v>
      </c>
      <c r="K398" s="30" t="s">
        <v>148</v>
      </c>
      <c r="L398" s="30" t="s">
        <v>148</v>
      </c>
    </row>
    <row r="399" customFormat="false" ht="18" hidden="false" customHeight="true" outlineLevel="0" collapsed="false">
      <c r="A399" s="25" t="s">
        <v>84</v>
      </c>
      <c r="B399" s="26" t="s">
        <v>153</v>
      </c>
      <c r="C399" s="27" t="s">
        <v>102</v>
      </c>
      <c r="D399" s="28"/>
      <c r="E399" s="28"/>
      <c r="F399" s="29" t="n">
        <f aca="false">'📋 Matches'!E39</f>
        <v>0</v>
      </c>
      <c r="G399" s="29" t="n">
        <f aca="false">'📋 Matches'!F39</f>
        <v>0</v>
      </c>
      <c r="H399" s="30" t="s">
        <v>148</v>
      </c>
      <c r="I399" s="30" t="s">
        <v>148</v>
      </c>
      <c r="J399" s="30" t="s">
        <v>148</v>
      </c>
      <c r="K399" s="30" t="s">
        <v>148</v>
      </c>
      <c r="L399" s="30" t="s">
        <v>148</v>
      </c>
    </row>
    <row r="400" customFormat="false" ht="18" hidden="false" customHeight="true" outlineLevel="0" collapsed="false">
      <c r="A400" s="25" t="s">
        <v>84</v>
      </c>
      <c r="B400" s="26" t="s">
        <v>153</v>
      </c>
      <c r="C400" s="27" t="s">
        <v>103</v>
      </c>
      <c r="D400" s="28"/>
      <c r="E400" s="28"/>
      <c r="F400" s="29" t="n">
        <f aca="false">'📋 Matches'!E40</f>
        <v>0</v>
      </c>
      <c r="G400" s="29" t="n">
        <f aca="false">'📋 Matches'!F40</f>
        <v>0</v>
      </c>
      <c r="H400" s="30" t="s">
        <v>148</v>
      </c>
      <c r="I400" s="30" t="s">
        <v>148</v>
      </c>
      <c r="J400" s="30" t="s">
        <v>148</v>
      </c>
      <c r="K400" s="30" t="s">
        <v>148</v>
      </c>
      <c r="L400" s="30" t="s">
        <v>148</v>
      </c>
    </row>
    <row r="401" customFormat="false" ht="18" hidden="false" customHeight="true" outlineLevel="0" collapsed="false">
      <c r="A401" s="25" t="s">
        <v>84</v>
      </c>
      <c r="B401" s="26" t="s">
        <v>153</v>
      </c>
      <c r="C401" s="27" t="s">
        <v>104</v>
      </c>
      <c r="D401" s="28"/>
      <c r="E401" s="28"/>
      <c r="F401" s="29" t="n">
        <f aca="false">'📋 Matches'!E41</f>
        <v>0</v>
      </c>
      <c r="G401" s="29" t="n">
        <f aca="false">'📋 Matches'!F41</f>
        <v>0</v>
      </c>
      <c r="H401" s="30" t="s">
        <v>148</v>
      </c>
      <c r="I401" s="30" t="s">
        <v>148</v>
      </c>
      <c r="J401" s="30" t="s">
        <v>148</v>
      </c>
      <c r="K401" s="30" t="s">
        <v>148</v>
      </c>
      <c r="L401" s="30" t="s">
        <v>148</v>
      </c>
    </row>
    <row r="402" customFormat="false" ht="18" hidden="false" customHeight="true" outlineLevel="0" collapsed="false">
      <c r="A402" s="25" t="s">
        <v>84</v>
      </c>
      <c r="B402" s="26" t="s">
        <v>153</v>
      </c>
      <c r="C402" s="27" t="s">
        <v>105</v>
      </c>
      <c r="D402" s="28"/>
      <c r="E402" s="28"/>
      <c r="F402" s="29" t="n">
        <f aca="false">'📋 Matches'!E42</f>
        <v>0</v>
      </c>
      <c r="G402" s="29" t="n">
        <f aca="false">'📋 Matches'!F42</f>
        <v>0</v>
      </c>
      <c r="H402" s="30" t="s">
        <v>148</v>
      </c>
      <c r="I402" s="30" t="s">
        <v>148</v>
      </c>
      <c r="J402" s="30" t="s">
        <v>148</v>
      </c>
      <c r="K402" s="30" t="s">
        <v>148</v>
      </c>
      <c r="L402" s="30" t="s">
        <v>148</v>
      </c>
    </row>
    <row r="403" customFormat="false" ht="18" hidden="false" customHeight="true" outlineLevel="0" collapsed="false">
      <c r="A403" s="25" t="s">
        <v>84</v>
      </c>
      <c r="B403" s="26" t="s">
        <v>153</v>
      </c>
      <c r="C403" s="27" t="s">
        <v>106</v>
      </c>
      <c r="D403" s="28"/>
      <c r="E403" s="28"/>
      <c r="F403" s="29" t="n">
        <f aca="false">'📋 Matches'!E43</f>
        <v>0</v>
      </c>
      <c r="G403" s="29" t="n">
        <f aca="false">'📋 Matches'!F43</f>
        <v>0</v>
      </c>
      <c r="H403" s="30" t="s">
        <v>148</v>
      </c>
      <c r="I403" s="30" t="s">
        <v>148</v>
      </c>
      <c r="J403" s="30" t="s">
        <v>148</v>
      </c>
      <c r="K403" s="30" t="s">
        <v>148</v>
      </c>
      <c r="L403" s="30" t="s">
        <v>148</v>
      </c>
    </row>
    <row r="404" customFormat="false" ht="18" hidden="false" customHeight="true" outlineLevel="0" collapsed="false">
      <c r="A404" s="25" t="s">
        <v>84</v>
      </c>
      <c r="B404" s="26" t="s">
        <v>153</v>
      </c>
      <c r="C404" s="27" t="s">
        <v>107</v>
      </c>
      <c r="D404" s="28"/>
      <c r="E404" s="28"/>
      <c r="F404" s="29" t="n">
        <f aca="false">'📋 Matches'!E44</f>
        <v>0</v>
      </c>
      <c r="G404" s="29" t="n">
        <f aca="false">'📋 Matches'!F44</f>
        <v>0</v>
      </c>
      <c r="H404" s="30" t="s">
        <v>148</v>
      </c>
      <c r="I404" s="30" t="s">
        <v>148</v>
      </c>
      <c r="J404" s="30" t="s">
        <v>148</v>
      </c>
      <c r="K404" s="30" t="s">
        <v>148</v>
      </c>
      <c r="L404" s="30" t="s">
        <v>148</v>
      </c>
    </row>
    <row r="405" customFormat="false" ht="18" hidden="false" customHeight="true" outlineLevel="0" collapsed="false">
      <c r="A405" s="25" t="s">
        <v>84</v>
      </c>
      <c r="B405" s="26" t="s">
        <v>153</v>
      </c>
      <c r="C405" s="27" t="s">
        <v>108</v>
      </c>
      <c r="D405" s="28"/>
      <c r="E405" s="28"/>
      <c r="F405" s="29" t="n">
        <f aca="false">'📋 Matches'!E45</f>
        <v>0</v>
      </c>
      <c r="G405" s="29" t="n">
        <f aca="false">'📋 Matches'!F45</f>
        <v>0</v>
      </c>
      <c r="H405" s="30" t="s">
        <v>148</v>
      </c>
      <c r="I405" s="30" t="s">
        <v>148</v>
      </c>
      <c r="J405" s="30" t="s">
        <v>148</v>
      </c>
      <c r="K405" s="30" t="s">
        <v>148</v>
      </c>
      <c r="L405" s="30" t="s">
        <v>148</v>
      </c>
    </row>
    <row r="406" customFormat="false" ht="18" hidden="false" customHeight="true" outlineLevel="0" collapsed="false">
      <c r="A406" s="25" t="s">
        <v>84</v>
      </c>
      <c r="B406" s="26" t="s">
        <v>153</v>
      </c>
      <c r="C406" s="27" t="s">
        <v>109</v>
      </c>
      <c r="D406" s="28"/>
      <c r="E406" s="28"/>
      <c r="F406" s="29" t="n">
        <f aca="false">'📋 Matches'!E46</f>
        <v>0</v>
      </c>
      <c r="G406" s="29" t="n">
        <f aca="false">'📋 Matches'!F46</f>
        <v>0</v>
      </c>
      <c r="H406" s="30" t="s">
        <v>148</v>
      </c>
      <c r="I406" s="30" t="s">
        <v>148</v>
      </c>
      <c r="J406" s="30" t="s">
        <v>148</v>
      </c>
      <c r="K406" s="30" t="s">
        <v>148</v>
      </c>
      <c r="L406" s="30" t="s">
        <v>148</v>
      </c>
    </row>
    <row r="407" customFormat="false" ht="18" hidden="false" customHeight="true" outlineLevel="0" collapsed="false">
      <c r="A407" s="25" t="s">
        <v>84</v>
      </c>
      <c r="B407" s="26" t="s">
        <v>153</v>
      </c>
      <c r="C407" s="27" t="s">
        <v>110</v>
      </c>
      <c r="D407" s="28"/>
      <c r="E407" s="28"/>
      <c r="F407" s="29" t="n">
        <f aca="false">'📋 Matches'!E47</f>
        <v>0</v>
      </c>
      <c r="G407" s="29" t="n">
        <f aca="false">'📋 Matches'!F47</f>
        <v>0</v>
      </c>
      <c r="H407" s="30" t="s">
        <v>148</v>
      </c>
      <c r="I407" s="30" t="s">
        <v>148</v>
      </c>
      <c r="J407" s="30" t="s">
        <v>148</v>
      </c>
      <c r="K407" s="30" t="s">
        <v>148</v>
      </c>
      <c r="L407" s="30" t="s">
        <v>148</v>
      </c>
    </row>
    <row r="408" customFormat="false" ht="18" hidden="false" customHeight="true" outlineLevel="0" collapsed="false">
      <c r="A408" s="25" t="s">
        <v>84</v>
      </c>
      <c r="B408" s="26" t="s">
        <v>153</v>
      </c>
      <c r="C408" s="27" t="s">
        <v>111</v>
      </c>
      <c r="D408" s="28"/>
      <c r="E408" s="28"/>
      <c r="F408" s="29" t="n">
        <f aca="false">'📋 Matches'!E48</f>
        <v>0</v>
      </c>
      <c r="G408" s="29" t="n">
        <f aca="false">'📋 Matches'!F48</f>
        <v>0</v>
      </c>
      <c r="H408" s="30" t="s">
        <v>148</v>
      </c>
      <c r="I408" s="30" t="s">
        <v>148</v>
      </c>
      <c r="J408" s="30" t="s">
        <v>148</v>
      </c>
      <c r="K408" s="30" t="s">
        <v>148</v>
      </c>
      <c r="L408" s="30" t="s">
        <v>148</v>
      </c>
    </row>
    <row r="409" customFormat="false" ht="18" hidden="false" customHeight="true" outlineLevel="0" collapsed="false">
      <c r="A409" s="25" t="s">
        <v>84</v>
      </c>
      <c r="B409" s="26" t="s">
        <v>153</v>
      </c>
      <c r="C409" s="27" t="s">
        <v>112</v>
      </c>
      <c r="D409" s="28"/>
      <c r="E409" s="28"/>
      <c r="F409" s="29" t="n">
        <f aca="false">'📋 Matches'!E49</f>
        <v>0</v>
      </c>
      <c r="G409" s="29" t="n">
        <f aca="false">'📋 Matches'!F49</f>
        <v>0</v>
      </c>
      <c r="H409" s="30" t="s">
        <v>148</v>
      </c>
      <c r="I409" s="30" t="s">
        <v>148</v>
      </c>
      <c r="J409" s="30" t="s">
        <v>148</v>
      </c>
      <c r="K409" s="30" t="s">
        <v>148</v>
      </c>
      <c r="L409" s="30" t="s">
        <v>148</v>
      </c>
    </row>
    <row r="410" customFormat="false" ht="18" hidden="false" customHeight="true" outlineLevel="0" collapsed="false">
      <c r="A410" s="25" t="s">
        <v>114</v>
      </c>
      <c r="B410" s="26" t="s">
        <v>153</v>
      </c>
      <c r="C410" s="27" t="s">
        <v>115</v>
      </c>
      <c r="D410" s="28"/>
      <c r="E410" s="28"/>
      <c r="F410" s="29" t="n">
        <f aca="false">'📋 Matches'!E50</f>
        <v>0</v>
      </c>
      <c r="G410" s="29" t="n">
        <f aca="false">'📋 Matches'!F50</f>
        <v>0</v>
      </c>
      <c r="H410" s="30" t="s">
        <v>148</v>
      </c>
      <c r="I410" s="30" t="s">
        <v>148</v>
      </c>
      <c r="J410" s="30" t="s">
        <v>148</v>
      </c>
      <c r="K410" s="30" t="s">
        <v>148</v>
      </c>
      <c r="L410" s="30" t="s">
        <v>148</v>
      </c>
    </row>
    <row r="411" customFormat="false" ht="18" hidden="false" customHeight="true" outlineLevel="0" collapsed="false">
      <c r="A411" s="25" t="s">
        <v>114</v>
      </c>
      <c r="B411" s="26" t="s">
        <v>153</v>
      </c>
      <c r="C411" s="27" t="s">
        <v>116</v>
      </c>
      <c r="D411" s="28"/>
      <c r="E411" s="28"/>
      <c r="F411" s="29" t="n">
        <f aca="false">'📋 Matches'!E51</f>
        <v>0</v>
      </c>
      <c r="G411" s="29" t="n">
        <f aca="false">'📋 Matches'!F51</f>
        <v>0</v>
      </c>
      <c r="H411" s="30" t="s">
        <v>148</v>
      </c>
      <c r="I411" s="30" t="s">
        <v>148</v>
      </c>
      <c r="J411" s="30" t="s">
        <v>148</v>
      </c>
      <c r="K411" s="30" t="s">
        <v>148</v>
      </c>
      <c r="L411" s="30" t="s">
        <v>148</v>
      </c>
    </row>
    <row r="412" customFormat="false" ht="18" hidden="false" customHeight="true" outlineLevel="0" collapsed="false">
      <c r="A412" s="25" t="s">
        <v>114</v>
      </c>
      <c r="B412" s="26" t="s">
        <v>153</v>
      </c>
      <c r="C412" s="27" t="s">
        <v>117</v>
      </c>
      <c r="D412" s="28"/>
      <c r="E412" s="28"/>
      <c r="F412" s="29" t="n">
        <f aca="false">'📋 Matches'!E52</f>
        <v>0</v>
      </c>
      <c r="G412" s="29" t="n">
        <f aca="false">'📋 Matches'!F52</f>
        <v>0</v>
      </c>
      <c r="H412" s="30" t="s">
        <v>148</v>
      </c>
      <c r="I412" s="30" t="s">
        <v>148</v>
      </c>
      <c r="J412" s="30" t="s">
        <v>148</v>
      </c>
      <c r="K412" s="30" t="s">
        <v>148</v>
      </c>
      <c r="L412" s="30" t="s">
        <v>148</v>
      </c>
    </row>
    <row r="413" customFormat="false" ht="18" hidden="false" customHeight="true" outlineLevel="0" collapsed="false">
      <c r="A413" s="25" t="s">
        <v>114</v>
      </c>
      <c r="B413" s="26" t="s">
        <v>153</v>
      </c>
      <c r="C413" s="27" t="s">
        <v>118</v>
      </c>
      <c r="D413" s="28"/>
      <c r="E413" s="28"/>
      <c r="F413" s="29" t="n">
        <f aca="false">'📋 Matches'!E53</f>
        <v>0</v>
      </c>
      <c r="G413" s="29" t="n">
        <f aca="false">'📋 Matches'!F53</f>
        <v>0</v>
      </c>
      <c r="H413" s="30" t="s">
        <v>148</v>
      </c>
      <c r="I413" s="30" t="s">
        <v>148</v>
      </c>
      <c r="J413" s="30" t="s">
        <v>148</v>
      </c>
      <c r="K413" s="30" t="s">
        <v>148</v>
      </c>
      <c r="L413" s="30" t="s">
        <v>148</v>
      </c>
    </row>
    <row r="414" customFormat="false" ht="18" hidden="false" customHeight="true" outlineLevel="0" collapsed="false">
      <c r="A414" s="25" t="s">
        <v>114</v>
      </c>
      <c r="B414" s="26" t="s">
        <v>153</v>
      </c>
      <c r="C414" s="27" t="s">
        <v>119</v>
      </c>
      <c r="D414" s="28"/>
      <c r="E414" s="28"/>
      <c r="F414" s="29" t="n">
        <f aca="false">'📋 Matches'!E54</f>
        <v>0</v>
      </c>
      <c r="G414" s="29" t="n">
        <f aca="false">'📋 Matches'!F54</f>
        <v>0</v>
      </c>
      <c r="H414" s="30" t="s">
        <v>148</v>
      </c>
      <c r="I414" s="30" t="s">
        <v>148</v>
      </c>
      <c r="J414" s="30" t="s">
        <v>148</v>
      </c>
      <c r="K414" s="30" t="s">
        <v>148</v>
      </c>
      <c r="L414" s="30" t="s">
        <v>148</v>
      </c>
    </row>
    <row r="415" customFormat="false" ht="18" hidden="false" customHeight="true" outlineLevel="0" collapsed="false">
      <c r="A415" s="25" t="s">
        <v>114</v>
      </c>
      <c r="B415" s="26" t="s">
        <v>153</v>
      </c>
      <c r="C415" s="27" t="s">
        <v>120</v>
      </c>
      <c r="D415" s="28"/>
      <c r="E415" s="28"/>
      <c r="F415" s="29" t="n">
        <f aca="false">'📋 Matches'!E55</f>
        <v>0</v>
      </c>
      <c r="G415" s="29" t="n">
        <f aca="false">'📋 Matches'!F55</f>
        <v>0</v>
      </c>
      <c r="H415" s="30" t="s">
        <v>148</v>
      </c>
      <c r="I415" s="30" t="s">
        <v>148</v>
      </c>
      <c r="J415" s="30" t="s">
        <v>148</v>
      </c>
      <c r="K415" s="30" t="s">
        <v>148</v>
      </c>
      <c r="L415" s="30" t="s">
        <v>148</v>
      </c>
    </row>
    <row r="416" customFormat="false" ht="18" hidden="false" customHeight="true" outlineLevel="0" collapsed="false">
      <c r="A416" s="25" t="s">
        <v>114</v>
      </c>
      <c r="B416" s="26" t="s">
        <v>153</v>
      </c>
      <c r="C416" s="27" t="s">
        <v>121</v>
      </c>
      <c r="D416" s="28"/>
      <c r="E416" s="28"/>
      <c r="F416" s="29" t="n">
        <f aca="false">'📋 Matches'!E56</f>
        <v>0</v>
      </c>
      <c r="G416" s="29" t="n">
        <f aca="false">'📋 Matches'!F56</f>
        <v>0</v>
      </c>
      <c r="H416" s="30" t="s">
        <v>148</v>
      </c>
      <c r="I416" s="30" t="s">
        <v>148</v>
      </c>
      <c r="J416" s="30" t="s">
        <v>148</v>
      </c>
      <c r="K416" s="30" t="s">
        <v>148</v>
      </c>
      <c r="L416" s="30" t="s">
        <v>148</v>
      </c>
    </row>
    <row r="417" customFormat="false" ht="18" hidden="false" customHeight="true" outlineLevel="0" collapsed="false">
      <c r="A417" s="25" t="s">
        <v>114</v>
      </c>
      <c r="B417" s="26" t="s">
        <v>153</v>
      </c>
      <c r="C417" s="27" t="s">
        <v>122</v>
      </c>
      <c r="D417" s="28"/>
      <c r="E417" s="28"/>
      <c r="F417" s="29" t="n">
        <f aca="false">'📋 Matches'!E57</f>
        <v>0</v>
      </c>
      <c r="G417" s="29" t="n">
        <f aca="false">'📋 Matches'!F57</f>
        <v>0</v>
      </c>
      <c r="H417" s="30" t="s">
        <v>148</v>
      </c>
      <c r="I417" s="30" t="s">
        <v>148</v>
      </c>
      <c r="J417" s="30" t="s">
        <v>148</v>
      </c>
      <c r="K417" s="30" t="s">
        <v>148</v>
      </c>
      <c r="L417" s="30" t="s">
        <v>148</v>
      </c>
    </row>
    <row r="418" customFormat="false" ht="18" hidden="false" customHeight="true" outlineLevel="0" collapsed="false">
      <c r="A418" s="25" t="s">
        <v>114</v>
      </c>
      <c r="B418" s="26" t="s">
        <v>153</v>
      </c>
      <c r="C418" s="27" t="s">
        <v>123</v>
      </c>
      <c r="D418" s="28"/>
      <c r="E418" s="28"/>
      <c r="F418" s="29" t="n">
        <f aca="false">'📋 Matches'!E58</f>
        <v>0</v>
      </c>
      <c r="G418" s="29" t="n">
        <f aca="false">'📋 Matches'!F58</f>
        <v>0</v>
      </c>
      <c r="H418" s="30" t="s">
        <v>148</v>
      </c>
      <c r="I418" s="30" t="s">
        <v>148</v>
      </c>
      <c r="J418" s="30" t="s">
        <v>148</v>
      </c>
      <c r="K418" s="30" t="s">
        <v>148</v>
      </c>
      <c r="L418" s="30" t="s">
        <v>148</v>
      </c>
    </row>
    <row r="419" customFormat="false" ht="18" hidden="false" customHeight="true" outlineLevel="0" collapsed="false">
      <c r="A419" s="25" t="s">
        <v>114</v>
      </c>
      <c r="B419" s="26" t="s">
        <v>153</v>
      </c>
      <c r="C419" s="27" t="s">
        <v>124</v>
      </c>
      <c r="D419" s="28"/>
      <c r="E419" s="28"/>
      <c r="F419" s="29" t="n">
        <f aca="false">'📋 Matches'!E59</f>
        <v>0</v>
      </c>
      <c r="G419" s="29" t="n">
        <f aca="false">'📋 Matches'!F59</f>
        <v>0</v>
      </c>
      <c r="H419" s="30" t="s">
        <v>148</v>
      </c>
      <c r="I419" s="30" t="s">
        <v>148</v>
      </c>
      <c r="J419" s="30" t="s">
        <v>148</v>
      </c>
      <c r="K419" s="30" t="s">
        <v>148</v>
      </c>
      <c r="L419" s="30" t="s">
        <v>148</v>
      </c>
    </row>
    <row r="420" customFormat="false" ht="18" hidden="false" customHeight="true" outlineLevel="0" collapsed="false">
      <c r="A420" s="25" t="s">
        <v>114</v>
      </c>
      <c r="B420" s="26" t="s">
        <v>153</v>
      </c>
      <c r="C420" s="27" t="s">
        <v>125</v>
      </c>
      <c r="D420" s="28"/>
      <c r="E420" s="28"/>
      <c r="F420" s="29" t="n">
        <f aca="false">'📋 Matches'!E60</f>
        <v>0</v>
      </c>
      <c r="G420" s="29" t="n">
        <f aca="false">'📋 Matches'!F60</f>
        <v>0</v>
      </c>
      <c r="H420" s="30" t="s">
        <v>148</v>
      </c>
      <c r="I420" s="30" t="s">
        <v>148</v>
      </c>
      <c r="J420" s="30" t="s">
        <v>148</v>
      </c>
      <c r="K420" s="30" t="s">
        <v>148</v>
      </c>
      <c r="L420" s="30" t="s">
        <v>148</v>
      </c>
    </row>
    <row r="421" customFormat="false" ht="18" hidden="false" customHeight="true" outlineLevel="0" collapsed="false">
      <c r="A421" s="25" t="s">
        <v>114</v>
      </c>
      <c r="B421" s="26" t="s">
        <v>153</v>
      </c>
      <c r="C421" s="27" t="s">
        <v>126</v>
      </c>
      <c r="D421" s="28"/>
      <c r="E421" s="28"/>
      <c r="F421" s="29" t="n">
        <f aca="false">'📋 Matches'!E61</f>
        <v>0</v>
      </c>
      <c r="G421" s="29" t="n">
        <f aca="false">'📋 Matches'!F61</f>
        <v>0</v>
      </c>
      <c r="H421" s="30" t="s">
        <v>148</v>
      </c>
      <c r="I421" s="30" t="s">
        <v>148</v>
      </c>
      <c r="J421" s="30" t="s">
        <v>148</v>
      </c>
      <c r="K421" s="30" t="s">
        <v>148</v>
      </c>
      <c r="L421" s="30" t="s">
        <v>148</v>
      </c>
    </row>
    <row r="422" customFormat="false" ht="18" hidden="false" customHeight="true" outlineLevel="0" collapsed="false">
      <c r="A422" s="25" t="s">
        <v>114</v>
      </c>
      <c r="B422" s="26" t="s">
        <v>153</v>
      </c>
      <c r="C422" s="27" t="s">
        <v>127</v>
      </c>
      <c r="D422" s="28"/>
      <c r="E422" s="28"/>
      <c r="F422" s="29" t="n">
        <f aca="false">'📋 Matches'!E62</f>
        <v>0</v>
      </c>
      <c r="G422" s="29" t="n">
        <f aca="false">'📋 Matches'!F62</f>
        <v>0</v>
      </c>
      <c r="H422" s="30" t="s">
        <v>148</v>
      </c>
      <c r="I422" s="30" t="s">
        <v>148</v>
      </c>
      <c r="J422" s="30" t="s">
        <v>148</v>
      </c>
      <c r="K422" s="30" t="s">
        <v>148</v>
      </c>
      <c r="L422" s="30" t="s">
        <v>148</v>
      </c>
    </row>
    <row r="423" customFormat="false" ht="18" hidden="false" customHeight="true" outlineLevel="0" collapsed="false">
      <c r="A423" s="25" t="s">
        <v>114</v>
      </c>
      <c r="B423" s="26" t="s">
        <v>153</v>
      </c>
      <c r="C423" s="27" t="s">
        <v>128</v>
      </c>
      <c r="D423" s="28"/>
      <c r="E423" s="28"/>
      <c r="F423" s="29" t="n">
        <f aca="false">'📋 Matches'!E63</f>
        <v>0</v>
      </c>
      <c r="G423" s="29" t="n">
        <f aca="false">'📋 Matches'!F63</f>
        <v>0</v>
      </c>
      <c r="H423" s="30" t="s">
        <v>148</v>
      </c>
      <c r="I423" s="30" t="s">
        <v>148</v>
      </c>
      <c r="J423" s="30" t="s">
        <v>148</v>
      </c>
      <c r="K423" s="30" t="s">
        <v>148</v>
      </c>
      <c r="L423" s="30" t="s">
        <v>148</v>
      </c>
    </row>
    <row r="424" customFormat="false" ht="18" hidden="false" customHeight="true" outlineLevel="0" collapsed="false">
      <c r="A424" s="25" t="s">
        <v>114</v>
      </c>
      <c r="B424" s="26" t="s">
        <v>153</v>
      </c>
      <c r="C424" s="27" t="s">
        <v>129</v>
      </c>
      <c r="D424" s="28"/>
      <c r="E424" s="28"/>
      <c r="F424" s="29" t="n">
        <f aca="false">'📋 Matches'!E64</f>
        <v>0</v>
      </c>
      <c r="G424" s="29" t="n">
        <f aca="false">'📋 Matches'!F64</f>
        <v>0</v>
      </c>
      <c r="H424" s="30" t="s">
        <v>148</v>
      </c>
      <c r="I424" s="30" t="s">
        <v>148</v>
      </c>
      <c r="J424" s="30" t="s">
        <v>148</v>
      </c>
      <c r="K424" s="30" t="s">
        <v>148</v>
      </c>
      <c r="L424" s="30" t="s">
        <v>148</v>
      </c>
    </row>
    <row r="425" customFormat="false" ht="18" hidden="false" customHeight="true" outlineLevel="0" collapsed="false">
      <c r="A425" s="25" t="s">
        <v>114</v>
      </c>
      <c r="B425" s="26" t="s">
        <v>153</v>
      </c>
      <c r="C425" s="27" t="s">
        <v>130</v>
      </c>
      <c r="D425" s="28"/>
      <c r="E425" s="28"/>
      <c r="F425" s="29" t="n">
        <f aca="false">'📋 Matches'!E65</f>
        <v>0</v>
      </c>
      <c r="G425" s="29" t="n">
        <f aca="false">'📋 Matches'!F65</f>
        <v>0</v>
      </c>
      <c r="H425" s="30" t="s">
        <v>148</v>
      </c>
      <c r="I425" s="30" t="s">
        <v>148</v>
      </c>
      <c r="J425" s="30" t="s">
        <v>148</v>
      </c>
      <c r="K425" s="30" t="s">
        <v>148</v>
      </c>
      <c r="L425" s="30" t="s">
        <v>148</v>
      </c>
    </row>
    <row r="426" customFormat="false" ht="18" hidden="false" customHeight="true" outlineLevel="0" collapsed="false">
      <c r="A426" s="25" t="s">
        <v>114</v>
      </c>
      <c r="B426" s="26" t="s">
        <v>153</v>
      </c>
      <c r="C426" s="27" t="s">
        <v>131</v>
      </c>
      <c r="D426" s="28"/>
      <c r="E426" s="28"/>
      <c r="F426" s="29" t="n">
        <f aca="false">'📋 Matches'!E66</f>
        <v>0</v>
      </c>
      <c r="G426" s="29" t="n">
        <f aca="false">'📋 Matches'!F66</f>
        <v>0</v>
      </c>
      <c r="H426" s="30" t="s">
        <v>148</v>
      </c>
      <c r="I426" s="30" t="s">
        <v>148</v>
      </c>
      <c r="J426" s="30" t="s">
        <v>148</v>
      </c>
      <c r="K426" s="30" t="s">
        <v>148</v>
      </c>
      <c r="L426" s="30" t="s">
        <v>148</v>
      </c>
    </row>
    <row r="427" customFormat="false" ht="18" hidden="false" customHeight="true" outlineLevel="0" collapsed="false">
      <c r="A427" s="25" t="s">
        <v>114</v>
      </c>
      <c r="B427" s="26" t="s">
        <v>153</v>
      </c>
      <c r="C427" s="27" t="s">
        <v>132</v>
      </c>
      <c r="D427" s="28"/>
      <c r="E427" s="28"/>
      <c r="F427" s="29" t="n">
        <f aca="false">'📋 Matches'!E67</f>
        <v>0</v>
      </c>
      <c r="G427" s="29" t="n">
        <f aca="false">'📋 Matches'!F67</f>
        <v>0</v>
      </c>
      <c r="H427" s="30" t="s">
        <v>148</v>
      </c>
      <c r="I427" s="30" t="s">
        <v>148</v>
      </c>
      <c r="J427" s="30" t="s">
        <v>148</v>
      </c>
      <c r="K427" s="30" t="s">
        <v>148</v>
      </c>
      <c r="L427" s="30" t="s">
        <v>148</v>
      </c>
    </row>
    <row r="428" customFormat="false" ht="18" hidden="false" customHeight="true" outlineLevel="0" collapsed="false">
      <c r="A428" s="25" t="s">
        <v>114</v>
      </c>
      <c r="B428" s="26" t="s">
        <v>153</v>
      </c>
      <c r="C428" s="27" t="s">
        <v>133</v>
      </c>
      <c r="D428" s="28"/>
      <c r="E428" s="28"/>
      <c r="F428" s="29" t="n">
        <f aca="false">'📋 Matches'!E68</f>
        <v>0</v>
      </c>
      <c r="G428" s="29" t="n">
        <f aca="false">'📋 Matches'!F68</f>
        <v>0</v>
      </c>
      <c r="H428" s="30" t="s">
        <v>148</v>
      </c>
      <c r="I428" s="30" t="s">
        <v>148</v>
      </c>
      <c r="J428" s="30" t="s">
        <v>148</v>
      </c>
      <c r="K428" s="30" t="s">
        <v>148</v>
      </c>
      <c r="L428" s="30" t="s">
        <v>148</v>
      </c>
    </row>
    <row r="429" customFormat="false" ht="18" hidden="false" customHeight="true" outlineLevel="0" collapsed="false">
      <c r="A429" s="25" t="s">
        <v>114</v>
      </c>
      <c r="B429" s="26" t="s">
        <v>153</v>
      </c>
      <c r="C429" s="27" t="s">
        <v>134</v>
      </c>
      <c r="D429" s="28"/>
      <c r="E429" s="28"/>
      <c r="F429" s="29" t="n">
        <f aca="false">'📋 Matches'!E69</f>
        <v>0</v>
      </c>
      <c r="G429" s="29" t="n">
        <f aca="false">'📋 Matches'!F69</f>
        <v>0</v>
      </c>
      <c r="H429" s="30" t="s">
        <v>148</v>
      </c>
      <c r="I429" s="30" t="s">
        <v>148</v>
      </c>
      <c r="J429" s="30" t="s">
        <v>148</v>
      </c>
      <c r="K429" s="30" t="s">
        <v>148</v>
      </c>
      <c r="L429" s="30" t="s">
        <v>148</v>
      </c>
    </row>
    <row r="430" customFormat="false" ht="18" hidden="false" customHeight="true" outlineLevel="0" collapsed="false">
      <c r="A430" s="25" t="s">
        <v>114</v>
      </c>
      <c r="B430" s="26" t="s">
        <v>153</v>
      </c>
      <c r="C430" s="27" t="s">
        <v>135</v>
      </c>
      <c r="D430" s="28"/>
      <c r="E430" s="28"/>
      <c r="F430" s="29" t="n">
        <f aca="false">'📋 Matches'!E70</f>
        <v>0</v>
      </c>
      <c r="G430" s="29" t="n">
        <f aca="false">'📋 Matches'!F70</f>
        <v>0</v>
      </c>
      <c r="H430" s="30" t="s">
        <v>148</v>
      </c>
      <c r="I430" s="30" t="s">
        <v>148</v>
      </c>
      <c r="J430" s="30" t="s">
        <v>148</v>
      </c>
      <c r="K430" s="30" t="s">
        <v>148</v>
      </c>
      <c r="L430" s="30" t="s">
        <v>148</v>
      </c>
    </row>
    <row r="431" customFormat="false" ht="18" hidden="false" customHeight="true" outlineLevel="0" collapsed="false">
      <c r="A431" s="25" t="s">
        <v>114</v>
      </c>
      <c r="B431" s="26" t="s">
        <v>153</v>
      </c>
      <c r="C431" s="27" t="s">
        <v>136</v>
      </c>
      <c r="D431" s="28"/>
      <c r="E431" s="28"/>
      <c r="F431" s="29" t="n">
        <f aca="false">'📋 Matches'!E71</f>
        <v>0</v>
      </c>
      <c r="G431" s="29" t="n">
        <f aca="false">'📋 Matches'!F71</f>
        <v>0</v>
      </c>
      <c r="H431" s="30" t="s">
        <v>148</v>
      </c>
      <c r="I431" s="30" t="s">
        <v>148</v>
      </c>
      <c r="J431" s="30" t="s">
        <v>148</v>
      </c>
      <c r="K431" s="30" t="s">
        <v>148</v>
      </c>
      <c r="L431" s="30" t="s">
        <v>148</v>
      </c>
    </row>
    <row r="432" customFormat="false" ht="18" hidden="false" customHeight="true" outlineLevel="0" collapsed="false">
      <c r="A432" s="25" t="s">
        <v>114</v>
      </c>
      <c r="B432" s="26" t="s">
        <v>153</v>
      </c>
      <c r="C432" s="27" t="s">
        <v>137</v>
      </c>
      <c r="D432" s="28"/>
      <c r="E432" s="28"/>
      <c r="F432" s="29" t="n">
        <f aca="false">'📋 Matches'!E72</f>
        <v>0</v>
      </c>
      <c r="G432" s="29" t="n">
        <f aca="false">'📋 Matches'!F72</f>
        <v>0</v>
      </c>
      <c r="H432" s="30" t="s">
        <v>148</v>
      </c>
      <c r="I432" s="30" t="s">
        <v>148</v>
      </c>
      <c r="J432" s="30" t="s">
        <v>148</v>
      </c>
      <c r="K432" s="30" t="s">
        <v>148</v>
      </c>
      <c r="L432" s="30" t="s">
        <v>148</v>
      </c>
    </row>
    <row r="433" customFormat="false" ht="18" hidden="false" customHeight="true" outlineLevel="0" collapsed="false">
      <c r="A433" s="25" t="s">
        <v>114</v>
      </c>
      <c r="B433" s="26" t="s">
        <v>153</v>
      </c>
      <c r="C433" s="27" t="s">
        <v>138</v>
      </c>
      <c r="D433" s="28"/>
      <c r="E433" s="28"/>
      <c r="F433" s="29" t="n">
        <f aca="false">'📋 Matches'!E73</f>
        <v>0</v>
      </c>
      <c r="G433" s="29" t="n">
        <f aca="false">'📋 Matches'!F73</f>
        <v>0</v>
      </c>
      <c r="H433" s="30" t="s">
        <v>148</v>
      </c>
      <c r="I433" s="30" t="s">
        <v>148</v>
      </c>
      <c r="J433" s="30" t="s">
        <v>148</v>
      </c>
      <c r="K433" s="30" t="s">
        <v>148</v>
      </c>
      <c r="L433" s="30" t="s">
        <v>148</v>
      </c>
    </row>
    <row r="434" customFormat="false" ht="18" hidden="false" customHeight="true" outlineLevel="0" collapsed="false">
      <c r="A434" s="17" t="s">
        <v>9</v>
      </c>
      <c r="B434" s="18" t="s">
        <v>154</v>
      </c>
      <c r="C434" s="19" t="s">
        <v>10</v>
      </c>
      <c r="D434" s="20" t="n">
        <v>2</v>
      </c>
      <c r="E434" s="20" t="n">
        <v>0</v>
      </c>
      <c r="F434" s="21" t="n">
        <f aca="false">'📋 Matches'!E2</f>
        <v>2</v>
      </c>
      <c r="G434" s="21" t="n">
        <f aca="false">'📋 Matches'!F2</f>
        <v>0</v>
      </c>
      <c r="H434" s="22" t="n">
        <f aca="false">IF(AND(ISNUMBER(F434),ISNUMBER(G434)),IF(SIGN(D434-E434)=SIGN(F434-G434),48,0),"")</f>
        <v>48</v>
      </c>
      <c r="I434" s="22" t="n">
        <f aca="false">IF(AND(ISNUMBER(F434),ISNUMBER(G434)),IF(D434=F434,15,0),"")</f>
        <v>15</v>
      </c>
      <c r="J434" s="22" t="n">
        <f aca="false">IF(AND(ISNUMBER(F434),ISNUMBER(G434)),IF(E434=G434,15,0),"")</f>
        <v>15</v>
      </c>
      <c r="K434" s="22" t="n">
        <f aca="false">IF(AND(ISNUMBER(F434),ISNUMBER(G434)),IF(ABS(D434-E434)=ABS(F434-G434),12,0),"")</f>
        <v>12</v>
      </c>
      <c r="L434" s="23" t="n">
        <f aca="false">IF(ISNUMBER(H434),H434+I434+J434+K434,"")</f>
        <v>90</v>
      </c>
    </row>
    <row r="435" customFormat="false" ht="18" hidden="false" customHeight="true" outlineLevel="0" collapsed="false">
      <c r="A435" s="17" t="s">
        <v>9</v>
      </c>
      <c r="B435" s="18" t="s">
        <v>154</v>
      </c>
      <c r="C435" s="19" t="s">
        <v>14</v>
      </c>
      <c r="D435" s="20" t="n">
        <v>1</v>
      </c>
      <c r="E435" s="20" t="n">
        <v>3</v>
      </c>
      <c r="F435" s="21" t="n">
        <f aca="false">'📋 Matches'!E3</f>
        <v>2</v>
      </c>
      <c r="G435" s="21" t="n">
        <f aca="false">'📋 Matches'!F3</f>
        <v>1</v>
      </c>
      <c r="H435" s="22" t="n">
        <f aca="false">IF(AND(ISNUMBER(F435),ISNUMBER(G435)),IF(SIGN(D435-E435)=SIGN(F435-G435),48,0),"")</f>
        <v>0</v>
      </c>
      <c r="I435" s="22" t="n">
        <f aca="false">IF(AND(ISNUMBER(F435),ISNUMBER(G435)),IF(D435=F435,15,0),"")</f>
        <v>0</v>
      </c>
      <c r="J435" s="22" t="n">
        <f aca="false">IF(AND(ISNUMBER(F435),ISNUMBER(G435)),IF(E435=G435,15,0),"")</f>
        <v>0</v>
      </c>
      <c r="K435" s="22" t="n">
        <f aca="false">IF(AND(ISNUMBER(F435),ISNUMBER(G435)),IF(ABS(D435-E435)=ABS(F435-G435),12,0),"")</f>
        <v>0</v>
      </c>
      <c r="L435" s="23" t="n">
        <f aca="false">IF(ISNUMBER(H435),H435+I435+J435+K435,"")</f>
        <v>0</v>
      </c>
    </row>
    <row r="436" customFormat="false" ht="18" hidden="false" customHeight="true" outlineLevel="0" collapsed="false">
      <c r="A436" s="17" t="s">
        <v>9</v>
      </c>
      <c r="B436" s="18" t="s">
        <v>154</v>
      </c>
      <c r="C436" s="19" t="s">
        <v>17</v>
      </c>
      <c r="D436" s="20" t="n">
        <v>2</v>
      </c>
      <c r="E436" s="20" t="n">
        <v>1</v>
      </c>
      <c r="F436" s="21" t="n">
        <f aca="false">'📋 Matches'!E4</f>
        <v>1</v>
      </c>
      <c r="G436" s="21" t="n">
        <f aca="false">'📋 Matches'!F4</f>
        <v>1</v>
      </c>
      <c r="H436" s="22" t="n">
        <f aca="false">IF(AND(ISNUMBER(F436),ISNUMBER(G436)),IF(SIGN(D436-E436)=SIGN(F436-G436),48,0),"")</f>
        <v>0</v>
      </c>
      <c r="I436" s="22" t="n">
        <f aca="false">IF(AND(ISNUMBER(F436),ISNUMBER(G436)),IF(D436=F436,15,0),"")</f>
        <v>0</v>
      </c>
      <c r="J436" s="22" t="n">
        <f aca="false">IF(AND(ISNUMBER(F436),ISNUMBER(G436)),IF(E436=G436,15,0),"")</f>
        <v>15</v>
      </c>
      <c r="K436" s="22" t="n">
        <f aca="false">IF(AND(ISNUMBER(F436),ISNUMBER(G436)),IF(ABS(D436-E436)=ABS(F436-G436),12,0),"")</f>
        <v>0</v>
      </c>
      <c r="L436" s="23" t="n">
        <f aca="false">IF(ISNUMBER(H436),H436+I436+J436+K436,"")</f>
        <v>15</v>
      </c>
    </row>
    <row r="437" customFormat="false" ht="18" hidden="false" customHeight="true" outlineLevel="0" collapsed="false">
      <c r="A437" s="17" t="s">
        <v>9</v>
      </c>
      <c r="B437" s="18" t="s">
        <v>154</v>
      </c>
      <c r="C437" s="19" t="s">
        <v>20</v>
      </c>
      <c r="D437" s="20" t="n">
        <v>0</v>
      </c>
      <c r="E437" s="20" t="n">
        <v>2</v>
      </c>
      <c r="F437" s="21" t="n">
        <f aca="false">'📋 Matches'!E5</f>
        <v>4</v>
      </c>
      <c r="G437" s="21" t="n">
        <f aca="false">'📋 Matches'!F5</f>
        <v>1</v>
      </c>
      <c r="H437" s="22" t="n">
        <f aca="false">IF(AND(ISNUMBER(F437),ISNUMBER(G437)),IF(SIGN(D437-E437)=SIGN(F437-G437),48,0),"")</f>
        <v>0</v>
      </c>
      <c r="I437" s="22" t="n">
        <f aca="false">IF(AND(ISNUMBER(F437),ISNUMBER(G437)),IF(D437=F437,15,0),"")</f>
        <v>0</v>
      </c>
      <c r="J437" s="22" t="n">
        <f aca="false">IF(AND(ISNUMBER(F437),ISNUMBER(G437)),IF(E437=G437,15,0),"")</f>
        <v>0</v>
      </c>
      <c r="K437" s="22" t="n">
        <f aca="false">IF(AND(ISNUMBER(F437),ISNUMBER(G437)),IF(ABS(D437-E437)=ABS(F437-G437),12,0),"")</f>
        <v>0</v>
      </c>
      <c r="L437" s="23" t="n">
        <f aca="false">IF(ISNUMBER(H437),H437+I437+J437+K437,"")</f>
        <v>0</v>
      </c>
    </row>
    <row r="438" customFormat="false" ht="18" hidden="false" customHeight="true" outlineLevel="0" collapsed="false">
      <c r="A438" s="17" t="s">
        <v>9</v>
      </c>
      <c r="B438" s="18" t="s">
        <v>154</v>
      </c>
      <c r="C438" s="19" t="s">
        <v>23</v>
      </c>
      <c r="D438" s="20" t="n">
        <v>0</v>
      </c>
      <c r="E438" s="20" t="n">
        <v>3</v>
      </c>
      <c r="F438" s="21" t="n">
        <f aca="false">'📋 Matches'!E6</f>
        <v>0</v>
      </c>
      <c r="G438" s="21" t="n">
        <f aca="false">'📋 Matches'!F6</f>
        <v>0</v>
      </c>
      <c r="H438" s="22" t="str">
        <f aca="false">IF(AND(ISNUMBER(F438),ISNUMBER(G438)),IF(SIGN(D438-E438)=SIGN(F438-G438),48,0),"")</f>
        <v/>
      </c>
      <c r="I438" s="22" t="str">
        <f aca="false">IF(AND(ISNUMBER(F438),ISNUMBER(G438)),IF(D438=F438,15,0),"")</f>
        <v/>
      </c>
      <c r="J438" s="22" t="str">
        <f aca="false">IF(AND(ISNUMBER(F438),ISNUMBER(G438)),IF(E438=G438,15,0),"")</f>
        <v/>
      </c>
      <c r="K438" s="22" t="str">
        <f aca="false">IF(AND(ISNUMBER(F438),ISNUMBER(G438)),IF(ABS(D438-E438)=ABS(F438-G438),12,0),"")</f>
        <v/>
      </c>
      <c r="L438" s="23" t="str">
        <f aca="false">IF(ISNUMBER(H438),H438+I438+J438+K438,"")</f>
        <v/>
      </c>
    </row>
    <row r="439" customFormat="false" ht="18" hidden="false" customHeight="true" outlineLevel="0" collapsed="false">
      <c r="A439" s="17" t="s">
        <v>9</v>
      </c>
      <c r="B439" s="18" t="s">
        <v>154</v>
      </c>
      <c r="C439" s="19" t="s">
        <v>27</v>
      </c>
      <c r="D439" s="20" t="n">
        <v>2</v>
      </c>
      <c r="E439" s="20" t="n">
        <v>1</v>
      </c>
      <c r="F439" s="21" t="n">
        <f aca="false">'📋 Matches'!E7</f>
        <v>0</v>
      </c>
      <c r="G439" s="21" t="n">
        <f aca="false">'📋 Matches'!F7</f>
        <v>0</v>
      </c>
      <c r="H439" s="22" t="str">
        <f aca="false">IF(AND(ISNUMBER(F439),ISNUMBER(G439)),IF(SIGN(D439-E439)=SIGN(F439-G439),48,0),"")</f>
        <v/>
      </c>
      <c r="I439" s="22" t="str">
        <f aca="false">IF(AND(ISNUMBER(F439),ISNUMBER(G439)),IF(D439=F439,15,0),"")</f>
        <v/>
      </c>
      <c r="J439" s="22" t="str">
        <f aca="false">IF(AND(ISNUMBER(F439),ISNUMBER(G439)),IF(E439=G439,15,0),"")</f>
        <v/>
      </c>
      <c r="K439" s="22" t="str">
        <f aca="false">IF(AND(ISNUMBER(F439),ISNUMBER(G439)),IF(ABS(D439-E439)=ABS(F439-G439),12,0),"")</f>
        <v/>
      </c>
      <c r="L439" s="23" t="str">
        <f aca="false">IF(ISNUMBER(H439),H439+I439+J439+K439,"")</f>
        <v/>
      </c>
    </row>
    <row r="440" customFormat="false" ht="18" hidden="false" customHeight="true" outlineLevel="0" collapsed="false">
      <c r="A440" s="17" t="s">
        <v>9</v>
      </c>
      <c r="B440" s="18" t="s">
        <v>154</v>
      </c>
      <c r="C440" s="19" t="s">
        <v>30</v>
      </c>
      <c r="D440" s="20" t="n">
        <v>1</v>
      </c>
      <c r="E440" s="20" t="n">
        <v>1</v>
      </c>
      <c r="F440" s="21" t="n">
        <f aca="false">'📋 Matches'!E8</f>
        <v>0</v>
      </c>
      <c r="G440" s="21" t="n">
        <f aca="false">'📋 Matches'!F8</f>
        <v>0</v>
      </c>
      <c r="H440" s="22" t="str">
        <f aca="false">IF(AND(ISNUMBER(F440),ISNUMBER(G440)),IF(SIGN(D440-E440)=SIGN(F440-G440),48,0),"")</f>
        <v/>
      </c>
      <c r="I440" s="22" t="str">
        <f aca="false">IF(AND(ISNUMBER(F440),ISNUMBER(G440)),IF(D440=F440,15,0),"")</f>
        <v/>
      </c>
      <c r="J440" s="22" t="str">
        <f aca="false">IF(AND(ISNUMBER(F440),ISNUMBER(G440)),IF(E440=G440,15,0),"")</f>
        <v/>
      </c>
      <c r="K440" s="22" t="str">
        <f aca="false">IF(AND(ISNUMBER(F440),ISNUMBER(G440)),IF(ABS(D440-E440)=ABS(F440-G440),12,0),"")</f>
        <v/>
      </c>
      <c r="L440" s="23" t="str">
        <f aca="false">IF(ISNUMBER(H440),H440+I440+J440+K440,"")</f>
        <v/>
      </c>
    </row>
    <row r="441" customFormat="false" ht="18" hidden="false" customHeight="true" outlineLevel="0" collapsed="false">
      <c r="A441" s="17" t="s">
        <v>9</v>
      </c>
      <c r="B441" s="18" t="s">
        <v>154</v>
      </c>
      <c r="C441" s="19" t="s">
        <v>33</v>
      </c>
      <c r="D441" s="20" t="n">
        <v>1</v>
      </c>
      <c r="E441" s="20" t="n">
        <v>3</v>
      </c>
      <c r="F441" s="21" t="n">
        <f aca="false">'📋 Matches'!E9</f>
        <v>0</v>
      </c>
      <c r="G441" s="21" t="n">
        <f aca="false">'📋 Matches'!F9</f>
        <v>0</v>
      </c>
      <c r="H441" s="22" t="str">
        <f aca="false">IF(AND(ISNUMBER(F441),ISNUMBER(G441)),IF(SIGN(D441-E441)=SIGN(F441-G441),48,0),"")</f>
        <v/>
      </c>
      <c r="I441" s="22" t="str">
        <f aca="false">IF(AND(ISNUMBER(F441),ISNUMBER(G441)),IF(D441=F441,15,0),"")</f>
        <v/>
      </c>
      <c r="J441" s="22" t="str">
        <f aca="false">IF(AND(ISNUMBER(F441),ISNUMBER(G441)),IF(E441=G441,15,0),"")</f>
        <v/>
      </c>
      <c r="K441" s="22" t="str">
        <f aca="false">IF(AND(ISNUMBER(F441),ISNUMBER(G441)),IF(ABS(D441-E441)=ABS(F441-G441),12,0),"")</f>
        <v/>
      </c>
      <c r="L441" s="23" t="str">
        <f aca="false">IF(ISNUMBER(H441),H441+I441+J441+K441,"")</f>
        <v/>
      </c>
    </row>
    <row r="442" customFormat="false" ht="18" hidden="false" customHeight="true" outlineLevel="0" collapsed="false">
      <c r="A442" s="17" t="s">
        <v>9</v>
      </c>
      <c r="B442" s="18" t="s">
        <v>154</v>
      </c>
      <c r="C442" s="19" t="s">
        <v>36</v>
      </c>
      <c r="D442" s="20" t="n">
        <v>4</v>
      </c>
      <c r="E442" s="20" t="n">
        <v>0</v>
      </c>
      <c r="F442" s="21" t="n">
        <f aca="false">'📋 Matches'!E10</f>
        <v>0</v>
      </c>
      <c r="G442" s="21" t="n">
        <f aca="false">'📋 Matches'!F10</f>
        <v>0</v>
      </c>
      <c r="H442" s="22" t="str">
        <f aca="false">IF(AND(ISNUMBER(F442),ISNUMBER(G442)),IF(SIGN(D442-E442)=SIGN(F442-G442),48,0),"")</f>
        <v/>
      </c>
      <c r="I442" s="22" t="str">
        <f aca="false">IF(AND(ISNUMBER(F442),ISNUMBER(G442)),IF(D442=F442,15,0),"")</f>
        <v/>
      </c>
      <c r="J442" s="22" t="str">
        <f aca="false">IF(AND(ISNUMBER(F442),ISNUMBER(G442)),IF(E442=G442,15,0),"")</f>
        <v/>
      </c>
      <c r="K442" s="22" t="str">
        <f aca="false">IF(AND(ISNUMBER(F442),ISNUMBER(G442)),IF(ABS(D442-E442)=ABS(F442-G442),12,0),"")</f>
        <v/>
      </c>
      <c r="L442" s="23" t="str">
        <f aca="false">IF(ISNUMBER(H442),H442+I442+J442+K442,"")</f>
        <v/>
      </c>
    </row>
    <row r="443" customFormat="false" ht="18" hidden="false" customHeight="true" outlineLevel="0" collapsed="false">
      <c r="A443" s="17" t="s">
        <v>9</v>
      </c>
      <c r="B443" s="18" t="s">
        <v>154</v>
      </c>
      <c r="C443" s="19" t="s">
        <v>39</v>
      </c>
      <c r="D443" s="20" t="n">
        <v>3</v>
      </c>
      <c r="E443" s="20" t="n">
        <v>1</v>
      </c>
      <c r="F443" s="21" t="n">
        <f aca="false">'📋 Matches'!E11</f>
        <v>0</v>
      </c>
      <c r="G443" s="21" t="n">
        <f aca="false">'📋 Matches'!F11</f>
        <v>0</v>
      </c>
      <c r="H443" s="22" t="str">
        <f aca="false">IF(AND(ISNUMBER(F443),ISNUMBER(G443)),IF(SIGN(D443-E443)=SIGN(F443-G443),48,0),"")</f>
        <v/>
      </c>
      <c r="I443" s="22" t="str">
        <f aca="false">IF(AND(ISNUMBER(F443),ISNUMBER(G443)),IF(D443=F443,15,0),"")</f>
        <v/>
      </c>
      <c r="J443" s="22" t="str">
        <f aca="false">IF(AND(ISNUMBER(F443),ISNUMBER(G443)),IF(E443=G443,15,0),"")</f>
        <v/>
      </c>
      <c r="K443" s="22" t="str">
        <f aca="false">IF(AND(ISNUMBER(F443),ISNUMBER(G443)),IF(ABS(D443-E443)=ABS(F443-G443),12,0),"")</f>
        <v/>
      </c>
      <c r="L443" s="23" t="str">
        <f aca="false">IF(ISNUMBER(H443),H443+I443+J443+K443,"")</f>
        <v/>
      </c>
    </row>
    <row r="444" customFormat="false" ht="18" hidden="false" customHeight="true" outlineLevel="0" collapsed="false">
      <c r="A444" s="17" t="s">
        <v>9</v>
      </c>
      <c r="B444" s="18" t="s">
        <v>154</v>
      </c>
      <c r="C444" s="19" t="s">
        <v>42</v>
      </c>
      <c r="D444" s="20" t="n">
        <v>1</v>
      </c>
      <c r="E444" s="20" t="n">
        <v>1</v>
      </c>
      <c r="F444" s="21" t="n">
        <f aca="false">'📋 Matches'!E12</f>
        <v>0</v>
      </c>
      <c r="G444" s="21" t="n">
        <f aca="false">'📋 Matches'!F12</f>
        <v>0</v>
      </c>
      <c r="H444" s="22" t="str">
        <f aca="false">IF(AND(ISNUMBER(F444),ISNUMBER(G444)),IF(SIGN(D444-E444)=SIGN(F444-G444),48,0),"")</f>
        <v/>
      </c>
      <c r="I444" s="22" t="str">
        <f aca="false">IF(AND(ISNUMBER(F444),ISNUMBER(G444)),IF(D444=F444,15,0),"")</f>
        <v/>
      </c>
      <c r="J444" s="22" t="str">
        <f aca="false">IF(AND(ISNUMBER(F444),ISNUMBER(G444)),IF(E444=G444,15,0),"")</f>
        <v/>
      </c>
      <c r="K444" s="22" t="str">
        <f aca="false">IF(AND(ISNUMBER(F444),ISNUMBER(G444)),IF(ABS(D444-E444)=ABS(F444-G444),12,0),"")</f>
        <v/>
      </c>
      <c r="L444" s="23" t="str">
        <f aca="false">IF(ISNUMBER(H444),H444+I444+J444+K444,"")</f>
        <v/>
      </c>
    </row>
    <row r="445" customFormat="false" ht="18" hidden="false" customHeight="true" outlineLevel="0" collapsed="false">
      <c r="A445" s="17" t="s">
        <v>9</v>
      </c>
      <c r="B445" s="18" t="s">
        <v>154</v>
      </c>
      <c r="C445" s="19" t="s">
        <v>45</v>
      </c>
      <c r="D445" s="20" t="n">
        <v>4</v>
      </c>
      <c r="E445" s="20" t="n">
        <v>1</v>
      </c>
      <c r="F445" s="21" t="n">
        <f aca="false">'📋 Matches'!E13</f>
        <v>0</v>
      </c>
      <c r="G445" s="21" t="n">
        <f aca="false">'📋 Matches'!F13</f>
        <v>0</v>
      </c>
      <c r="H445" s="22" t="str">
        <f aca="false">IF(AND(ISNUMBER(F445),ISNUMBER(G445)),IF(SIGN(D445-E445)=SIGN(F445-G445),48,0),"")</f>
        <v/>
      </c>
      <c r="I445" s="22" t="str">
        <f aca="false">IF(AND(ISNUMBER(F445),ISNUMBER(G445)),IF(D445=F445,15,0),"")</f>
        <v/>
      </c>
      <c r="J445" s="22" t="str">
        <f aca="false">IF(AND(ISNUMBER(F445),ISNUMBER(G445)),IF(E445=G445,15,0),"")</f>
        <v/>
      </c>
      <c r="K445" s="22" t="str">
        <f aca="false">IF(AND(ISNUMBER(F445),ISNUMBER(G445)),IF(ABS(D445-E445)=ABS(F445-G445),12,0),"")</f>
        <v/>
      </c>
      <c r="L445" s="23" t="str">
        <f aca="false">IF(ISNUMBER(H445),H445+I445+J445+K445,"")</f>
        <v/>
      </c>
    </row>
    <row r="446" customFormat="false" ht="18" hidden="false" customHeight="true" outlineLevel="0" collapsed="false">
      <c r="A446" s="17" t="s">
        <v>9</v>
      </c>
      <c r="B446" s="18" t="s">
        <v>154</v>
      </c>
      <c r="C446" s="19" t="s">
        <v>48</v>
      </c>
      <c r="D446" s="20" t="n">
        <v>5</v>
      </c>
      <c r="E446" s="20" t="n">
        <v>0</v>
      </c>
      <c r="F446" s="21" t="n">
        <f aca="false">'📋 Matches'!E14</f>
        <v>0</v>
      </c>
      <c r="G446" s="21" t="n">
        <f aca="false">'📋 Matches'!F14</f>
        <v>0</v>
      </c>
      <c r="H446" s="22" t="str">
        <f aca="false">IF(AND(ISNUMBER(F446),ISNUMBER(G446)),IF(SIGN(D446-E446)=SIGN(F446-G446),48,0),"")</f>
        <v/>
      </c>
      <c r="I446" s="22" t="str">
        <f aca="false">IF(AND(ISNUMBER(F446),ISNUMBER(G446)),IF(D446=F446,15,0),"")</f>
        <v/>
      </c>
      <c r="J446" s="22" t="str">
        <f aca="false">IF(AND(ISNUMBER(F446),ISNUMBER(G446)),IF(E446=G446,15,0),"")</f>
        <v/>
      </c>
      <c r="K446" s="22" t="str">
        <f aca="false">IF(AND(ISNUMBER(F446),ISNUMBER(G446)),IF(ABS(D446-E446)=ABS(F446-G446),12,0),"")</f>
        <v/>
      </c>
      <c r="L446" s="23" t="str">
        <f aca="false">IF(ISNUMBER(H446),H446+I446+J446+K446,"")</f>
        <v/>
      </c>
    </row>
    <row r="447" customFormat="false" ht="18" hidden="false" customHeight="true" outlineLevel="0" collapsed="false">
      <c r="A447" s="17" t="s">
        <v>9</v>
      </c>
      <c r="B447" s="18" t="s">
        <v>154</v>
      </c>
      <c r="C447" s="19" t="s">
        <v>51</v>
      </c>
      <c r="D447" s="20" t="n">
        <v>4</v>
      </c>
      <c r="E447" s="20" t="n">
        <v>1</v>
      </c>
      <c r="F447" s="21" t="n">
        <f aca="false">'📋 Matches'!E15</f>
        <v>0</v>
      </c>
      <c r="G447" s="21" t="n">
        <f aca="false">'📋 Matches'!F15</f>
        <v>0</v>
      </c>
      <c r="H447" s="22" t="str">
        <f aca="false">IF(AND(ISNUMBER(F447),ISNUMBER(G447)),IF(SIGN(D447-E447)=SIGN(F447-G447),48,0),"")</f>
        <v/>
      </c>
      <c r="I447" s="22" t="str">
        <f aca="false">IF(AND(ISNUMBER(F447),ISNUMBER(G447)),IF(D447=F447,15,0),"")</f>
        <v/>
      </c>
      <c r="J447" s="22" t="str">
        <f aca="false">IF(AND(ISNUMBER(F447),ISNUMBER(G447)),IF(E447=G447,15,0),"")</f>
        <v/>
      </c>
      <c r="K447" s="22" t="str">
        <f aca="false">IF(AND(ISNUMBER(F447),ISNUMBER(G447)),IF(ABS(D447-E447)=ABS(F447-G447),12,0),"")</f>
        <v/>
      </c>
      <c r="L447" s="23" t="str">
        <f aca="false">IF(ISNUMBER(H447),H447+I447+J447+K447,"")</f>
        <v/>
      </c>
    </row>
    <row r="448" customFormat="false" ht="18" hidden="false" customHeight="true" outlineLevel="0" collapsed="false">
      <c r="A448" s="17" t="s">
        <v>9</v>
      </c>
      <c r="B448" s="18" t="s">
        <v>154</v>
      </c>
      <c r="C448" s="19" t="s">
        <v>54</v>
      </c>
      <c r="D448" s="20" t="n">
        <v>0</v>
      </c>
      <c r="E448" s="20" t="n">
        <v>3</v>
      </c>
      <c r="F448" s="21" t="n">
        <f aca="false">'📋 Matches'!E16</f>
        <v>0</v>
      </c>
      <c r="G448" s="21" t="n">
        <f aca="false">'📋 Matches'!F16</f>
        <v>0</v>
      </c>
      <c r="H448" s="22" t="str">
        <f aca="false">IF(AND(ISNUMBER(F448),ISNUMBER(G448)),IF(SIGN(D448-E448)=SIGN(F448-G448),48,0),"")</f>
        <v/>
      </c>
      <c r="I448" s="22" t="str">
        <f aca="false">IF(AND(ISNUMBER(F448),ISNUMBER(G448)),IF(D448=F448,15,0),"")</f>
        <v/>
      </c>
      <c r="J448" s="22" t="str">
        <f aca="false">IF(AND(ISNUMBER(F448),ISNUMBER(G448)),IF(E448=G448,15,0),"")</f>
        <v/>
      </c>
      <c r="K448" s="22" t="str">
        <f aca="false">IF(AND(ISNUMBER(F448),ISNUMBER(G448)),IF(ABS(D448-E448)=ABS(F448-G448),12,0),"")</f>
        <v/>
      </c>
      <c r="L448" s="23" t="str">
        <f aca="false">IF(ISNUMBER(H448),H448+I448+J448+K448,"")</f>
        <v/>
      </c>
    </row>
    <row r="449" customFormat="false" ht="18" hidden="false" customHeight="true" outlineLevel="0" collapsed="false">
      <c r="A449" s="17" t="s">
        <v>9</v>
      </c>
      <c r="B449" s="18" t="s">
        <v>154</v>
      </c>
      <c r="C449" s="19" t="s">
        <v>57</v>
      </c>
      <c r="D449" s="20" t="n">
        <v>2</v>
      </c>
      <c r="E449" s="20" t="n">
        <v>1</v>
      </c>
      <c r="F449" s="21" t="n">
        <f aca="false">'📋 Matches'!E17</f>
        <v>0</v>
      </c>
      <c r="G449" s="21" t="n">
        <f aca="false">'📋 Matches'!F17</f>
        <v>0</v>
      </c>
      <c r="H449" s="22" t="str">
        <f aca="false">IF(AND(ISNUMBER(F449),ISNUMBER(G449)),IF(SIGN(D449-E449)=SIGN(F449-G449),48,0),"")</f>
        <v/>
      </c>
      <c r="I449" s="22" t="str">
        <f aca="false">IF(AND(ISNUMBER(F449),ISNUMBER(G449)),IF(D449=F449,15,0),"")</f>
        <v/>
      </c>
      <c r="J449" s="22" t="str">
        <f aca="false">IF(AND(ISNUMBER(F449),ISNUMBER(G449)),IF(E449=G449,15,0),"")</f>
        <v/>
      </c>
      <c r="K449" s="22" t="str">
        <f aca="false">IF(AND(ISNUMBER(F449),ISNUMBER(G449)),IF(ABS(D449-E449)=ABS(F449-G449),12,0),"")</f>
        <v/>
      </c>
      <c r="L449" s="23" t="str">
        <f aca="false">IF(ISNUMBER(H449),H449+I449+J449+K449,"")</f>
        <v/>
      </c>
    </row>
    <row r="450" customFormat="false" ht="18" hidden="false" customHeight="true" outlineLevel="0" collapsed="false">
      <c r="A450" s="17" t="s">
        <v>9</v>
      </c>
      <c r="B450" s="18" t="s">
        <v>154</v>
      </c>
      <c r="C450" s="19" t="s">
        <v>60</v>
      </c>
      <c r="D450" s="20" t="n">
        <v>3</v>
      </c>
      <c r="E450" s="20" t="n">
        <v>1</v>
      </c>
      <c r="F450" s="21" t="n">
        <f aca="false">'📋 Matches'!E18</f>
        <v>0</v>
      </c>
      <c r="G450" s="21" t="n">
        <f aca="false">'📋 Matches'!F18</f>
        <v>0</v>
      </c>
      <c r="H450" s="22" t="str">
        <f aca="false">IF(AND(ISNUMBER(F450),ISNUMBER(G450)),IF(SIGN(D450-E450)=SIGN(F450-G450),48,0),"")</f>
        <v/>
      </c>
      <c r="I450" s="22" t="str">
        <f aca="false">IF(AND(ISNUMBER(F450),ISNUMBER(G450)),IF(D450=F450,15,0),"")</f>
        <v/>
      </c>
      <c r="J450" s="22" t="str">
        <f aca="false">IF(AND(ISNUMBER(F450),ISNUMBER(G450)),IF(E450=G450,15,0),"")</f>
        <v/>
      </c>
      <c r="K450" s="22" t="str">
        <f aca="false">IF(AND(ISNUMBER(F450),ISNUMBER(G450)),IF(ABS(D450-E450)=ABS(F450-G450),12,0),"")</f>
        <v/>
      </c>
      <c r="L450" s="23" t="str">
        <f aca="false">IF(ISNUMBER(H450),H450+I450+J450+K450,"")</f>
        <v/>
      </c>
    </row>
    <row r="451" customFormat="false" ht="18" hidden="false" customHeight="true" outlineLevel="0" collapsed="false">
      <c r="A451" s="17" t="s">
        <v>9</v>
      </c>
      <c r="B451" s="18" t="s">
        <v>154</v>
      </c>
      <c r="C451" s="19" t="s">
        <v>63</v>
      </c>
      <c r="D451" s="20" t="n">
        <v>0</v>
      </c>
      <c r="E451" s="20" t="n">
        <v>4</v>
      </c>
      <c r="F451" s="21" t="n">
        <f aca="false">'📋 Matches'!E19</f>
        <v>0</v>
      </c>
      <c r="G451" s="21" t="n">
        <f aca="false">'📋 Matches'!F19</f>
        <v>0</v>
      </c>
      <c r="H451" s="22" t="str">
        <f aca="false">IF(AND(ISNUMBER(F451),ISNUMBER(G451)),IF(SIGN(D451-E451)=SIGN(F451-G451),48,0),"")</f>
        <v/>
      </c>
      <c r="I451" s="22" t="str">
        <f aca="false">IF(AND(ISNUMBER(F451),ISNUMBER(G451)),IF(D451=F451,15,0),"")</f>
        <v/>
      </c>
      <c r="J451" s="22" t="str">
        <f aca="false">IF(AND(ISNUMBER(F451),ISNUMBER(G451)),IF(E451=G451,15,0),"")</f>
        <v/>
      </c>
      <c r="K451" s="22" t="str">
        <f aca="false">IF(AND(ISNUMBER(F451),ISNUMBER(G451)),IF(ABS(D451-E451)=ABS(F451-G451),12,0),"")</f>
        <v/>
      </c>
      <c r="L451" s="23" t="str">
        <f aca="false">IF(ISNUMBER(H451),H451+I451+J451+K451,"")</f>
        <v/>
      </c>
    </row>
    <row r="452" customFormat="false" ht="18" hidden="false" customHeight="true" outlineLevel="0" collapsed="false">
      <c r="A452" s="17" t="s">
        <v>9</v>
      </c>
      <c r="B452" s="18" t="s">
        <v>154</v>
      </c>
      <c r="C452" s="19" t="s">
        <v>66</v>
      </c>
      <c r="D452" s="20" t="n">
        <v>3</v>
      </c>
      <c r="E452" s="20" t="n">
        <v>1</v>
      </c>
      <c r="F452" s="21" t="n">
        <f aca="false">'📋 Matches'!E20</f>
        <v>0</v>
      </c>
      <c r="G452" s="21" t="n">
        <f aca="false">'📋 Matches'!F20</f>
        <v>0</v>
      </c>
      <c r="H452" s="22" t="str">
        <f aca="false">IF(AND(ISNUMBER(F452),ISNUMBER(G452)),IF(SIGN(D452-E452)=SIGN(F452-G452),48,0),"")</f>
        <v/>
      </c>
      <c r="I452" s="22" t="str">
        <f aca="false">IF(AND(ISNUMBER(F452),ISNUMBER(G452)),IF(D452=F452,15,0),"")</f>
        <v/>
      </c>
      <c r="J452" s="22" t="str">
        <f aca="false">IF(AND(ISNUMBER(F452),ISNUMBER(G452)),IF(E452=G452,15,0),"")</f>
        <v/>
      </c>
      <c r="K452" s="22" t="str">
        <f aca="false">IF(AND(ISNUMBER(F452),ISNUMBER(G452)),IF(ABS(D452-E452)=ABS(F452-G452),12,0),"")</f>
        <v/>
      </c>
      <c r="L452" s="23" t="str">
        <f aca="false">IF(ISNUMBER(H452),H452+I452+J452+K452,"")</f>
        <v/>
      </c>
    </row>
    <row r="453" customFormat="false" ht="18" hidden="false" customHeight="true" outlineLevel="0" collapsed="false">
      <c r="A453" s="17" t="s">
        <v>9</v>
      </c>
      <c r="B453" s="18" t="s">
        <v>154</v>
      </c>
      <c r="C453" s="19" t="s">
        <v>69</v>
      </c>
      <c r="D453" s="20" t="n">
        <v>4</v>
      </c>
      <c r="E453" s="20" t="n">
        <v>2</v>
      </c>
      <c r="F453" s="21" t="n">
        <f aca="false">'📋 Matches'!E21</f>
        <v>0</v>
      </c>
      <c r="G453" s="21" t="n">
        <f aca="false">'📋 Matches'!F21</f>
        <v>0</v>
      </c>
      <c r="H453" s="22" t="str">
        <f aca="false">IF(AND(ISNUMBER(F453),ISNUMBER(G453)),IF(SIGN(D453-E453)=SIGN(F453-G453),48,0),"")</f>
        <v/>
      </c>
      <c r="I453" s="22" t="str">
        <f aca="false">IF(AND(ISNUMBER(F453),ISNUMBER(G453)),IF(D453=F453,15,0),"")</f>
        <v/>
      </c>
      <c r="J453" s="22" t="str">
        <f aca="false">IF(AND(ISNUMBER(F453),ISNUMBER(G453)),IF(E453=G453,15,0),"")</f>
        <v/>
      </c>
      <c r="K453" s="22" t="str">
        <f aca="false">IF(AND(ISNUMBER(F453),ISNUMBER(G453)),IF(ABS(D453-E453)=ABS(F453-G453),12,0),"")</f>
        <v/>
      </c>
      <c r="L453" s="23" t="str">
        <f aca="false">IF(ISNUMBER(H453),H453+I453+J453+K453,"")</f>
        <v/>
      </c>
    </row>
    <row r="454" customFormat="false" ht="18" hidden="false" customHeight="true" outlineLevel="0" collapsed="false">
      <c r="A454" s="17" t="s">
        <v>9</v>
      </c>
      <c r="B454" s="18" t="s">
        <v>154</v>
      </c>
      <c r="C454" s="19" t="s">
        <v>72</v>
      </c>
      <c r="D454" s="20" t="n">
        <v>4</v>
      </c>
      <c r="E454" s="20" t="n">
        <v>0</v>
      </c>
      <c r="F454" s="21" t="n">
        <f aca="false">'📋 Matches'!E22</f>
        <v>0</v>
      </c>
      <c r="G454" s="21" t="n">
        <f aca="false">'📋 Matches'!F22</f>
        <v>0</v>
      </c>
      <c r="H454" s="22" t="str">
        <f aca="false">IF(AND(ISNUMBER(F454),ISNUMBER(G454)),IF(SIGN(D454-E454)=SIGN(F454-G454),48,0),"")</f>
        <v/>
      </c>
      <c r="I454" s="22" t="str">
        <f aca="false">IF(AND(ISNUMBER(F454),ISNUMBER(G454)),IF(D454=F454,15,0),"")</f>
        <v/>
      </c>
      <c r="J454" s="22" t="str">
        <f aca="false">IF(AND(ISNUMBER(F454),ISNUMBER(G454)),IF(E454=G454,15,0),"")</f>
        <v/>
      </c>
      <c r="K454" s="22" t="str">
        <f aca="false">IF(AND(ISNUMBER(F454),ISNUMBER(G454)),IF(ABS(D454-E454)=ABS(F454-G454),12,0),"")</f>
        <v/>
      </c>
      <c r="L454" s="23" t="str">
        <f aca="false">IF(ISNUMBER(H454),H454+I454+J454+K454,"")</f>
        <v/>
      </c>
    </row>
    <row r="455" customFormat="false" ht="18" hidden="false" customHeight="true" outlineLevel="0" collapsed="false">
      <c r="A455" s="17" t="s">
        <v>9</v>
      </c>
      <c r="B455" s="18" t="s">
        <v>154</v>
      </c>
      <c r="C455" s="19" t="s">
        <v>75</v>
      </c>
      <c r="D455" s="20" t="n">
        <v>1</v>
      </c>
      <c r="E455" s="20" t="n">
        <v>2</v>
      </c>
      <c r="F455" s="21" t="n">
        <f aca="false">'📋 Matches'!E23</f>
        <v>0</v>
      </c>
      <c r="G455" s="21" t="n">
        <f aca="false">'📋 Matches'!F23</f>
        <v>0</v>
      </c>
      <c r="H455" s="22" t="str">
        <f aca="false">IF(AND(ISNUMBER(F455),ISNUMBER(G455)),IF(SIGN(D455-E455)=SIGN(F455-G455),48,0),"")</f>
        <v/>
      </c>
      <c r="I455" s="22" t="str">
        <f aca="false">IF(AND(ISNUMBER(F455),ISNUMBER(G455)),IF(D455=F455,15,0),"")</f>
        <v/>
      </c>
      <c r="J455" s="22" t="str">
        <f aca="false">IF(AND(ISNUMBER(F455),ISNUMBER(G455)),IF(E455=G455,15,0),"")</f>
        <v/>
      </c>
      <c r="K455" s="22" t="str">
        <f aca="false">IF(AND(ISNUMBER(F455),ISNUMBER(G455)),IF(ABS(D455-E455)=ABS(F455-G455),12,0),"")</f>
        <v/>
      </c>
      <c r="L455" s="23" t="str">
        <f aca="false">IF(ISNUMBER(H455),H455+I455+J455+K455,"")</f>
        <v/>
      </c>
    </row>
    <row r="456" customFormat="false" ht="18" hidden="false" customHeight="true" outlineLevel="0" collapsed="false">
      <c r="A456" s="17" t="s">
        <v>9</v>
      </c>
      <c r="B456" s="18" t="s">
        <v>154</v>
      </c>
      <c r="C456" s="19" t="s">
        <v>78</v>
      </c>
      <c r="D456" s="20" t="n">
        <v>3</v>
      </c>
      <c r="E456" s="20" t="n">
        <v>1</v>
      </c>
      <c r="F456" s="21" t="n">
        <f aca="false">'📋 Matches'!E24</f>
        <v>0</v>
      </c>
      <c r="G456" s="21" t="n">
        <f aca="false">'📋 Matches'!F24</f>
        <v>0</v>
      </c>
      <c r="H456" s="22" t="str">
        <f aca="false">IF(AND(ISNUMBER(F456),ISNUMBER(G456)),IF(SIGN(D456-E456)=SIGN(F456-G456),48,0),"")</f>
        <v/>
      </c>
      <c r="I456" s="22" t="str">
        <f aca="false">IF(AND(ISNUMBER(F456),ISNUMBER(G456)),IF(D456=F456,15,0),"")</f>
        <v/>
      </c>
      <c r="J456" s="22" t="str">
        <f aca="false">IF(AND(ISNUMBER(F456),ISNUMBER(G456)),IF(E456=G456,15,0),"")</f>
        <v/>
      </c>
      <c r="K456" s="22" t="str">
        <f aca="false">IF(AND(ISNUMBER(F456),ISNUMBER(G456)),IF(ABS(D456-E456)=ABS(F456-G456),12,0),"")</f>
        <v/>
      </c>
      <c r="L456" s="23" t="str">
        <f aca="false">IF(ISNUMBER(H456),H456+I456+J456+K456,"")</f>
        <v/>
      </c>
    </row>
    <row r="457" customFormat="false" ht="18" hidden="false" customHeight="true" outlineLevel="0" collapsed="false">
      <c r="A457" s="17" t="s">
        <v>9</v>
      </c>
      <c r="B457" s="18" t="s">
        <v>154</v>
      </c>
      <c r="C457" s="19" t="s">
        <v>81</v>
      </c>
      <c r="D457" s="20" t="n">
        <v>0</v>
      </c>
      <c r="E457" s="20" t="n">
        <v>2</v>
      </c>
      <c r="F457" s="21" t="n">
        <f aca="false">'📋 Matches'!E25</f>
        <v>0</v>
      </c>
      <c r="G457" s="21" t="n">
        <f aca="false">'📋 Matches'!F25</f>
        <v>0</v>
      </c>
      <c r="H457" s="22" t="str">
        <f aca="false">IF(AND(ISNUMBER(F457),ISNUMBER(G457)),IF(SIGN(D457-E457)=SIGN(F457-G457),48,0),"")</f>
        <v/>
      </c>
      <c r="I457" s="22" t="str">
        <f aca="false">IF(AND(ISNUMBER(F457),ISNUMBER(G457)),IF(D457=F457,15,0),"")</f>
        <v/>
      </c>
      <c r="J457" s="22" t="str">
        <f aca="false">IF(AND(ISNUMBER(F457),ISNUMBER(G457)),IF(E457=G457,15,0),"")</f>
        <v/>
      </c>
      <c r="K457" s="22" t="str">
        <f aca="false">IF(AND(ISNUMBER(F457),ISNUMBER(G457)),IF(ABS(D457-E457)=ABS(F457-G457),12,0),"")</f>
        <v/>
      </c>
      <c r="L457" s="23" t="str">
        <f aca="false">IF(ISNUMBER(H457),H457+I457+J457+K457,"")</f>
        <v/>
      </c>
    </row>
    <row r="458" customFormat="false" ht="18" hidden="false" customHeight="true" outlineLevel="0" collapsed="false">
      <c r="A458" s="17" t="s">
        <v>84</v>
      </c>
      <c r="B458" s="18" t="s">
        <v>154</v>
      </c>
      <c r="C458" s="19" t="s">
        <v>85</v>
      </c>
      <c r="D458" s="20"/>
      <c r="E458" s="20"/>
      <c r="F458" s="21" t="n">
        <f aca="false">'📋 Matches'!E26</f>
        <v>0</v>
      </c>
      <c r="G458" s="21" t="n">
        <f aca="false">'📋 Matches'!F26</f>
        <v>0</v>
      </c>
      <c r="H458" s="24" t="s">
        <v>148</v>
      </c>
      <c r="I458" s="24" t="s">
        <v>148</v>
      </c>
      <c r="J458" s="24" t="s">
        <v>148</v>
      </c>
      <c r="K458" s="24" t="s">
        <v>148</v>
      </c>
      <c r="L458" s="24" t="s">
        <v>148</v>
      </c>
    </row>
    <row r="459" customFormat="false" ht="18" hidden="false" customHeight="true" outlineLevel="0" collapsed="false">
      <c r="A459" s="17" t="s">
        <v>84</v>
      </c>
      <c r="B459" s="18" t="s">
        <v>154</v>
      </c>
      <c r="C459" s="19" t="s">
        <v>87</v>
      </c>
      <c r="D459" s="20"/>
      <c r="E459" s="20"/>
      <c r="F459" s="21" t="n">
        <f aca="false">'📋 Matches'!E27</f>
        <v>0</v>
      </c>
      <c r="G459" s="21" t="n">
        <f aca="false">'📋 Matches'!F27</f>
        <v>0</v>
      </c>
      <c r="H459" s="24" t="s">
        <v>148</v>
      </c>
      <c r="I459" s="24" t="s">
        <v>148</v>
      </c>
      <c r="J459" s="24" t="s">
        <v>148</v>
      </c>
      <c r="K459" s="24" t="s">
        <v>148</v>
      </c>
      <c r="L459" s="24" t="s">
        <v>148</v>
      </c>
    </row>
    <row r="460" customFormat="false" ht="18" hidden="false" customHeight="true" outlineLevel="0" collapsed="false">
      <c r="A460" s="17" t="s">
        <v>84</v>
      </c>
      <c r="B460" s="18" t="s">
        <v>154</v>
      </c>
      <c r="C460" s="19" t="s">
        <v>89</v>
      </c>
      <c r="D460" s="20"/>
      <c r="E460" s="20"/>
      <c r="F460" s="21" t="n">
        <f aca="false">'📋 Matches'!E28</f>
        <v>0</v>
      </c>
      <c r="G460" s="21" t="n">
        <f aca="false">'📋 Matches'!F28</f>
        <v>0</v>
      </c>
      <c r="H460" s="24" t="s">
        <v>148</v>
      </c>
      <c r="I460" s="24" t="s">
        <v>148</v>
      </c>
      <c r="J460" s="24" t="s">
        <v>148</v>
      </c>
      <c r="K460" s="24" t="s">
        <v>148</v>
      </c>
      <c r="L460" s="24" t="s">
        <v>148</v>
      </c>
    </row>
    <row r="461" customFormat="false" ht="18" hidden="false" customHeight="true" outlineLevel="0" collapsed="false">
      <c r="A461" s="17" t="s">
        <v>84</v>
      </c>
      <c r="B461" s="18" t="s">
        <v>154</v>
      </c>
      <c r="C461" s="19" t="s">
        <v>90</v>
      </c>
      <c r="D461" s="20"/>
      <c r="E461" s="20"/>
      <c r="F461" s="21" t="n">
        <f aca="false">'📋 Matches'!E29</f>
        <v>0</v>
      </c>
      <c r="G461" s="21" t="n">
        <f aca="false">'📋 Matches'!F29</f>
        <v>0</v>
      </c>
      <c r="H461" s="24" t="s">
        <v>148</v>
      </c>
      <c r="I461" s="24" t="s">
        <v>148</v>
      </c>
      <c r="J461" s="24" t="s">
        <v>148</v>
      </c>
      <c r="K461" s="24" t="s">
        <v>148</v>
      </c>
      <c r="L461" s="24" t="s">
        <v>148</v>
      </c>
    </row>
    <row r="462" customFormat="false" ht="18" hidden="false" customHeight="true" outlineLevel="0" collapsed="false">
      <c r="A462" s="17" t="s">
        <v>84</v>
      </c>
      <c r="B462" s="18" t="s">
        <v>154</v>
      </c>
      <c r="C462" s="19" t="s">
        <v>91</v>
      </c>
      <c r="D462" s="20"/>
      <c r="E462" s="20"/>
      <c r="F462" s="21" t="n">
        <f aca="false">'📋 Matches'!E30</f>
        <v>0</v>
      </c>
      <c r="G462" s="21" t="n">
        <f aca="false">'📋 Matches'!F30</f>
        <v>0</v>
      </c>
      <c r="H462" s="24" t="s">
        <v>148</v>
      </c>
      <c r="I462" s="24" t="s">
        <v>148</v>
      </c>
      <c r="J462" s="24" t="s">
        <v>148</v>
      </c>
      <c r="K462" s="24" t="s">
        <v>148</v>
      </c>
      <c r="L462" s="24" t="s">
        <v>148</v>
      </c>
    </row>
    <row r="463" customFormat="false" ht="18" hidden="false" customHeight="true" outlineLevel="0" collapsed="false">
      <c r="A463" s="17" t="s">
        <v>84</v>
      </c>
      <c r="B463" s="18" t="s">
        <v>154</v>
      </c>
      <c r="C463" s="19" t="s">
        <v>92</v>
      </c>
      <c r="D463" s="20"/>
      <c r="E463" s="20"/>
      <c r="F463" s="21" t="n">
        <f aca="false">'📋 Matches'!E31</f>
        <v>0</v>
      </c>
      <c r="G463" s="21" t="n">
        <f aca="false">'📋 Matches'!F31</f>
        <v>0</v>
      </c>
      <c r="H463" s="24" t="s">
        <v>148</v>
      </c>
      <c r="I463" s="24" t="s">
        <v>148</v>
      </c>
      <c r="J463" s="24" t="s">
        <v>148</v>
      </c>
      <c r="K463" s="24" t="s">
        <v>148</v>
      </c>
      <c r="L463" s="24" t="s">
        <v>148</v>
      </c>
    </row>
    <row r="464" customFormat="false" ht="18" hidden="false" customHeight="true" outlineLevel="0" collapsed="false">
      <c r="A464" s="17" t="s">
        <v>84</v>
      </c>
      <c r="B464" s="18" t="s">
        <v>154</v>
      </c>
      <c r="C464" s="19" t="s">
        <v>93</v>
      </c>
      <c r="D464" s="20"/>
      <c r="E464" s="20"/>
      <c r="F464" s="21" t="n">
        <f aca="false">'📋 Matches'!E32</f>
        <v>0</v>
      </c>
      <c r="G464" s="21" t="n">
        <f aca="false">'📋 Matches'!F32</f>
        <v>0</v>
      </c>
      <c r="H464" s="24" t="s">
        <v>148</v>
      </c>
      <c r="I464" s="24" t="s">
        <v>148</v>
      </c>
      <c r="J464" s="24" t="s">
        <v>148</v>
      </c>
      <c r="K464" s="24" t="s">
        <v>148</v>
      </c>
      <c r="L464" s="24" t="s">
        <v>148</v>
      </c>
    </row>
    <row r="465" customFormat="false" ht="18" hidden="false" customHeight="true" outlineLevel="0" collapsed="false">
      <c r="A465" s="17" t="s">
        <v>84</v>
      </c>
      <c r="B465" s="18" t="s">
        <v>154</v>
      </c>
      <c r="C465" s="19" t="s">
        <v>94</v>
      </c>
      <c r="D465" s="20"/>
      <c r="E465" s="20"/>
      <c r="F465" s="21" t="n">
        <f aca="false">'📋 Matches'!E33</f>
        <v>0</v>
      </c>
      <c r="G465" s="21" t="n">
        <f aca="false">'📋 Matches'!F33</f>
        <v>0</v>
      </c>
      <c r="H465" s="24" t="s">
        <v>148</v>
      </c>
      <c r="I465" s="24" t="s">
        <v>148</v>
      </c>
      <c r="J465" s="24" t="s">
        <v>148</v>
      </c>
      <c r="K465" s="24" t="s">
        <v>148</v>
      </c>
      <c r="L465" s="24" t="s">
        <v>148</v>
      </c>
    </row>
    <row r="466" customFormat="false" ht="18" hidden="false" customHeight="true" outlineLevel="0" collapsed="false">
      <c r="A466" s="17" t="s">
        <v>84</v>
      </c>
      <c r="B466" s="18" t="s">
        <v>154</v>
      </c>
      <c r="C466" s="19" t="s">
        <v>96</v>
      </c>
      <c r="D466" s="20"/>
      <c r="E466" s="20"/>
      <c r="F466" s="21" t="n">
        <f aca="false">'📋 Matches'!E34</f>
        <v>0</v>
      </c>
      <c r="G466" s="21" t="n">
        <f aca="false">'📋 Matches'!F34</f>
        <v>0</v>
      </c>
      <c r="H466" s="24" t="s">
        <v>148</v>
      </c>
      <c r="I466" s="24" t="s">
        <v>148</v>
      </c>
      <c r="J466" s="24" t="s">
        <v>148</v>
      </c>
      <c r="K466" s="24" t="s">
        <v>148</v>
      </c>
      <c r="L466" s="24" t="s">
        <v>148</v>
      </c>
    </row>
    <row r="467" customFormat="false" ht="18" hidden="false" customHeight="true" outlineLevel="0" collapsed="false">
      <c r="A467" s="17" t="s">
        <v>84</v>
      </c>
      <c r="B467" s="18" t="s">
        <v>154</v>
      </c>
      <c r="C467" s="19" t="s">
        <v>97</v>
      </c>
      <c r="D467" s="20"/>
      <c r="E467" s="20"/>
      <c r="F467" s="21" t="n">
        <f aca="false">'📋 Matches'!E35</f>
        <v>0</v>
      </c>
      <c r="G467" s="21" t="n">
        <f aca="false">'📋 Matches'!F35</f>
        <v>0</v>
      </c>
      <c r="H467" s="24" t="s">
        <v>148</v>
      </c>
      <c r="I467" s="24" t="s">
        <v>148</v>
      </c>
      <c r="J467" s="24" t="s">
        <v>148</v>
      </c>
      <c r="K467" s="24" t="s">
        <v>148</v>
      </c>
      <c r="L467" s="24" t="s">
        <v>148</v>
      </c>
    </row>
    <row r="468" customFormat="false" ht="18" hidden="false" customHeight="true" outlineLevel="0" collapsed="false">
      <c r="A468" s="17" t="s">
        <v>84</v>
      </c>
      <c r="B468" s="18" t="s">
        <v>154</v>
      </c>
      <c r="C468" s="19" t="s">
        <v>98</v>
      </c>
      <c r="D468" s="20"/>
      <c r="E468" s="20"/>
      <c r="F468" s="21" t="n">
        <f aca="false">'📋 Matches'!E36</f>
        <v>0</v>
      </c>
      <c r="G468" s="21" t="n">
        <f aca="false">'📋 Matches'!F36</f>
        <v>0</v>
      </c>
      <c r="H468" s="24" t="s">
        <v>148</v>
      </c>
      <c r="I468" s="24" t="s">
        <v>148</v>
      </c>
      <c r="J468" s="24" t="s">
        <v>148</v>
      </c>
      <c r="K468" s="24" t="s">
        <v>148</v>
      </c>
      <c r="L468" s="24" t="s">
        <v>148</v>
      </c>
    </row>
    <row r="469" customFormat="false" ht="18" hidden="false" customHeight="true" outlineLevel="0" collapsed="false">
      <c r="A469" s="17" t="s">
        <v>84</v>
      </c>
      <c r="B469" s="18" t="s">
        <v>154</v>
      </c>
      <c r="C469" s="19" t="s">
        <v>100</v>
      </c>
      <c r="D469" s="20"/>
      <c r="E469" s="20"/>
      <c r="F469" s="21" t="n">
        <f aca="false">'📋 Matches'!E37</f>
        <v>0</v>
      </c>
      <c r="G469" s="21" t="n">
        <f aca="false">'📋 Matches'!F37</f>
        <v>0</v>
      </c>
      <c r="H469" s="24" t="s">
        <v>148</v>
      </c>
      <c r="I469" s="24" t="s">
        <v>148</v>
      </c>
      <c r="J469" s="24" t="s">
        <v>148</v>
      </c>
      <c r="K469" s="24" t="s">
        <v>148</v>
      </c>
      <c r="L469" s="24" t="s">
        <v>148</v>
      </c>
    </row>
    <row r="470" customFormat="false" ht="18" hidden="false" customHeight="true" outlineLevel="0" collapsed="false">
      <c r="A470" s="17" t="s">
        <v>84</v>
      </c>
      <c r="B470" s="18" t="s">
        <v>154</v>
      </c>
      <c r="C470" s="19" t="s">
        <v>101</v>
      </c>
      <c r="D470" s="20"/>
      <c r="E470" s="20"/>
      <c r="F470" s="21" t="n">
        <f aca="false">'📋 Matches'!E38</f>
        <v>0</v>
      </c>
      <c r="G470" s="21" t="n">
        <f aca="false">'📋 Matches'!F38</f>
        <v>0</v>
      </c>
      <c r="H470" s="24" t="s">
        <v>148</v>
      </c>
      <c r="I470" s="24" t="s">
        <v>148</v>
      </c>
      <c r="J470" s="24" t="s">
        <v>148</v>
      </c>
      <c r="K470" s="24" t="s">
        <v>148</v>
      </c>
      <c r="L470" s="24" t="s">
        <v>148</v>
      </c>
    </row>
    <row r="471" customFormat="false" ht="18" hidden="false" customHeight="true" outlineLevel="0" collapsed="false">
      <c r="A471" s="17" t="s">
        <v>84</v>
      </c>
      <c r="B471" s="18" t="s">
        <v>154</v>
      </c>
      <c r="C471" s="19" t="s">
        <v>102</v>
      </c>
      <c r="D471" s="20"/>
      <c r="E471" s="20"/>
      <c r="F471" s="21" t="n">
        <f aca="false">'📋 Matches'!E39</f>
        <v>0</v>
      </c>
      <c r="G471" s="21" t="n">
        <f aca="false">'📋 Matches'!F39</f>
        <v>0</v>
      </c>
      <c r="H471" s="24" t="s">
        <v>148</v>
      </c>
      <c r="I471" s="24" t="s">
        <v>148</v>
      </c>
      <c r="J471" s="24" t="s">
        <v>148</v>
      </c>
      <c r="K471" s="24" t="s">
        <v>148</v>
      </c>
      <c r="L471" s="24" t="s">
        <v>148</v>
      </c>
    </row>
    <row r="472" customFormat="false" ht="18" hidden="false" customHeight="true" outlineLevel="0" collapsed="false">
      <c r="A472" s="17" t="s">
        <v>84</v>
      </c>
      <c r="B472" s="18" t="s">
        <v>154</v>
      </c>
      <c r="C472" s="19" t="s">
        <v>103</v>
      </c>
      <c r="D472" s="20"/>
      <c r="E472" s="20"/>
      <c r="F472" s="21" t="n">
        <f aca="false">'📋 Matches'!E40</f>
        <v>0</v>
      </c>
      <c r="G472" s="21" t="n">
        <f aca="false">'📋 Matches'!F40</f>
        <v>0</v>
      </c>
      <c r="H472" s="24" t="s">
        <v>148</v>
      </c>
      <c r="I472" s="24" t="s">
        <v>148</v>
      </c>
      <c r="J472" s="24" t="s">
        <v>148</v>
      </c>
      <c r="K472" s="24" t="s">
        <v>148</v>
      </c>
      <c r="L472" s="24" t="s">
        <v>148</v>
      </c>
    </row>
    <row r="473" customFormat="false" ht="18" hidden="false" customHeight="true" outlineLevel="0" collapsed="false">
      <c r="A473" s="17" t="s">
        <v>84</v>
      </c>
      <c r="B473" s="18" t="s">
        <v>154</v>
      </c>
      <c r="C473" s="19" t="s">
        <v>104</v>
      </c>
      <c r="D473" s="20"/>
      <c r="E473" s="20"/>
      <c r="F473" s="21" t="n">
        <f aca="false">'📋 Matches'!E41</f>
        <v>0</v>
      </c>
      <c r="G473" s="21" t="n">
        <f aca="false">'📋 Matches'!F41</f>
        <v>0</v>
      </c>
      <c r="H473" s="24" t="s">
        <v>148</v>
      </c>
      <c r="I473" s="24" t="s">
        <v>148</v>
      </c>
      <c r="J473" s="24" t="s">
        <v>148</v>
      </c>
      <c r="K473" s="24" t="s">
        <v>148</v>
      </c>
      <c r="L473" s="24" t="s">
        <v>148</v>
      </c>
    </row>
    <row r="474" customFormat="false" ht="18" hidden="false" customHeight="true" outlineLevel="0" collapsed="false">
      <c r="A474" s="17" t="s">
        <v>84</v>
      </c>
      <c r="B474" s="18" t="s">
        <v>154</v>
      </c>
      <c r="C474" s="19" t="s">
        <v>105</v>
      </c>
      <c r="D474" s="20"/>
      <c r="E474" s="20"/>
      <c r="F474" s="21" t="n">
        <f aca="false">'📋 Matches'!E42</f>
        <v>0</v>
      </c>
      <c r="G474" s="21" t="n">
        <f aca="false">'📋 Matches'!F42</f>
        <v>0</v>
      </c>
      <c r="H474" s="24" t="s">
        <v>148</v>
      </c>
      <c r="I474" s="24" t="s">
        <v>148</v>
      </c>
      <c r="J474" s="24" t="s">
        <v>148</v>
      </c>
      <c r="K474" s="24" t="s">
        <v>148</v>
      </c>
      <c r="L474" s="24" t="s">
        <v>148</v>
      </c>
    </row>
    <row r="475" customFormat="false" ht="18" hidden="false" customHeight="true" outlineLevel="0" collapsed="false">
      <c r="A475" s="17" t="s">
        <v>84</v>
      </c>
      <c r="B475" s="18" t="s">
        <v>154</v>
      </c>
      <c r="C475" s="19" t="s">
        <v>106</v>
      </c>
      <c r="D475" s="20"/>
      <c r="E475" s="20"/>
      <c r="F475" s="21" t="n">
        <f aca="false">'📋 Matches'!E43</f>
        <v>0</v>
      </c>
      <c r="G475" s="21" t="n">
        <f aca="false">'📋 Matches'!F43</f>
        <v>0</v>
      </c>
      <c r="H475" s="24" t="s">
        <v>148</v>
      </c>
      <c r="I475" s="24" t="s">
        <v>148</v>
      </c>
      <c r="J475" s="24" t="s">
        <v>148</v>
      </c>
      <c r="K475" s="24" t="s">
        <v>148</v>
      </c>
      <c r="L475" s="24" t="s">
        <v>148</v>
      </c>
    </row>
    <row r="476" customFormat="false" ht="18" hidden="false" customHeight="true" outlineLevel="0" collapsed="false">
      <c r="A476" s="17" t="s">
        <v>84</v>
      </c>
      <c r="B476" s="18" t="s">
        <v>154</v>
      </c>
      <c r="C476" s="19" t="s">
        <v>107</v>
      </c>
      <c r="D476" s="20"/>
      <c r="E476" s="20"/>
      <c r="F476" s="21" t="n">
        <f aca="false">'📋 Matches'!E44</f>
        <v>0</v>
      </c>
      <c r="G476" s="21" t="n">
        <f aca="false">'📋 Matches'!F44</f>
        <v>0</v>
      </c>
      <c r="H476" s="24" t="s">
        <v>148</v>
      </c>
      <c r="I476" s="24" t="s">
        <v>148</v>
      </c>
      <c r="J476" s="24" t="s">
        <v>148</v>
      </c>
      <c r="K476" s="24" t="s">
        <v>148</v>
      </c>
      <c r="L476" s="24" t="s">
        <v>148</v>
      </c>
    </row>
    <row r="477" customFormat="false" ht="18" hidden="false" customHeight="true" outlineLevel="0" collapsed="false">
      <c r="A477" s="17" t="s">
        <v>84</v>
      </c>
      <c r="B477" s="18" t="s">
        <v>154</v>
      </c>
      <c r="C477" s="19" t="s">
        <v>108</v>
      </c>
      <c r="D477" s="20"/>
      <c r="E477" s="20"/>
      <c r="F477" s="21" t="n">
        <f aca="false">'📋 Matches'!E45</f>
        <v>0</v>
      </c>
      <c r="G477" s="21" t="n">
        <f aca="false">'📋 Matches'!F45</f>
        <v>0</v>
      </c>
      <c r="H477" s="24" t="s">
        <v>148</v>
      </c>
      <c r="I477" s="24" t="s">
        <v>148</v>
      </c>
      <c r="J477" s="24" t="s">
        <v>148</v>
      </c>
      <c r="K477" s="24" t="s">
        <v>148</v>
      </c>
      <c r="L477" s="24" t="s">
        <v>148</v>
      </c>
    </row>
    <row r="478" customFormat="false" ht="18" hidden="false" customHeight="true" outlineLevel="0" collapsed="false">
      <c r="A478" s="17" t="s">
        <v>84</v>
      </c>
      <c r="B478" s="18" t="s">
        <v>154</v>
      </c>
      <c r="C478" s="19" t="s">
        <v>109</v>
      </c>
      <c r="D478" s="20"/>
      <c r="E478" s="20"/>
      <c r="F478" s="21" t="n">
        <f aca="false">'📋 Matches'!E46</f>
        <v>0</v>
      </c>
      <c r="G478" s="21" t="n">
        <f aca="false">'📋 Matches'!F46</f>
        <v>0</v>
      </c>
      <c r="H478" s="24" t="s">
        <v>148</v>
      </c>
      <c r="I478" s="24" t="s">
        <v>148</v>
      </c>
      <c r="J478" s="24" t="s">
        <v>148</v>
      </c>
      <c r="K478" s="24" t="s">
        <v>148</v>
      </c>
      <c r="L478" s="24" t="s">
        <v>148</v>
      </c>
    </row>
    <row r="479" customFormat="false" ht="18" hidden="false" customHeight="true" outlineLevel="0" collapsed="false">
      <c r="A479" s="17" t="s">
        <v>84</v>
      </c>
      <c r="B479" s="18" t="s">
        <v>154</v>
      </c>
      <c r="C479" s="19" t="s">
        <v>110</v>
      </c>
      <c r="D479" s="20"/>
      <c r="E479" s="20"/>
      <c r="F479" s="21" t="n">
        <f aca="false">'📋 Matches'!E47</f>
        <v>0</v>
      </c>
      <c r="G479" s="21" t="n">
        <f aca="false">'📋 Matches'!F47</f>
        <v>0</v>
      </c>
      <c r="H479" s="24" t="s">
        <v>148</v>
      </c>
      <c r="I479" s="24" t="s">
        <v>148</v>
      </c>
      <c r="J479" s="24" t="s">
        <v>148</v>
      </c>
      <c r="K479" s="24" t="s">
        <v>148</v>
      </c>
      <c r="L479" s="24" t="s">
        <v>148</v>
      </c>
    </row>
    <row r="480" customFormat="false" ht="18" hidden="false" customHeight="true" outlineLevel="0" collapsed="false">
      <c r="A480" s="17" t="s">
        <v>84</v>
      </c>
      <c r="B480" s="18" t="s">
        <v>154</v>
      </c>
      <c r="C480" s="19" t="s">
        <v>111</v>
      </c>
      <c r="D480" s="20"/>
      <c r="E480" s="20"/>
      <c r="F480" s="21" t="n">
        <f aca="false">'📋 Matches'!E48</f>
        <v>0</v>
      </c>
      <c r="G480" s="21" t="n">
        <f aca="false">'📋 Matches'!F48</f>
        <v>0</v>
      </c>
      <c r="H480" s="24" t="s">
        <v>148</v>
      </c>
      <c r="I480" s="24" t="s">
        <v>148</v>
      </c>
      <c r="J480" s="24" t="s">
        <v>148</v>
      </c>
      <c r="K480" s="24" t="s">
        <v>148</v>
      </c>
      <c r="L480" s="24" t="s">
        <v>148</v>
      </c>
    </row>
    <row r="481" customFormat="false" ht="18" hidden="false" customHeight="true" outlineLevel="0" collapsed="false">
      <c r="A481" s="17" t="s">
        <v>84</v>
      </c>
      <c r="B481" s="18" t="s">
        <v>154</v>
      </c>
      <c r="C481" s="19" t="s">
        <v>112</v>
      </c>
      <c r="D481" s="20"/>
      <c r="E481" s="20"/>
      <c r="F481" s="21" t="n">
        <f aca="false">'📋 Matches'!E49</f>
        <v>0</v>
      </c>
      <c r="G481" s="21" t="n">
        <f aca="false">'📋 Matches'!F49</f>
        <v>0</v>
      </c>
      <c r="H481" s="24" t="s">
        <v>148</v>
      </c>
      <c r="I481" s="24" t="s">
        <v>148</v>
      </c>
      <c r="J481" s="24" t="s">
        <v>148</v>
      </c>
      <c r="K481" s="24" t="s">
        <v>148</v>
      </c>
      <c r="L481" s="24" t="s">
        <v>148</v>
      </c>
    </row>
    <row r="482" customFormat="false" ht="18" hidden="false" customHeight="true" outlineLevel="0" collapsed="false">
      <c r="A482" s="17" t="s">
        <v>114</v>
      </c>
      <c r="B482" s="18" t="s">
        <v>154</v>
      </c>
      <c r="C482" s="19" t="s">
        <v>115</v>
      </c>
      <c r="D482" s="20"/>
      <c r="E482" s="20"/>
      <c r="F482" s="21" t="n">
        <f aca="false">'📋 Matches'!E50</f>
        <v>0</v>
      </c>
      <c r="G482" s="21" t="n">
        <f aca="false">'📋 Matches'!F50</f>
        <v>0</v>
      </c>
      <c r="H482" s="24" t="s">
        <v>148</v>
      </c>
      <c r="I482" s="24" t="s">
        <v>148</v>
      </c>
      <c r="J482" s="24" t="s">
        <v>148</v>
      </c>
      <c r="K482" s="24" t="s">
        <v>148</v>
      </c>
      <c r="L482" s="24" t="s">
        <v>148</v>
      </c>
    </row>
    <row r="483" customFormat="false" ht="18" hidden="false" customHeight="true" outlineLevel="0" collapsed="false">
      <c r="A483" s="17" t="s">
        <v>114</v>
      </c>
      <c r="B483" s="18" t="s">
        <v>154</v>
      </c>
      <c r="C483" s="19" t="s">
        <v>116</v>
      </c>
      <c r="D483" s="20"/>
      <c r="E483" s="20"/>
      <c r="F483" s="21" t="n">
        <f aca="false">'📋 Matches'!E51</f>
        <v>0</v>
      </c>
      <c r="G483" s="21" t="n">
        <f aca="false">'📋 Matches'!F51</f>
        <v>0</v>
      </c>
      <c r="H483" s="24" t="s">
        <v>148</v>
      </c>
      <c r="I483" s="24" t="s">
        <v>148</v>
      </c>
      <c r="J483" s="24" t="s">
        <v>148</v>
      </c>
      <c r="K483" s="24" t="s">
        <v>148</v>
      </c>
      <c r="L483" s="24" t="s">
        <v>148</v>
      </c>
    </row>
    <row r="484" customFormat="false" ht="18" hidden="false" customHeight="true" outlineLevel="0" collapsed="false">
      <c r="A484" s="17" t="s">
        <v>114</v>
      </c>
      <c r="B484" s="18" t="s">
        <v>154</v>
      </c>
      <c r="C484" s="19" t="s">
        <v>117</v>
      </c>
      <c r="D484" s="20"/>
      <c r="E484" s="20"/>
      <c r="F484" s="21" t="n">
        <f aca="false">'📋 Matches'!E52</f>
        <v>0</v>
      </c>
      <c r="G484" s="21" t="n">
        <f aca="false">'📋 Matches'!F52</f>
        <v>0</v>
      </c>
      <c r="H484" s="24" t="s">
        <v>148</v>
      </c>
      <c r="I484" s="24" t="s">
        <v>148</v>
      </c>
      <c r="J484" s="24" t="s">
        <v>148</v>
      </c>
      <c r="K484" s="24" t="s">
        <v>148</v>
      </c>
      <c r="L484" s="24" t="s">
        <v>148</v>
      </c>
    </row>
    <row r="485" customFormat="false" ht="18" hidden="false" customHeight="true" outlineLevel="0" collapsed="false">
      <c r="A485" s="17" t="s">
        <v>114</v>
      </c>
      <c r="B485" s="18" t="s">
        <v>154</v>
      </c>
      <c r="C485" s="19" t="s">
        <v>118</v>
      </c>
      <c r="D485" s="20"/>
      <c r="E485" s="20"/>
      <c r="F485" s="21" t="n">
        <f aca="false">'📋 Matches'!E53</f>
        <v>0</v>
      </c>
      <c r="G485" s="21" t="n">
        <f aca="false">'📋 Matches'!F53</f>
        <v>0</v>
      </c>
      <c r="H485" s="24" t="s">
        <v>148</v>
      </c>
      <c r="I485" s="24" t="s">
        <v>148</v>
      </c>
      <c r="J485" s="24" t="s">
        <v>148</v>
      </c>
      <c r="K485" s="24" t="s">
        <v>148</v>
      </c>
      <c r="L485" s="24" t="s">
        <v>148</v>
      </c>
    </row>
    <row r="486" customFormat="false" ht="18" hidden="false" customHeight="true" outlineLevel="0" collapsed="false">
      <c r="A486" s="17" t="s">
        <v>114</v>
      </c>
      <c r="B486" s="18" t="s">
        <v>154</v>
      </c>
      <c r="C486" s="19" t="s">
        <v>119</v>
      </c>
      <c r="D486" s="20"/>
      <c r="E486" s="20"/>
      <c r="F486" s="21" t="n">
        <f aca="false">'📋 Matches'!E54</f>
        <v>0</v>
      </c>
      <c r="G486" s="21" t="n">
        <f aca="false">'📋 Matches'!F54</f>
        <v>0</v>
      </c>
      <c r="H486" s="24" t="s">
        <v>148</v>
      </c>
      <c r="I486" s="24" t="s">
        <v>148</v>
      </c>
      <c r="J486" s="24" t="s">
        <v>148</v>
      </c>
      <c r="K486" s="24" t="s">
        <v>148</v>
      </c>
      <c r="L486" s="24" t="s">
        <v>148</v>
      </c>
    </row>
    <row r="487" customFormat="false" ht="18" hidden="false" customHeight="true" outlineLevel="0" collapsed="false">
      <c r="A487" s="17" t="s">
        <v>114</v>
      </c>
      <c r="B487" s="18" t="s">
        <v>154</v>
      </c>
      <c r="C487" s="19" t="s">
        <v>120</v>
      </c>
      <c r="D487" s="20"/>
      <c r="E487" s="20"/>
      <c r="F487" s="21" t="n">
        <f aca="false">'📋 Matches'!E55</f>
        <v>0</v>
      </c>
      <c r="G487" s="21" t="n">
        <f aca="false">'📋 Matches'!F55</f>
        <v>0</v>
      </c>
      <c r="H487" s="24" t="s">
        <v>148</v>
      </c>
      <c r="I487" s="24" t="s">
        <v>148</v>
      </c>
      <c r="J487" s="24" t="s">
        <v>148</v>
      </c>
      <c r="K487" s="24" t="s">
        <v>148</v>
      </c>
      <c r="L487" s="24" t="s">
        <v>148</v>
      </c>
    </row>
    <row r="488" customFormat="false" ht="18" hidden="false" customHeight="true" outlineLevel="0" collapsed="false">
      <c r="A488" s="17" t="s">
        <v>114</v>
      </c>
      <c r="B488" s="18" t="s">
        <v>154</v>
      </c>
      <c r="C488" s="19" t="s">
        <v>121</v>
      </c>
      <c r="D488" s="20"/>
      <c r="E488" s="20"/>
      <c r="F488" s="21" t="n">
        <f aca="false">'📋 Matches'!E56</f>
        <v>0</v>
      </c>
      <c r="G488" s="21" t="n">
        <f aca="false">'📋 Matches'!F56</f>
        <v>0</v>
      </c>
      <c r="H488" s="24" t="s">
        <v>148</v>
      </c>
      <c r="I488" s="24" t="s">
        <v>148</v>
      </c>
      <c r="J488" s="24" t="s">
        <v>148</v>
      </c>
      <c r="K488" s="24" t="s">
        <v>148</v>
      </c>
      <c r="L488" s="24" t="s">
        <v>148</v>
      </c>
    </row>
    <row r="489" customFormat="false" ht="18" hidden="false" customHeight="true" outlineLevel="0" collapsed="false">
      <c r="A489" s="17" t="s">
        <v>114</v>
      </c>
      <c r="B489" s="18" t="s">
        <v>154</v>
      </c>
      <c r="C489" s="19" t="s">
        <v>122</v>
      </c>
      <c r="D489" s="20"/>
      <c r="E489" s="20"/>
      <c r="F489" s="21" t="n">
        <f aca="false">'📋 Matches'!E57</f>
        <v>0</v>
      </c>
      <c r="G489" s="21" t="n">
        <f aca="false">'📋 Matches'!F57</f>
        <v>0</v>
      </c>
      <c r="H489" s="24" t="s">
        <v>148</v>
      </c>
      <c r="I489" s="24" t="s">
        <v>148</v>
      </c>
      <c r="J489" s="24" t="s">
        <v>148</v>
      </c>
      <c r="K489" s="24" t="s">
        <v>148</v>
      </c>
      <c r="L489" s="24" t="s">
        <v>148</v>
      </c>
    </row>
    <row r="490" customFormat="false" ht="18" hidden="false" customHeight="true" outlineLevel="0" collapsed="false">
      <c r="A490" s="17" t="s">
        <v>114</v>
      </c>
      <c r="B490" s="18" t="s">
        <v>154</v>
      </c>
      <c r="C490" s="19" t="s">
        <v>123</v>
      </c>
      <c r="D490" s="20"/>
      <c r="E490" s="20"/>
      <c r="F490" s="21" t="n">
        <f aca="false">'📋 Matches'!E58</f>
        <v>0</v>
      </c>
      <c r="G490" s="21" t="n">
        <f aca="false">'📋 Matches'!F58</f>
        <v>0</v>
      </c>
      <c r="H490" s="24" t="s">
        <v>148</v>
      </c>
      <c r="I490" s="24" t="s">
        <v>148</v>
      </c>
      <c r="J490" s="24" t="s">
        <v>148</v>
      </c>
      <c r="K490" s="24" t="s">
        <v>148</v>
      </c>
      <c r="L490" s="24" t="s">
        <v>148</v>
      </c>
    </row>
    <row r="491" customFormat="false" ht="18" hidden="false" customHeight="true" outlineLevel="0" collapsed="false">
      <c r="A491" s="17" t="s">
        <v>114</v>
      </c>
      <c r="B491" s="18" t="s">
        <v>154</v>
      </c>
      <c r="C491" s="19" t="s">
        <v>124</v>
      </c>
      <c r="D491" s="20"/>
      <c r="E491" s="20"/>
      <c r="F491" s="21" t="n">
        <f aca="false">'📋 Matches'!E59</f>
        <v>0</v>
      </c>
      <c r="G491" s="21" t="n">
        <f aca="false">'📋 Matches'!F59</f>
        <v>0</v>
      </c>
      <c r="H491" s="24" t="s">
        <v>148</v>
      </c>
      <c r="I491" s="24" t="s">
        <v>148</v>
      </c>
      <c r="J491" s="24" t="s">
        <v>148</v>
      </c>
      <c r="K491" s="24" t="s">
        <v>148</v>
      </c>
      <c r="L491" s="24" t="s">
        <v>148</v>
      </c>
    </row>
    <row r="492" customFormat="false" ht="18" hidden="false" customHeight="true" outlineLevel="0" collapsed="false">
      <c r="A492" s="17" t="s">
        <v>114</v>
      </c>
      <c r="B492" s="18" t="s">
        <v>154</v>
      </c>
      <c r="C492" s="19" t="s">
        <v>125</v>
      </c>
      <c r="D492" s="20"/>
      <c r="E492" s="20"/>
      <c r="F492" s="21" t="n">
        <f aca="false">'📋 Matches'!E60</f>
        <v>0</v>
      </c>
      <c r="G492" s="21" t="n">
        <f aca="false">'📋 Matches'!F60</f>
        <v>0</v>
      </c>
      <c r="H492" s="24" t="s">
        <v>148</v>
      </c>
      <c r="I492" s="24" t="s">
        <v>148</v>
      </c>
      <c r="J492" s="24" t="s">
        <v>148</v>
      </c>
      <c r="K492" s="24" t="s">
        <v>148</v>
      </c>
      <c r="L492" s="24" t="s">
        <v>148</v>
      </c>
    </row>
    <row r="493" customFormat="false" ht="18" hidden="false" customHeight="true" outlineLevel="0" collapsed="false">
      <c r="A493" s="17" t="s">
        <v>114</v>
      </c>
      <c r="B493" s="18" t="s">
        <v>154</v>
      </c>
      <c r="C493" s="19" t="s">
        <v>126</v>
      </c>
      <c r="D493" s="20"/>
      <c r="E493" s="20"/>
      <c r="F493" s="21" t="n">
        <f aca="false">'📋 Matches'!E61</f>
        <v>0</v>
      </c>
      <c r="G493" s="21" t="n">
        <f aca="false">'📋 Matches'!F61</f>
        <v>0</v>
      </c>
      <c r="H493" s="24" t="s">
        <v>148</v>
      </c>
      <c r="I493" s="24" t="s">
        <v>148</v>
      </c>
      <c r="J493" s="24" t="s">
        <v>148</v>
      </c>
      <c r="K493" s="24" t="s">
        <v>148</v>
      </c>
      <c r="L493" s="24" t="s">
        <v>148</v>
      </c>
    </row>
    <row r="494" customFormat="false" ht="18" hidden="false" customHeight="true" outlineLevel="0" collapsed="false">
      <c r="A494" s="17" t="s">
        <v>114</v>
      </c>
      <c r="B494" s="18" t="s">
        <v>154</v>
      </c>
      <c r="C494" s="19" t="s">
        <v>127</v>
      </c>
      <c r="D494" s="20"/>
      <c r="E494" s="20"/>
      <c r="F494" s="21" t="n">
        <f aca="false">'📋 Matches'!E62</f>
        <v>0</v>
      </c>
      <c r="G494" s="21" t="n">
        <f aca="false">'📋 Matches'!F62</f>
        <v>0</v>
      </c>
      <c r="H494" s="24" t="s">
        <v>148</v>
      </c>
      <c r="I494" s="24" t="s">
        <v>148</v>
      </c>
      <c r="J494" s="24" t="s">
        <v>148</v>
      </c>
      <c r="K494" s="24" t="s">
        <v>148</v>
      </c>
      <c r="L494" s="24" t="s">
        <v>148</v>
      </c>
    </row>
    <row r="495" customFormat="false" ht="18" hidden="false" customHeight="true" outlineLevel="0" collapsed="false">
      <c r="A495" s="17" t="s">
        <v>114</v>
      </c>
      <c r="B495" s="18" t="s">
        <v>154</v>
      </c>
      <c r="C495" s="19" t="s">
        <v>128</v>
      </c>
      <c r="D495" s="20"/>
      <c r="E495" s="20"/>
      <c r="F495" s="21" t="n">
        <f aca="false">'📋 Matches'!E63</f>
        <v>0</v>
      </c>
      <c r="G495" s="21" t="n">
        <f aca="false">'📋 Matches'!F63</f>
        <v>0</v>
      </c>
      <c r="H495" s="24" t="s">
        <v>148</v>
      </c>
      <c r="I495" s="24" t="s">
        <v>148</v>
      </c>
      <c r="J495" s="24" t="s">
        <v>148</v>
      </c>
      <c r="K495" s="24" t="s">
        <v>148</v>
      </c>
      <c r="L495" s="24" t="s">
        <v>148</v>
      </c>
    </row>
    <row r="496" customFormat="false" ht="18" hidden="false" customHeight="true" outlineLevel="0" collapsed="false">
      <c r="A496" s="17" t="s">
        <v>114</v>
      </c>
      <c r="B496" s="18" t="s">
        <v>154</v>
      </c>
      <c r="C496" s="19" t="s">
        <v>129</v>
      </c>
      <c r="D496" s="20"/>
      <c r="E496" s="20"/>
      <c r="F496" s="21" t="n">
        <f aca="false">'📋 Matches'!E64</f>
        <v>0</v>
      </c>
      <c r="G496" s="21" t="n">
        <f aca="false">'📋 Matches'!F64</f>
        <v>0</v>
      </c>
      <c r="H496" s="24" t="s">
        <v>148</v>
      </c>
      <c r="I496" s="24" t="s">
        <v>148</v>
      </c>
      <c r="J496" s="24" t="s">
        <v>148</v>
      </c>
      <c r="K496" s="24" t="s">
        <v>148</v>
      </c>
      <c r="L496" s="24" t="s">
        <v>148</v>
      </c>
    </row>
    <row r="497" customFormat="false" ht="18" hidden="false" customHeight="true" outlineLevel="0" collapsed="false">
      <c r="A497" s="17" t="s">
        <v>114</v>
      </c>
      <c r="B497" s="18" t="s">
        <v>154</v>
      </c>
      <c r="C497" s="19" t="s">
        <v>130</v>
      </c>
      <c r="D497" s="20"/>
      <c r="E497" s="20"/>
      <c r="F497" s="21" t="n">
        <f aca="false">'📋 Matches'!E65</f>
        <v>0</v>
      </c>
      <c r="G497" s="21" t="n">
        <f aca="false">'📋 Matches'!F65</f>
        <v>0</v>
      </c>
      <c r="H497" s="24" t="s">
        <v>148</v>
      </c>
      <c r="I497" s="24" t="s">
        <v>148</v>
      </c>
      <c r="J497" s="24" t="s">
        <v>148</v>
      </c>
      <c r="K497" s="24" t="s">
        <v>148</v>
      </c>
      <c r="L497" s="24" t="s">
        <v>148</v>
      </c>
    </row>
    <row r="498" customFormat="false" ht="18" hidden="false" customHeight="true" outlineLevel="0" collapsed="false">
      <c r="A498" s="17" t="s">
        <v>114</v>
      </c>
      <c r="B498" s="18" t="s">
        <v>154</v>
      </c>
      <c r="C498" s="19" t="s">
        <v>131</v>
      </c>
      <c r="D498" s="20"/>
      <c r="E498" s="20"/>
      <c r="F498" s="21" t="n">
        <f aca="false">'📋 Matches'!E66</f>
        <v>0</v>
      </c>
      <c r="G498" s="21" t="n">
        <f aca="false">'📋 Matches'!F66</f>
        <v>0</v>
      </c>
      <c r="H498" s="24" t="s">
        <v>148</v>
      </c>
      <c r="I498" s="24" t="s">
        <v>148</v>
      </c>
      <c r="J498" s="24" t="s">
        <v>148</v>
      </c>
      <c r="K498" s="24" t="s">
        <v>148</v>
      </c>
      <c r="L498" s="24" t="s">
        <v>148</v>
      </c>
    </row>
    <row r="499" customFormat="false" ht="18" hidden="false" customHeight="true" outlineLevel="0" collapsed="false">
      <c r="A499" s="17" t="s">
        <v>114</v>
      </c>
      <c r="B499" s="18" t="s">
        <v>154</v>
      </c>
      <c r="C499" s="19" t="s">
        <v>132</v>
      </c>
      <c r="D499" s="20"/>
      <c r="E499" s="20"/>
      <c r="F499" s="21" t="n">
        <f aca="false">'📋 Matches'!E67</f>
        <v>0</v>
      </c>
      <c r="G499" s="21" t="n">
        <f aca="false">'📋 Matches'!F67</f>
        <v>0</v>
      </c>
      <c r="H499" s="24" t="s">
        <v>148</v>
      </c>
      <c r="I499" s="24" t="s">
        <v>148</v>
      </c>
      <c r="J499" s="24" t="s">
        <v>148</v>
      </c>
      <c r="K499" s="24" t="s">
        <v>148</v>
      </c>
      <c r="L499" s="24" t="s">
        <v>148</v>
      </c>
    </row>
    <row r="500" customFormat="false" ht="18" hidden="false" customHeight="true" outlineLevel="0" collapsed="false">
      <c r="A500" s="17" t="s">
        <v>114</v>
      </c>
      <c r="B500" s="18" t="s">
        <v>154</v>
      </c>
      <c r="C500" s="19" t="s">
        <v>133</v>
      </c>
      <c r="D500" s="20"/>
      <c r="E500" s="20"/>
      <c r="F500" s="21" t="n">
        <f aca="false">'📋 Matches'!E68</f>
        <v>0</v>
      </c>
      <c r="G500" s="21" t="n">
        <f aca="false">'📋 Matches'!F68</f>
        <v>0</v>
      </c>
      <c r="H500" s="24" t="s">
        <v>148</v>
      </c>
      <c r="I500" s="24" t="s">
        <v>148</v>
      </c>
      <c r="J500" s="24" t="s">
        <v>148</v>
      </c>
      <c r="K500" s="24" t="s">
        <v>148</v>
      </c>
      <c r="L500" s="24" t="s">
        <v>148</v>
      </c>
    </row>
    <row r="501" customFormat="false" ht="18" hidden="false" customHeight="true" outlineLevel="0" collapsed="false">
      <c r="A501" s="17" t="s">
        <v>114</v>
      </c>
      <c r="B501" s="18" t="s">
        <v>154</v>
      </c>
      <c r="C501" s="19" t="s">
        <v>134</v>
      </c>
      <c r="D501" s="20"/>
      <c r="E501" s="20"/>
      <c r="F501" s="21" t="n">
        <f aca="false">'📋 Matches'!E69</f>
        <v>0</v>
      </c>
      <c r="G501" s="21" t="n">
        <f aca="false">'📋 Matches'!F69</f>
        <v>0</v>
      </c>
      <c r="H501" s="24" t="s">
        <v>148</v>
      </c>
      <c r="I501" s="24" t="s">
        <v>148</v>
      </c>
      <c r="J501" s="24" t="s">
        <v>148</v>
      </c>
      <c r="K501" s="24" t="s">
        <v>148</v>
      </c>
      <c r="L501" s="24" t="s">
        <v>148</v>
      </c>
    </row>
    <row r="502" customFormat="false" ht="18" hidden="false" customHeight="true" outlineLevel="0" collapsed="false">
      <c r="A502" s="17" t="s">
        <v>114</v>
      </c>
      <c r="B502" s="18" t="s">
        <v>154</v>
      </c>
      <c r="C502" s="19" t="s">
        <v>135</v>
      </c>
      <c r="D502" s="20"/>
      <c r="E502" s="20"/>
      <c r="F502" s="21" t="n">
        <f aca="false">'📋 Matches'!E70</f>
        <v>0</v>
      </c>
      <c r="G502" s="21" t="n">
        <f aca="false">'📋 Matches'!F70</f>
        <v>0</v>
      </c>
      <c r="H502" s="24" t="s">
        <v>148</v>
      </c>
      <c r="I502" s="24" t="s">
        <v>148</v>
      </c>
      <c r="J502" s="24" t="s">
        <v>148</v>
      </c>
      <c r="K502" s="24" t="s">
        <v>148</v>
      </c>
      <c r="L502" s="24" t="s">
        <v>148</v>
      </c>
    </row>
    <row r="503" customFormat="false" ht="18" hidden="false" customHeight="true" outlineLevel="0" collapsed="false">
      <c r="A503" s="17" t="s">
        <v>114</v>
      </c>
      <c r="B503" s="18" t="s">
        <v>154</v>
      </c>
      <c r="C503" s="19" t="s">
        <v>136</v>
      </c>
      <c r="D503" s="20"/>
      <c r="E503" s="20"/>
      <c r="F503" s="21" t="n">
        <f aca="false">'📋 Matches'!E71</f>
        <v>0</v>
      </c>
      <c r="G503" s="21" t="n">
        <f aca="false">'📋 Matches'!F71</f>
        <v>0</v>
      </c>
      <c r="H503" s="24" t="s">
        <v>148</v>
      </c>
      <c r="I503" s="24" t="s">
        <v>148</v>
      </c>
      <c r="J503" s="24" t="s">
        <v>148</v>
      </c>
      <c r="K503" s="24" t="s">
        <v>148</v>
      </c>
      <c r="L503" s="24" t="s">
        <v>148</v>
      </c>
    </row>
    <row r="504" customFormat="false" ht="18" hidden="false" customHeight="true" outlineLevel="0" collapsed="false">
      <c r="A504" s="17" t="s">
        <v>114</v>
      </c>
      <c r="B504" s="18" t="s">
        <v>154</v>
      </c>
      <c r="C504" s="19" t="s">
        <v>137</v>
      </c>
      <c r="D504" s="20"/>
      <c r="E504" s="20"/>
      <c r="F504" s="21" t="n">
        <f aca="false">'📋 Matches'!E72</f>
        <v>0</v>
      </c>
      <c r="G504" s="21" t="n">
        <f aca="false">'📋 Matches'!F72</f>
        <v>0</v>
      </c>
      <c r="H504" s="24" t="s">
        <v>148</v>
      </c>
      <c r="I504" s="24" t="s">
        <v>148</v>
      </c>
      <c r="J504" s="24" t="s">
        <v>148</v>
      </c>
      <c r="K504" s="24" t="s">
        <v>148</v>
      </c>
      <c r="L504" s="24" t="s">
        <v>148</v>
      </c>
    </row>
    <row r="505" customFormat="false" ht="18" hidden="false" customHeight="true" outlineLevel="0" collapsed="false">
      <c r="A505" s="17" t="s">
        <v>114</v>
      </c>
      <c r="B505" s="18" t="s">
        <v>154</v>
      </c>
      <c r="C505" s="19" t="s">
        <v>138</v>
      </c>
      <c r="D505" s="20"/>
      <c r="E505" s="20"/>
      <c r="F505" s="21" t="n">
        <f aca="false">'📋 Matches'!E73</f>
        <v>0</v>
      </c>
      <c r="G505" s="21" t="n">
        <f aca="false">'📋 Matches'!F73</f>
        <v>0</v>
      </c>
      <c r="H505" s="24" t="s">
        <v>148</v>
      </c>
      <c r="I505" s="24" t="s">
        <v>148</v>
      </c>
      <c r="J505" s="24" t="s">
        <v>148</v>
      </c>
      <c r="K505" s="24" t="s">
        <v>148</v>
      </c>
      <c r="L505" s="24" t="s">
        <v>148</v>
      </c>
    </row>
    <row r="506" customFormat="false" ht="18" hidden="false" customHeight="true" outlineLevel="0" collapsed="false">
      <c r="A506" s="25" t="s">
        <v>9</v>
      </c>
      <c r="B506" s="32" t="s">
        <v>155</v>
      </c>
      <c r="C506" s="27" t="s">
        <v>10</v>
      </c>
      <c r="D506" s="28" t="n">
        <v>2</v>
      </c>
      <c r="E506" s="28" t="n">
        <v>0</v>
      </c>
      <c r="F506" s="29" t="n">
        <f aca="false">'📋 Matches'!E2</f>
        <v>2</v>
      </c>
      <c r="G506" s="29" t="n">
        <f aca="false">'📋 Matches'!F2</f>
        <v>0</v>
      </c>
      <c r="H506" s="22" t="n">
        <f aca="false">IF(AND(ISNUMBER(F506),ISNUMBER(G506)),IF(SIGN(D506-E506)=SIGN(F506-G506),48,0),"")</f>
        <v>48</v>
      </c>
      <c r="I506" s="22" t="n">
        <f aca="false">IF(AND(ISNUMBER(F506),ISNUMBER(G506)),IF(D506=F506,15,0),"")</f>
        <v>15</v>
      </c>
      <c r="J506" s="22" t="n">
        <f aca="false">IF(AND(ISNUMBER(F506),ISNUMBER(G506)),IF(E506=G506,15,0),"")</f>
        <v>15</v>
      </c>
      <c r="K506" s="22" t="n">
        <f aca="false">IF(AND(ISNUMBER(F506),ISNUMBER(G506)),IF(ABS(D506-E506)=ABS(F506-G506),12,0),"")</f>
        <v>12</v>
      </c>
      <c r="L506" s="23" t="n">
        <f aca="false">IF(ISNUMBER(H506),H506+I506+J506+K506,"")</f>
        <v>90</v>
      </c>
    </row>
    <row r="507" customFormat="false" ht="18" hidden="false" customHeight="true" outlineLevel="0" collapsed="false">
      <c r="A507" s="25" t="s">
        <v>9</v>
      </c>
      <c r="B507" s="32" t="s">
        <v>155</v>
      </c>
      <c r="C507" s="27" t="s">
        <v>14</v>
      </c>
      <c r="D507" s="28" t="n">
        <v>0</v>
      </c>
      <c r="E507" s="28" t="n">
        <v>2</v>
      </c>
      <c r="F507" s="29" t="n">
        <f aca="false">'📋 Matches'!E3</f>
        <v>2</v>
      </c>
      <c r="G507" s="29" t="n">
        <f aca="false">'📋 Matches'!F3</f>
        <v>1</v>
      </c>
      <c r="H507" s="22" t="n">
        <f aca="false">IF(AND(ISNUMBER(F507),ISNUMBER(G507)),IF(SIGN(D507-E507)=SIGN(F507-G507),48,0),"")</f>
        <v>0</v>
      </c>
      <c r="I507" s="22" t="n">
        <f aca="false">IF(AND(ISNUMBER(F507),ISNUMBER(G507)),IF(D507=F507,15,0),"")</f>
        <v>0</v>
      </c>
      <c r="J507" s="22" t="n">
        <f aca="false">IF(AND(ISNUMBER(F507),ISNUMBER(G507)),IF(E507=G507,15,0),"")</f>
        <v>0</v>
      </c>
      <c r="K507" s="22" t="n">
        <f aca="false">IF(AND(ISNUMBER(F507),ISNUMBER(G507)),IF(ABS(D507-E507)=ABS(F507-G507),12,0),"")</f>
        <v>0</v>
      </c>
      <c r="L507" s="23" t="n">
        <f aca="false">IF(ISNUMBER(H507),H507+I507+J507+K507,"")</f>
        <v>0</v>
      </c>
    </row>
    <row r="508" customFormat="false" ht="18" hidden="false" customHeight="true" outlineLevel="0" collapsed="false">
      <c r="A508" s="25" t="s">
        <v>9</v>
      </c>
      <c r="B508" s="32" t="s">
        <v>155</v>
      </c>
      <c r="C508" s="27" t="s">
        <v>17</v>
      </c>
      <c r="D508" s="28" t="n">
        <v>1</v>
      </c>
      <c r="E508" s="28" t="n">
        <v>1</v>
      </c>
      <c r="F508" s="29" t="n">
        <f aca="false">'📋 Matches'!E4</f>
        <v>1</v>
      </c>
      <c r="G508" s="29" t="n">
        <f aca="false">'📋 Matches'!F4</f>
        <v>1</v>
      </c>
      <c r="H508" s="22" t="n">
        <f aca="false">IF(AND(ISNUMBER(F508),ISNUMBER(G508)),IF(SIGN(D508-E508)=SIGN(F508-G508),48,0),"")</f>
        <v>48</v>
      </c>
      <c r="I508" s="22" t="n">
        <f aca="false">IF(AND(ISNUMBER(F508),ISNUMBER(G508)),IF(D508=F508,15,0),"")</f>
        <v>15</v>
      </c>
      <c r="J508" s="22" t="n">
        <f aca="false">IF(AND(ISNUMBER(F508),ISNUMBER(G508)),IF(E508=G508,15,0),"")</f>
        <v>15</v>
      </c>
      <c r="K508" s="22" t="n">
        <f aca="false">IF(AND(ISNUMBER(F508),ISNUMBER(G508)),IF(ABS(D508-E508)=ABS(F508-G508),12,0),"")</f>
        <v>12</v>
      </c>
      <c r="L508" s="23" t="n">
        <f aca="false">IF(ISNUMBER(H508),H508+I508+J508+K508,"")</f>
        <v>90</v>
      </c>
    </row>
    <row r="509" customFormat="false" ht="18" hidden="false" customHeight="true" outlineLevel="0" collapsed="false">
      <c r="A509" s="25" t="s">
        <v>9</v>
      </c>
      <c r="B509" s="32" t="s">
        <v>155</v>
      </c>
      <c r="C509" s="27" t="s">
        <v>20</v>
      </c>
      <c r="D509" s="28" t="n">
        <v>3</v>
      </c>
      <c r="E509" s="28" t="n">
        <v>1</v>
      </c>
      <c r="F509" s="29" t="n">
        <f aca="false">'📋 Matches'!E5</f>
        <v>4</v>
      </c>
      <c r="G509" s="29" t="n">
        <f aca="false">'📋 Matches'!F5</f>
        <v>1</v>
      </c>
      <c r="H509" s="22" t="n">
        <f aca="false">IF(AND(ISNUMBER(F509),ISNUMBER(G509)),IF(SIGN(D509-E509)=SIGN(F509-G509),48,0),"")</f>
        <v>48</v>
      </c>
      <c r="I509" s="22" t="n">
        <f aca="false">IF(AND(ISNUMBER(F509),ISNUMBER(G509)),IF(D509=F509,15,0),"")</f>
        <v>0</v>
      </c>
      <c r="J509" s="22" t="n">
        <f aca="false">IF(AND(ISNUMBER(F509),ISNUMBER(G509)),IF(E509=G509,15,0),"")</f>
        <v>15</v>
      </c>
      <c r="K509" s="22" t="n">
        <f aca="false">IF(AND(ISNUMBER(F509),ISNUMBER(G509)),IF(ABS(D509-E509)=ABS(F509-G509),12,0),"")</f>
        <v>0</v>
      </c>
      <c r="L509" s="23" t="n">
        <f aca="false">IF(ISNUMBER(H509),H509+I509+J509+K509,"")</f>
        <v>63</v>
      </c>
    </row>
    <row r="510" customFormat="false" ht="18" hidden="false" customHeight="true" outlineLevel="0" collapsed="false">
      <c r="A510" s="25" t="s">
        <v>9</v>
      </c>
      <c r="B510" s="32" t="s">
        <v>155</v>
      </c>
      <c r="C510" s="27" t="s">
        <v>23</v>
      </c>
      <c r="D510" s="28" t="n">
        <v>1</v>
      </c>
      <c r="E510" s="28" t="n">
        <v>2</v>
      </c>
      <c r="F510" s="29" t="n">
        <f aca="false">'📋 Matches'!E6</f>
        <v>0</v>
      </c>
      <c r="G510" s="29" t="n">
        <f aca="false">'📋 Matches'!F6</f>
        <v>0</v>
      </c>
      <c r="H510" s="22" t="str">
        <f aca="false">IF(AND(ISNUMBER(F510),ISNUMBER(G510)),IF(SIGN(D510-E510)=SIGN(F510-G510),48,0),"")</f>
        <v/>
      </c>
      <c r="I510" s="22" t="str">
        <f aca="false">IF(AND(ISNUMBER(F510),ISNUMBER(G510)),IF(D510=F510,15,0),"")</f>
        <v/>
      </c>
      <c r="J510" s="22" t="str">
        <f aca="false">IF(AND(ISNUMBER(F510),ISNUMBER(G510)),IF(E510=G510,15,0),"")</f>
        <v/>
      </c>
      <c r="K510" s="22" t="str">
        <f aca="false">IF(AND(ISNUMBER(F510),ISNUMBER(G510)),IF(ABS(D510-E510)=ABS(F510-G510),12,0),"")</f>
        <v/>
      </c>
      <c r="L510" s="23" t="str">
        <f aca="false">IF(ISNUMBER(H510),H510+I510+J510+K510,"")</f>
        <v/>
      </c>
    </row>
    <row r="511" customFormat="false" ht="18" hidden="false" customHeight="true" outlineLevel="0" collapsed="false">
      <c r="A511" s="25" t="s">
        <v>9</v>
      </c>
      <c r="B511" s="32" t="s">
        <v>155</v>
      </c>
      <c r="C511" s="27" t="s">
        <v>27</v>
      </c>
      <c r="D511" s="28" t="n">
        <v>3</v>
      </c>
      <c r="E511" s="28" t="n">
        <v>1</v>
      </c>
      <c r="F511" s="29" t="n">
        <f aca="false">'📋 Matches'!E7</f>
        <v>0</v>
      </c>
      <c r="G511" s="29" t="n">
        <f aca="false">'📋 Matches'!F7</f>
        <v>0</v>
      </c>
      <c r="H511" s="22" t="str">
        <f aca="false">IF(AND(ISNUMBER(F511),ISNUMBER(G511)),IF(SIGN(D511-E511)=SIGN(F511-G511),48,0),"")</f>
        <v/>
      </c>
      <c r="I511" s="22" t="str">
        <f aca="false">IF(AND(ISNUMBER(F511),ISNUMBER(G511)),IF(D511=F511,15,0),"")</f>
        <v/>
      </c>
      <c r="J511" s="22" t="str">
        <f aca="false">IF(AND(ISNUMBER(F511),ISNUMBER(G511)),IF(E511=G511,15,0),"")</f>
        <v/>
      </c>
      <c r="K511" s="22" t="str">
        <f aca="false">IF(AND(ISNUMBER(F511),ISNUMBER(G511)),IF(ABS(D511-E511)=ABS(F511-G511),12,0),"")</f>
        <v/>
      </c>
      <c r="L511" s="23" t="str">
        <f aca="false">IF(ISNUMBER(H511),H511+I511+J511+K511,"")</f>
        <v/>
      </c>
    </row>
    <row r="512" customFormat="false" ht="18" hidden="false" customHeight="true" outlineLevel="0" collapsed="false">
      <c r="A512" s="25" t="s">
        <v>9</v>
      </c>
      <c r="B512" s="32" t="s">
        <v>155</v>
      </c>
      <c r="C512" s="27" t="s">
        <v>30</v>
      </c>
      <c r="D512" s="28" t="n">
        <v>0</v>
      </c>
      <c r="E512" s="28" t="n">
        <v>1</v>
      </c>
      <c r="F512" s="29" t="n">
        <f aca="false">'📋 Matches'!E8</f>
        <v>0</v>
      </c>
      <c r="G512" s="29" t="n">
        <f aca="false">'📋 Matches'!F8</f>
        <v>0</v>
      </c>
      <c r="H512" s="22" t="str">
        <f aca="false">IF(AND(ISNUMBER(F512),ISNUMBER(G512)),IF(SIGN(D512-E512)=SIGN(F512-G512),48,0),"")</f>
        <v/>
      </c>
      <c r="I512" s="22" t="str">
        <f aca="false">IF(AND(ISNUMBER(F512),ISNUMBER(G512)),IF(D512=F512,15,0),"")</f>
        <v/>
      </c>
      <c r="J512" s="22" t="str">
        <f aca="false">IF(AND(ISNUMBER(F512),ISNUMBER(G512)),IF(E512=G512,15,0),"")</f>
        <v/>
      </c>
      <c r="K512" s="22" t="str">
        <f aca="false">IF(AND(ISNUMBER(F512),ISNUMBER(G512)),IF(ABS(D512-E512)=ABS(F512-G512),12,0),"")</f>
        <v/>
      </c>
      <c r="L512" s="23" t="str">
        <f aca="false">IF(ISNUMBER(H512),H512+I512+J512+K512,"")</f>
        <v/>
      </c>
    </row>
    <row r="513" customFormat="false" ht="18" hidden="false" customHeight="true" outlineLevel="0" collapsed="false">
      <c r="A513" s="25" t="s">
        <v>9</v>
      </c>
      <c r="B513" s="32" t="s">
        <v>155</v>
      </c>
      <c r="C513" s="27" t="s">
        <v>33</v>
      </c>
      <c r="D513" s="28" t="n">
        <v>1</v>
      </c>
      <c r="E513" s="28" t="n">
        <v>1</v>
      </c>
      <c r="F513" s="29" t="n">
        <f aca="false">'📋 Matches'!E9</f>
        <v>0</v>
      </c>
      <c r="G513" s="29" t="n">
        <f aca="false">'📋 Matches'!F9</f>
        <v>0</v>
      </c>
      <c r="H513" s="22" t="str">
        <f aca="false">IF(AND(ISNUMBER(F513),ISNUMBER(G513)),IF(SIGN(D513-E513)=SIGN(F513-G513),48,0),"")</f>
        <v/>
      </c>
      <c r="I513" s="22" t="str">
        <f aca="false">IF(AND(ISNUMBER(F513),ISNUMBER(G513)),IF(D513=F513,15,0),"")</f>
        <v/>
      </c>
      <c r="J513" s="22" t="str">
        <f aca="false">IF(AND(ISNUMBER(F513),ISNUMBER(G513)),IF(E513=G513,15,0),"")</f>
        <v/>
      </c>
      <c r="K513" s="22" t="str">
        <f aca="false">IF(AND(ISNUMBER(F513),ISNUMBER(G513)),IF(ABS(D513-E513)=ABS(F513-G513),12,0),"")</f>
        <v/>
      </c>
      <c r="L513" s="23" t="str">
        <f aca="false">IF(ISNUMBER(H513),H513+I513+J513+K513,"")</f>
        <v/>
      </c>
    </row>
    <row r="514" customFormat="false" ht="18" hidden="false" customHeight="true" outlineLevel="0" collapsed="false">
      <c r="A514" s="25" t="s">
        <v>9</v>
      </c>
      <c r="B514" s="32" t="s">
        <v>155</v>
      </c>
      <c r="C514" s="27" t="s">
        <v>36</v>
      </c>
      <c r="D514" s="28" t="n">
        <v>4</v>
      </c>
      <c r="E514" s="28" t="n">
        <v>1</v>
      </c>
      <c r="F514" s="29" t="n">
        <f aca="false">'📋 Matches'!E10</f>
        <v>0</v>
      </c>
      <c r="G514" s="29" t="n">
        <f aca="false">'📋 Matches'!F10</f>
        <v>0</v>
      </c>
      <c r="H514" s="22" t="str">
        <f aca="false">IF(AND(ISNUMBER(F514),ISNUMBER(G514)),IF(SIGN(D514-E514)=SIGN(F514-G514),48,0),"")</f>
        <v/>
      </c>
      <c r="I514" s="22" t="str">
        <f aca="false">IF(AND(ISNUMBER(F514),ISNUMBER(G514)),IF(D514=F514,15,0),"")</f>
        <v/>
      </c>
      <c r="J514" s="22" t="str">
        <f aca="false">IF(AND(ISNUMBER(F514),ISNUMBER(G514)),IF(E514=G514,15,0),"")</f>
        <v/>
      </c>
      <c r="K514" s="22" t="str">
        <f aca="false">IF(AND(ISNUMBER(F514),ISNUMBER(G514)),IF(ABS(D514-E514)=ABS(F514-G514),12,0),"")</f>
        <v/>
      </c>
      <c r="L514" s="23" t="str">
        <f aca="false">IF(ISNUMBER(H514),H514+I514+J514+K514,"")</f>
        <v/>
      </c>
    </row>
    <row r="515" customFormat="false" ht="18" hidden="false" customHeight="true" outlineLevel="0" collapsed="false">
      <c r="A515" s="25" t="s">
        <v>9</v>
      </c>
      <c r="B515" s="32" t="s">
        <v>155</v>
      </c>
      <c r="C515" s="27" t="s">
        <v>39</v>
      </c>
      <c r="D515" s="28" t="n">
        <v>1</v>
      </c>
      <c r="E515" s="28" t="n">
        <v>1</v>
      </c>
      <c r="F515" s="29" t="n">
        <f aca="false">'📋 Matches'!E11</f>
        <v>0</v>
      </c>
      <c r="G515" s="29" t="n">
        <f aca="false">'📋 Matches'!F11</f>
        <v>0</v>
      </c>
      <c r="H515" s="22" t="str">
        <f aca="false">IF(AND(ISNUMBER(F515),ISNUMBER(G515)),IF(SIGN(D515-E515)=SIGN(F515-G515),48,0),"")</f>
        <v/>
      </c>
      <c r="I515" s="22" t="str">
        <f aca="false">IF(AND(ISNUMBER(F515),ISNUMBER(G515)),IF(D515=F515,15,0),"")</f>
        <v/>
      </c>
      <c r="J515" s="22" t="str">
        <f aca="false">IF(AND(ISNUMBER(F515),ISNUMBER(G515)),IF(E515=G515,15,0),"")</f>
        <v/>
      </c>
      <c r="K515" s="22" t="str">
        <f aca="false">IF(AND(ISNUMBER(F515),ISNUMBER(G515)),IF(ABS(D515-E515)=ABS(F515-G515),12,0),"")</f>
        <v/>
      </c>
      <c r="L515" s="23" t="str">
        <f aca="false">IF(ISNUMBER(H515),H515+I515+J515+K515,"")</f>
        <v/>
      </c>
    </row>
    <row r="516" customFormat="false" ht="18" hidden="false" customHeight="true" outlineLevel="0" collapsed="false">
      <c r="A516" s="25" t="s">
        <v>9</v>
      </c>
      <c r="B516" s="32" t="s">
        <v>155</v>
      </c>
      <c r="C516" s="27" t="s">
        <v>42</v>
      </c>
      <c r="D516" s="28" t="n">
        <v>1</v>
      </c>
      <c r="E516" s="28" t="n">
        <v>1</v>
      </c>
      <c r="F516" s="29" t="n">
        <f aca="false">'📋 Matches'!E12</f>
        <v>0</v>
      </c>
      <c r="G516" s="29" t="n">
        <f aca="false">'📋 Matches'!F12</f>
        <v>0</v>
      </c>
      <c r="H516" s="22" t="str">
        <f aca="false">IF(AND(ISNUMBER(F516),ISNUMBER(G516)),IF(SIGN(D516-E516)=SIGN(F516-G516),48,0),"")</f>
        <v/>
      </c>
      <c r="I516" s="22" t="str">
        <f aca="false">IF(AND(ISNUMBER(F516),ISNUMBER(G516)),IF(D516=F516,15,0),"")</f>
        <v/>
      </c>
      <c r="J516" s="22" t="str">
        <f aca="false">IF(AND(ISNUMBER(F516),ISNUMBER(G516)),IF(E516=G516,15,0),"")</f>
        <v/>
      </c>
      <c r="K516" s="22" t="str">
        <f aca="false">IF(AND(ISNUMBER(F516),ISNUMBER(G516)),IF(ABS(D516-E516)=ABS(F516-G516),12,0),"")</f>
        <v/>
      </c>
      <c r="L516" s="23" t="str">
        <f aca="false">IF(ISNUMBER(H516),H516+I516+J516+K516,"")</f>
        <v/>
      </c>
    </row>
    <row r="517" customFormat="false" ht="18" hidden="false" customHeight="true" outlineLevel="0" collapsed="false">
      <c r="A517" s="25" t="s">
        <v>9</v>
      </c>
      <c r="B517" s="32" t="s">
        <v>155</v>
      </c>
      <c r="C517" s="27" t="s">
        <v>45</v>
      </c>
      <c r="D517" s="28" t="n">
        <v>2</v>
      </c>
      <c r="E517" s="28" t="n">
        <v>1</v>
      </c>
      <c r="F517" s="29" t="n">
        <f aca="false">'📋 Matches'!E13</f>
        <v>0</v>
      </c>
      <c r="G517" s="29" t="n">
        <f aca="false">'📋 Matches'!F13</f>
        <v>0</v>
      </c>
      <c r="H517" s="22" t="str">
        <f aca="false">IF(AND(ISNUMBER(F517),ISNUMBER(G517)),IF(SIGN(D517-E517)=SIGN(F517-G517),48,0),"")</f>
        <v/>
      </c>
      <c r="I517" s="22" t="str">
        <f aca="false">IF(AND(ISNUMBER(F517),ISNUMBER(G517)),IF(D517=F517,15,0),"")</f>
        <v/>
      </c>
      <c r="J517" s="22" t="str">
        <f aca="false">IF(AND(ISNUMBER(F517),ISNUMBER(G517)),IF(E517=G517,15,0),"")</f>
        <v/>
      </c>
      <c r="K517" s="22" t="str">
        <f aca="false">IF(AND(ISNUMBER(F517),ISNUMBER(G517)),IF(ABS(D517-E517)=ABS(F517-G517),12,0),"")</f>
        <v/>
      </c>
      <c r="L517" s="23" t="str">
        <f aca="false">IF(ISNUMBER(H517),H517+I517+J517+K517,"")</f>
        <v/>
      </c>
    </row>
    <row r="518" customFormat="false" ht="18" hidden="false" customHeight="true" outlineLevel="0" collapsed="false">
      <c r="A518" s="25" t="s">
        <v>9</v>
      </c>
      <c r="B518" s="32" t="s">
        <v>155</v>
      </c>
      <c r="C518" s="27" t="s">
        <v>48</v>
      </c>
      <c r="D518" s="28" t="n">
        <v>3</v>
      </c>
      <c r="E518" s="28" t="n">
        <v>1</v>
      </c>
      <c r="F518" s="29" t="n">
        <f aca="false">'📋 Matches'!E14</f>
        <v>0</v>
      </c>
      <c r="G518" s="29" t="n">
        <f aca="false">'📋 Matches'!F14</f>
        <v>0</v>
      </c>
      <c r="H518" s="22" t="str">
        <f aca="false">IF(AND(ISNUMBER(F518),ISNUMBER(G518)),IF(SIGN(D518-E518)=SIGN(F518-G518),48,0),"")</f>
        <v/>
      </c>
      <c r="I518" s="22" t="str">
        <f aca="false">IF(AND(ISNUMBER(F518),ISNUMBER(G518)),IF(D518=F518,15,0),"")</f>
        <v/>
      </c>
      <c r="J518" s="22" t="str">
        <f aca="false">IF(AND(ISNUMBER(F518),ISNUMBER(G518)),IF(E518=G518,15,0),"")</f>
        <v/>
      </c>
      <c r="K518" s="22" t="str">
        <f aca="false">IF(AND(ISNUMBER(F518),ISNUMBER(G518)),IF(ABS(D518-E518)=ABS(F518-G518),12,0),"")</f>
        <v/>
      </c>
      <c r="L518" s="23" t="str">
        <f aca="false">IF(ISNUMBER(H518),H518+I518+J518+K518,"")</f>
        <v/>
      </c>
    </row>
    <row r="519" customFormat="false" ht="18" hidden="false" customHeight="true" outlineLevel="0" collapsed="false">
      <c r="A519" s="25" t="s">
        <v>9</v>
      </c>
      <c r="B519" s="32" t="s">
        <v>155</v>
      </c>
      <c r="C519" s="27" t="s">
        <v>51</v>
      </c>
      <c r="D519" s="28" t="n">
        <v>3</v>
      </c>
      <c r="E519" s="28" t="n">
        <v>2</v>
      </c>
      <c r="F519" s="29" t="n">
        <f aca="false">'📋 Matches'!E15</f>
        <v>0</v>
      </c>
      <c r="G519" s="29" t="n">
        <f aca="false">'📋 Matches'!F15</f>
        <v>0</v>
      </c>
      <c r="H519" s="22" t="str">
        <f aca="false">IF(AND(ISNUMBER(F519),ISNUMBER(G519)),IF(SIGN(D519-E519)=SIGN(F519-G519),48,0),"")</f>
        <v/>
      </c>
      <c r="I519" s="22" t="str">
        <f aca="false">IF(AND(ISNUMBER(F519),ISNUMBER(G519)),IF(D519=F519,15,0),"")</f>
        <v/>
      </c>
      <c r="J519" s="22" t="str">
        <f aca="false">IF(AND(ISNUMBER(F519),ISNUMBER(G519)),IF(E519=G519,15,0),"")</f>
        <v/>
      </c>
      <c r="K519" s="22" t="str">
        <f aca="false">IF(AND(ISNUMBER(F519),ISNUMBER(G519)),IF(ABS(D519-E519)=ABS(F519-G519),12,0),"")</f>
        <v/>
      </c>
      <c r="L519" s="23" t="str">
        <f aca="false">IF(ISNUMBER(H519),H519+I519+J519+K519,"")</f>
        <v/>
      </c>
    </row>
    <row r="520" customFormat="false" ht="18" hidden="false" customHeight="true" outlineLevel="0" collapsed="false">
      <c r="A520" s="25" t="s">
        <v>9</v>
      </c>
      <c r="B520" s="32" t="s">
        <v>155</v>
      </c>
      <c r="C520" s="27" t="s">
        <v>54</v>
      </c>
      <c r="D520" s="28" t="n">
        <v>1</v>
      </c>
      <c r="E520" s="28" t="n">
        <v>2</v>
      </c>
      <c r="F520" s="29" t="n">
        <f aca="false">'📋 Matches'!E16</f>
        <v>0</v>
      </c>
      <c r="G520" s="29" t="n">
        <f aca="false">'📋 Matches'!F16</f>
        <v>0</v>
      </c>
      <c r="H520" s="22" t="str">
        <f aca="false">IF(AND(ISNUMBER(F520),ISNUMBER(G520)),IF(SIGN(D520-E520)=SIGN(F520-G520),48,0),"")</f>
        <v/>
      </c>
      <c r="I520" s="22" t="str">
        <f aca="false">IF(AND(ISNUMBER(F520),ISNUMBER(G520)),IF(D520=F520,15,0),"")</f>
        <v/>
      </c>
      <c r="J520" s="22" t="str">
        <f aca="false">IF(AND(ISNUMBER(F520),ISNUMBER(G520)),IF(E520=G520,15,0),"")</f>
        <v/>
      </c>
      <c r="K520" s="22" t="str">
        <f aca="false">IF(AND(ISNUMBER(F520),ISNUMBER(G520)),IF(ABS(D520-E520)=ABS(F520-G520),12,0),"")</f>
        <v/>
      </c>
      <c r="L520" s="23" t="str">
        <f aca="false">IF(ISNUMBER(H520),H520+I520+J520+K520,"")</f>
        <v/>
      </c>
    </row>
    <row r="521" customFormat="false" ht="18" hidden="false" customHeight="true" outlineLevel="0" collapsed="false">
      <c r="A521" s="25" t="s">
        <v>9</v>
      </c>
      <c r="B521" s="32" t="s">
        <v>155</v>
      </c>
      <c r="C521" s="27" t="s">
        <v>57</v>
      </c>
      <c r="D521" s="28" t="n">
        <v>1</v>
      </c>
      <c r="E521" s="28" t="n">
        <v>0</v>
      </c>
      <c r="F521" s="29" t="n">
        <f aca="false">'📋 Matches'!E17</f>
        <v>0</v>
      </c>
      <c r="G521" s="29" t="n">
        <f aca="false">'📋 Matches'!F17</f>
        <v>0</v>
      </c>
      <c r="H521" s="22" t="str">
        <f aca="false">IF(AND(ISNUMBER(F521),ISNUMBER(G521)),IF(SIGN(D521-E521)=SIGN(F521-G521),48,0),"")</f>
        <v/>
      </c>
      <c r="I521" s="22" t="str">
        <f aca="false">IF(AND(ISNUMBER(F521),ISNUMBER(G521)),IF(D521=F521,15,0),"")</f>
        <v/>
      </c>
      <c r="J521" s="22" t="str">
        <f aca="false">IF(AND(ISNUMBER(F521),ISNUMBER(G521)),IF(E521=G521,15,0),"")</f>
        <v/>
      </c>
      <c r="K521" s="22" t="str">
        <f aca="false">IF(AND(ISNUMBER(F521),ISNUMBER(G521)),IF(ABS(D521-E521)=ABS(F521-G521),12,0),"")</f>
        <v/>
      </c>
      <c r="L521" s="23" t="str">
        <f aca="false">IF(ISNUMBER(H521),H521+I521+J521+K521,"")</f>
        <v/>
      </c>
    </row>
    <row r="522" customFormat="false" ht="18" hidden="false" customHeight="true" outlineLevel="0" collapsed="false">
      <c r="A522" s="25" t="s">
        <v>9</v>
      </c>
      <c r="B522" s="32" t="s">
        <v>155</v>
      </c>
      <c r="C522" s="27" t="s">
        <v>60</v>
      </c>
      <c r="D522" s="28" t="n">
        <v>3</v>
      </c>
      <c r="E522" s="28" t="n">
        <v>1</v>
      </c>
      <c r="F522" s="29" t="n">
        <f aca="false">'📋 Matches'!E18</f>
        <v>0</v>
      </c>
      <c r="G522" s="29" t="n">
        <f aca="false">'📋 Matches'!F18</f>
        <v>0</v>
      </c>
      <c r="H522" s="22" t="str">
        <f aca="false">IF(AND(ISNUMBER(F522),ISNUMBER(G522)),IF(SIGN(D522-E522)=SIGN(F522-G522),48,0),"")</f>
        <v/>
      </c>
      <c r="I522" s="22" t="str">
        <f aca="false">IF(AND(ISNUMBER(F522),ISNUMBER(G522)),IF(D522=F522,15,0),"")</f>
        <v/>
      </c>
      <c r="J522" s="22" t="str">
        <f aca="false">IF(AND(ISNUMBER(F522),ISNUMBER(G522)),IF(E522=G522,15,0),"")</f>
        <v/>
      </c>
      <c r="K522" s="22" t="str">
        <f aca="false">IF(AND(ISNUMBER(F522),ISNUMBER(G522)),IF(ABS(D522-E522)=ABS(F522-G522),12,0),"")</f>
        <v/>
      </c>
      <c r="L522" s="23" t="str">
        <f aca="false">IF(ISNUMBER(H522),H522+I522+J522+K522,"")</f>
        <v/>
      </c>
    </row>
    <row r="523" customFormat="false" ht="18" hidden="false" customHeight="true" outlineLevel="0" collapsed="false">
      <c r="A523" s="25" t="s">
        <v>9</v>
      </c>
      <c r="B523" s="32" t="s">
        <v>155</v>
      </c>
      <c r="C523" s="27" t="s">
        <v>63</v>
      </c>
      <c r="D523" s="28" t="n">
        <v>0</v>
      </c>
      <c r="E523" s="28" t="n">
        <v>2</v>
      </c>
      <c r="F523" s="29" t="n">
        <f aca="false">'📋 Matches'!E19</f>
        <v>0</v>
      </c>
      <c r="G523" s="29" t="n">
        <f aca="false">'📋 Matches'!F19</f>
        <v>0</v>
      </c>
      <c r="H523" s="22" t="str">
        <f aca="false">IF(AND(ISNUMBER(F523),ISNUMBER(G523)),IF(SIGN(D523-E523)=SIGN(F523-G523),48,0),"")</f>
        <v/>
      </c>
      <c r="I523" s="22" t="str">
        <f aca="false">IF(AND(ISNUMBER(F523),ISNUMBER(G523)),IF(D523=F523,15,0),"")</f>
        <v/>
      </c>
      <c r="J523" s="22" t="str">
        <f aca="false">IF(AND(ISNUMBER(F523),ISNUMBER(G523)),IF(E523=G523,15,0),"")</f>
        <v/>
      </c>
      <c r="K523" s="22" t="str">
        <f aca="false">IF(AND(ISNUMBER(F523),ISNUMBER(G523)),IF(ABS(D523-E523)=ABS(F523-G523),12,0),"")</f>
        <v/>
      </c>
      <c r="L523" s="23" t="str">
        <f aca="false">IF(ISNUMBER(H523),H523+I523+J523+K523,"")</f>
        <v/>
      </c>
    </row>
    <row r="524" customFormat="false" ht="18" hidden="false" customHeight="true" outlineLevel="0" collapsed="false">
      <c r="A524" s="25" t="s">
        <v>9</v>
      </c>
      <c r="B524" s="32" t="s">
        <v>155</v>
      </c>
      <c r="C524" s="27" t="s">
        <v>66</v>
      </c>
      <c r="D524" s="28" t="n">
        <v>3</v>
      </c>
      <c r="E524" s="28" t="n">
        <v>1</v>
      </c>
      <c r="F524" s="29" t="n">
        <f aca="false">'📋 Matches'!E20</f>
        <v>0</v>
      </c>
      <c r="G524" s="29" t="n">
        <f aca="false">'📋 Matches'!F20</f>
        <v>0</v>
      </c>
      <c r="H524" s="22" t="str">
        <f aca="false">IF(AND(ISNUMBER(F524),ISNUMBER(G524)),IF(SIGN(D524-E524)=SIGN(F524-G524),48,0),"")</f>
        <v/>
      </c>
      <c r="I524" s="22" t="str">
        <f aca="false">IF(AND(ISNUMBER(F524),ISNUMBER(G524)),IF(D524=F524,15,0),"")</f>
        <v/>
      </c>
      <c r="J524" s="22" t="str">
        <f aca="false">IF(AND(ISNUMBER(F524),ISNUMBER(G524)),IF(E524=G524,15,0),"")</f>
        <v/>
      </c>
      <c r="K524" s="22" t="str">
        <f aca="false">IF(AND(ISNUMBER(F524),ISNUMBER(G524)),IF(ABS(D524-E524)=ABS(F524-G524),12,0),"")</f>
        <v/>
      </c>
      <c r="L524" s="23" t="str">
        <f aca="false">IF(ISNUMBER(H524),H524+I524+J524+K524,"")</f>
        <v/>
      </c>
    </row>
    <row r="525" customFormat="false" ht="18" hidden="false" customHeight="true" outlineLevel="0" collapsed="false">
      <c r="A525" s="25" t="s">
        <v>9</v>
      </c>
      <c r="B525" s="32" t="s">
        <v>155</v>
      </c>
      <c r="C525" s="27" t="s">
        <v>69</v>
      </c>
      <c r="D525" s="28" t="n">
        <v>1</v>
      </c>
      <c r="E525" s="28" t="n">
        <v>0</v>
      </c>
      <c r="F525" s="29" t="n">
        <f aca="false">'📋 Matches'!E21</f>
        <v>0</v>
      </c>
      <c r="G525" s="29" t="n">
        <f aca="false">'📋 Matches'!F21</f>
        <v>0</v>
      </c>
      <c r="H525" s="22" t="str">
        <f aca="false">IF(AND(ISNUMBER(F525),ISNUMBER(G525)),IF(SIGN(D525-E525)=SIGN(F525-G525),48,0),"")</f>
        <v/>
      </c>
      <c r="I525" s="22" t="str">
        <f aca="false">IF(AND(ISNUMBER(F525),ISNUMBER(G525)),IF(D525=F525,15,0),"")</f>
        <v/>
      </c>
      <c r="J525" s="22" t="str">
        <f aca="false">IF(AND(ISNUMBER(F525),ISNUMBER(G525)),IF(E525=G525,15,0),"")</f>
        <v/>
      </c>
      <c r="K525" s="22" t="str">
        <f aca="false">IF(AND(ISNUMBER(F525),ISNUMBER(G525)),IF(ABS(D525-E525)=ABS(F525-G525),12,0),"")</f>
        <v/>
      </c>
      <c r="L525" s="23" t="str">
        <f aca="false">IF(ISNUMBER(H525),H525+I525+J525+K525,"")</f>
        <v/>
      </c>
    </row>
    <row r="526" customFormat="false" ht="18" hidden="false" customHeight="true" outlineLevel="0" collapsed="false">
      <c r="A526" s="25" t="s">
        <v>9</v>
      </c>
      <c r="B526" s="32" t="s">
        <v>155</v>
      </c>
      <c r="C526" s="27" t="s">
        <v>72</v>
      </c>
      <c r="D526" s="28" t="n">
        <v>4</v>
      </c>
      <c r="E526" s="28" t="n">
        <v>1</v>
      </c>
      <c r="F526" s="29" t="n">
        <f aca="false">'📋 Matches'!E22</f>
        <v>0</v>
      </c>
      <c r="G526" s="29" t="n">
        <f aca="false">'📋 Matches'!F22</f>
        <v>0</v>
      </c>
      <c r="H526" s="22" t="str">
        <f aca="false">IF(AND(ISNUMBER(F526),ISNUMBER(G526)),IF(SIGN(D526-E526)=SIGN(F526-G526),48,0),"")</f>
        <v/>
      </c>
      <c r="I526" s="22" t="str">
        <f aca="false">IF(AND(ISNUMBER(F526),ISNUMBER(G526)),IF(D526=F526,15,0),"")</f>
        <v/>
      </c>
      <c r="J526" s="22" t="str">
        <f aca="false">IF(AND(ISNUMBER(F526),ISNUMBER(G526)),IF(E526=G526,15,0),"")</f>
        <v/>
      </c>
      <c r="K526" s="22" t="str">
        <f aca="false">IF(AND(ISNUMBER(F526),ISNUMBER(G526)),IF(ABS(D526-E526)=ABS(F526-G526),12,0),"")</f>
        <v/>
      </c>
      <c r="L526" s="23" t="str">
        <f aca="false">IF(ISNUMBER(H526),H526+I526+J526+K526,"")</f>
        <v/>
      </c>
    </row>
    <row r="527" customFormat="false" ht="18" hidden="false" customHeight="true" outlineLevel="0" collapsed="false">
      <c r="A527" s="25" t="s">
        <v>9</v>
      </c>
      <c r="B527" s="32" t="s">
        <v>155</v>
      </c>
      <c r="C527" s="27" t="s">
        <v>75</v>
      </c>
      <c r="D527" s="28" t="n">
        <v>3</v>
      </c>
      <c r="E527" s="28" t="n">
        <v>2</v>
      </c>
      <c r="F527" s="29" t="n">
        <f aca="false">'📋 Matches'!E23</f>
        <v>0</v>
      </c>
      <c r="G527" s="29" t="n">
        <f aca="false">'📋 Matches'!F23</f>
        <v>0</v>
      </c>
      <c r="H527" s="22" t="str">
        <f aca="false">IF(AND(ISNUMBER(F527),ISNUMBER(G527)),IF(SIGN(D527-E527)=SIGN(F527-G527),48,0),"")</f>
        <v/>
      </c>
      <c r="I527" s="22" t="str">
        <f aca="false">IF(AND(ISNUMBER(F527),ISNUMBER(G527)),IF(D527=F527,15,0),"")</f>
        <v/>
      </c>
      <c r="J527" s="22" t="str">
        <f aca="false">IF(AND(ISNUMBER(F527),ISNUMBER(G527)),IF(E527=G527,15,0),"")</f>
        <v/>
      </c>
      <c r="K527" s="22" t="str">
        <f aca="false">IF(AND(ISNUMBER(F527),ISNUMBER(G527)),IF(ABS(D527-E527)=ABS(F527-G527),12,0),"")</f>
        <v/>
      </c>
      <c r="L527" s="23" t="str">
        <f aca="false">IF(ISNUMBER(H527),H527+I527+J527+K527,"")</f>
        <v/>
      </c>
    </row>
    <row r="528" customFormat="false" ht="18" hidden="false" customHeight="true" outlineLevel="0" collapsed="false">
      <c r="A528" s="25" t="s">
        <v>9</v>
      </c>
      <c r="B528" s="32" t="s">
        <v>155</v>
      </c>
      <c r="C528" s="27" t="s">
        <v>78</v>
      </c>
      <c r="D528" s="28" t="n">
        <v>2</v>
      </c>
      <c r="E528" s="28" t="n">
        <v>0</v>
      </c>
      <c r="F528" s="29" t="n">
        <f aca="false">'📋 Matches'!E24</f>
        <v>0</v>
      </c>
      <c r="G528" s="29" t="n">
        <f aca="false">'📋 Matches'!F24</f>
        <v>0</v>
      </c>
      <c r="H528" s="22" t="str">
        <f aca="false">IF(AND(ISNUMBER(F528),ISNUMBER(G528)),IF(SIGN(D528-E528)=SIGN(F528-G528),48,0),"")</f>
        <v/>
      </c>
      <c r="I528" s="22" t="str">
        <f aca="false">IF(AND(ISNUMBER(F528),ISNUMBER(G528)),IF(D528=F528,15,0),"")</f>
        <v/>
      </c>
      <c r="J528" s="22" t="str">
        <f aca="false">IF(AND(ISNUMBER(F528),ISNUMBER(G528)),IF(E528=G528,15,0),"")</f>
        <v/>
      </c>
      <c r="K528" s="22" t="str">
        <f aca="false">IF(AND(ISNUMBER(F528),ISNUMBER(G528)),IF(ABS(D528-E528)=ABS(F528-G528),12,0),"")</f>
        <v/>
      </c>
      <c r="L528" s="23" t="str">
        <f aca="false">IF(ISNUMBER(H528),H528+I528+J528+K528,"")</f>
        <v/>
      </c>
    </row>
    <row r="529" customFormat="false" ht="18" hidden="false" customHeight="true" outlineLevel="0" collapsed="false">
      <c r="A529" s="25" t="s">
        <v>9</v>
      </c>
      <c r="B529" s="32" t="s">
        <v>155</v>
      </c>
      <c r="C529" s="27" t="s">
        <v>81</v>
      </c>
      <c r="D529" s="28" t="n">
        <v>0</v>
      </c>
      <c r="E529" s="28" t="n">
        <v>1</v>
      </c>
      <c r="F529" s="29" t="n">
        <f aca="false">'📋 Matches'!E25</f>
        <v>0</v>
      </c>
      <c r="G529" s="29" t="n">
        <f aca="false">'📋 Matches'!F25</f>
        <v>0</v>
      </c>
      <c r="H529" s="22" t="str">
        <f aca="false">IF(AND(ISNUMBER(F529),ISNUMBER(G529)),IF(SIGN(D529-E529)=SIGN(F529-G529),48,0),"")</f>
        <v/>
      </c>
      <c r="I529" s="22" t="str">
        <f aca="false">IF(AND(ISNUMBER(F529),ISNUMBER(G529)),IF(D529=F529,15,0),"")</f>
        <v/>
      </c>
      <c r="J529" s="22" t="str">
        <f aca="false">IF(AND(ISNUMBER(F529),ISNUMBER(G529)),IF(E529=G529,15,0),"")</f>
        <v/>
      </c>
      <c r="K529" s="22" t="str">
        <f aca="false">IF(AND(ISNUMBER(F529),ISNUMBER(G529)),IF(ABS(D529-E529)=ABS(F529-G529),12,0),"")</f>
        <v/>
      </c>
      <c r="L529" s="23" t="str">
        <f aca="false">IF(ISNUMBER(H529),H529+I529+J529+K529,"")</f>
        <v/>
      </c>
    </row>
    <row r="530" customFormat="false" ht="18" hidden="false" customHeight="true" outlineLevel="0" collapsed="false">
      <c r="A530" s="25" t="s">
        <v>84</v>
      </c>
      <c r="B530" s="32" t="s">
        <v>155</v>
      </c>
      <c r="C530" s="27" t="s">
        <v>85</v>
      </c>
      <c r="D530" s="28"/>
      <c r="E530" s="28"/>
      <c r="F530" s="29" t="n">
        <f aca="false">'📋 Matches'!E26</f>
        <v>0</v>
      </c>
      <c r="G530" s="29" t="n">
        <f aca="false">'📋 Matches'!F26</f>
        <v>0</v>
      </c>
      <c r="H530" s="30" t="s">
        <v>148</v>
      </c>
      <c r="I530" s="30" t="s">
        <v>148</v>
      </c>
      <c r="J530" s="30" t="s">
        <v>148</v>
      </c>
      <c r="K530" s="30" t="s">
        <v>148</v>
      </c>
      <c r="L530" s="30" t="s">
        <v>148</v>
      </c>
    </row>
    <row r="531" customFormat="false" ht="18" hidden="false" customHeight="true" outlineLevel="0" collapsed="false">
      <c r="A531" s="25" t="s">
        <v>84</v>
      </c>
      <c r="B531" s="32" t="s">
        <v>155</v>
      </c>
      <c r="C531" s="27" t="s">
        <v>87</v>
      </c>
      <c r="D531" s="28"/>
      <c r="E531" s="28"/>
      <c r="F531" s="29" t="n">
        <f aca="false">'📋 Matches'!E27</f>
        <v>0</v>
      </c>
      <c r="G531" s="29" t="n">
        <f aca="false">'📋 Matches'!F27</f>
        <v>0</v>
      </c>
      <c r="H531" s="30" t="s">
        <v>148</v>
      </c>
      <c r="I531" s="30" t="s">
        <v>148</v>
      </c>
      <c r="J531" s="30" t="s">
        <v>148</v>
      </c>
      <c r="K531" s="30" t="s">
        <v>148</v>
      </c>
      <c r="L531" s="30" t="s">
        <v>148</v>
      </c>
    </row>
    <row r="532" customFormat="false" ht="18" hidden="false" customHeight="true" outlineLevel="0" collapsed="false">
      <c r="A532" s="25" t="s">
        <v>84</v>
      </c>
      <c r="B532" s="32" t="s">
        <v>155</v>
      </c>
      <c r="C532" s="27" t="s">
        <v>89</v>
      </c>
      <c r="D532" s="28"/>
      <c r="E532" s="28"/>
      <c r="F532" s="29" t="n">
        <f aca="false">'📋 Matches'!E28</f>
        <v>0</v>
      </c>
      <c r="G532" s="29" t="n">
        <f aca="false">'📋 Matches'!F28</f>
        <v>0</v>
      </c>
      <c r="H532" s="30" t="s">
        <v>148</v>
      </c>
      <c r="I532" s="30" t="s">
        <v>148</v>
      </c>
      <c r="J532" s="30" t="s">
        <v>148</v>
      </c>
      <c r="K532" s="30" t="s">
        <v>148</v>
      </c>
      <c r="L532" s="30" t="s">
        <v>148</v>
      </c>
    </row>
    <row r="533" customFormat="false" ht="18" hidden="false" customHeight="true" outlineLevel="0" collapsed="false">
      <c r="A533" s="25" t="s">
        <v>84</v>
      </c>
      <c r="B533" s="32" t="s">
        <v>155</v>
      </c>
      <c r="C533" s="27" t="s">
        <v>90</v>
      </c>
      <c r="D533" s="28"/>
      <c r="E533" s="28"/>
      <c r="F533" s="29" t="n">
        <f aca="false">'📋 Matches'!E29</f>
        <v>0</v>
      </c>
      <c r="G533" s="29" t="n">
        <f aca="false">'📋 Matches'!F29</f>
        <v>0</v>
      </c>
      <c r="H533" s="30" t="s">
        <v>148</v>
      </c>
      <c r="I533" s="30" t="s">
        <v>148</v>
      </c>
      <c r="J533" s="30" t="s">
        <v>148</v>
      </c>
      <c r="K533" s="30" t="s">
        <v>148</v>
      </c>
      <c r="L533" s="30" t="s">
        <v>148</v>
      </c>
    </row>
    <row r="534" customFormat="false" ht="18" hidden="false" customHeight="true" outlineLevel="0" collapsed="false">
      <c r="A534" s="25" t="s">
        <v>84</v>
      </c>
      <c r="B534" s="32" t="s">
        <v>155</v>
      </c>
      <c r="C534" s="27" t="s">
        <v>91</v>
      </c>
      <c r="D534" s="28"/>
      <c r="E534" s="28"/>
      <c r="F534" s="29" t="n">
        <f aca="false">'📋 Matches'!E30</f>
        <v>0</v>
      </c>
      <c r="G534" s="29" t="n">
        <f aca="false">'📋 Matches'!F30</f>
        <v>0</v>
      </c>
      <c r="H534" s="30" t="s">
        <v>148</v>
      </c>
      <c r="I534" s="30" t="s">
        <v>148</v>
      </c>
      <c r="J534" s="30" t="s">
        <v>148</v>
      </c>
      <c r="K534" s="30" t="s">
        <v>148</v>
      </c>
      <c r="L534" s="30" t="s">
        <v>148</v>
      </c>
    </row>
    <row r="535" customFormat="false" ht="18" hidden="false" customHeight="true" outlineLevel="0" collapsed="false">
      <c r="A535" s="25" t="s">
        <v>84</v>
      </c>
      <c r="B535" s="32" t="s">
        <v>155</v>
      </c>
      <c r="C535" s="27" t="s">
        <v>92</v>
      </c>
      <c r="D535" s="28"/>
      <c r="E535" s="28"/>
      <c r="F535" s="29" t="n">
        <f aca="false">'📋 Matches'!E31</f>
        <v>0</v>
      </c>
      <c r="G535" s="29" t="n">
        <f aca="false">'📋 Matches'!F31</f>
        <v>0</v>
      </c>
      <c r="H535" s="30" t="s">
        <v>148</v>
      </c>
      <c r="I535" s="30" t="s">
        <v>148</v>
      </c>
      <c r="J535" s="30" t="s">
        <v>148</v>
      </c>
      <c r="K535" s="30" t="s">
        <v>148</v>
      </c>
      <c r="L535" s="30" t="s">
        <v>148</v>
      </c>
    </row>
    <row r="536" customFormat="false" ht="18" hidden="false" customHeight="true" outlineLevel="0" collapsed="false">
      <c r="A536" s="25" t="s">
        <v>84</v>
      </c>
      <c r="B536" s="32" t="s">
        <v>155</v>
      </c>
      <c r="C536" s="27" t="s">
        <v>93</v>
      </c>
      <c r="D536" s="28"/>
      <c r="E536" s="28"/>
      <c r="F536" s="29" t="n">
        <f aca="false">'📋 Matches'!E32</f>
        <v>0</v>
      </c>
      <c r="G536" s="29" t="n">
        <f aca="false">'📋 Matches'!F32</f>
        <v>0</v>
      </c>
      <c r="H536" s="30" t="s">
        <v>148</v>
      </c>
      <c r="I536" s="30" t="s">
        <v>148</v>
      </c>
      <c r="J536" s="30" t="s">
        <v>148</v>
      </c>
      <c r="K536" s="30" t="s">
        <v>148</v>
      </c>
      <c r="L536" s="30" t="s">
        <v>148</v>
      </c>
    </row>
    <row r="537" customFormat="false" ht="18" hidden="false" customHeight="true" outlineLevel="0" collapsed="false">
      <c r="A537" s="25" t="s">
        <v>84</v>
      </c>
      <c r="B537" s="32" t="s">
        <v>155</v>
      </c>
      <c r="C537" s="27" t="s">
        <v>94</v>
      </c>
      <c r="D537" s="28"/>
      <c r="E537" s="28"/>
      <c r="F537" s="29" t="n">
        <f aca="false">'📋 Matches'!E33</f>
        <v>0</v>
      </c>
      <c r="G537" s="29" t="n">
        <f aca="false">'📋 Matches'!F33</f>
        <v>0</v>
      </c>
      <c r="H537" s="30" t="s">
        <v>148</v>
      </c>
      <c r="I537" s="30" t="s">
        <v>148</v>
      </c>
      <c r="J537" s="30" t="s">
        <v>148</v>
      </c>
      <c r="K537" s="30" t="s">
        <v>148</v>
      </c>
      <c r="L537" s="30" t="s">
        <v>148</v>
      </c>
    </row>
    <row r="538" customFormat="false" ht="18" hidden="false" customHeight="true" outlineLevel="0" collapsed="false">
      <c r="A538" s="25" t="s">
        <v>84</v>
      </c>
      <c r="B538" s="32" t="s">
        <v>155</v>
      </c>
      <c r="C538" s="27" t="s">
        <v>96</v>
      </c>
      <c r="D538" s="28"/>
      <c r="E538" s="28"/>
      <c r="F538" s="29" t="n">
        <f aca="false">'📋 Matches'!E34</f>
        <v>0</v>
      </c>
      <c r="G538" s="29" t="n">
        <f aca="false">'📋 Matches'!F34</f>
        <v>0</v>
      </c>
      <c r="H538" s="30" t="s">
        <v>148</v>
      </c>
      <c r="I538" s="30" t="s">
        <v>148</v>
      </c>
      <c r="J538" s="30" t="s">
        <v>148</v>
      </c>
      <c r="K538" s="30" t="s">
        <v>148</v>
      </c>
      <c r="L538" s="30" t="s">
        <v>148</v>
      </c>
    </row>
    <row r="539" customFormat="false" ht="18" hidden="false" customHeight="true" outlineLevel="0" collapsed="false">
      <c r="A539" s="25" t="s">
        <v>84</v>
      </c>
      <c r="B539" s="32" t="s">
        <v>155</v>
      </c>
      <c r="C539" s="27" t="s">
        <v>97</v>
      </c>
      <c r="D539" s="28"/>
      <c r="E539" s="28"/>
      <c r="F539" s="29" t="n">
        <f aca="false">'📋 Matches'!E35</f>
        <v>0</v>
      </c>
      <c r="G539" s="29" t="n">
        <f aca="false">'📋 Matches'!F35</f>
        <v>0</v>
      </c>
      <c r="H539" s="30" t="s">
        <v>148</v>
      </c>
      <c r="I539" s="30" t="s">
        <v>148</v>
      </c>
      <c r="J539" s="30" t="s">
        <v>148</v>
      </c>
      <c r="K539" s="30" t="s">
        <v>148</v>
      </c>
      <c r="L539" s="30" t="s">
        <v>148</v>
      </c>
    </row>
    <row r="540" customFormat="false" ht="18" hidden="false" customHeight="true" outlineLevel="0" collapsed="false">
      <c r="A540" s="25" t="s">
        <v>84</v>
      </c>
      <c r="B540" s="32" t="s">
        <v>155</v>
      </c>
      <c r="C540" s="27" t="s">
        <v>98</v>
      </c>
      <c r="D540" s="28"/>
      <c r="E540" s="28"/>
      <c r="F540" s="29" t="n">
        <f aca="false">'📋 Matches'!E36</f>
        <v>0</v>
      </c>
      <c r="G540" s="29" t="n">
        <f aca="false">'📋 Matches'!F36</f>
        <v>0</v>
      </c>
      <c r="H540" s="30" t="s">
        <v>148</v>
      </c>
      <c r="I540" s="30" t="s">
        <v>148</v>
      </c>
      <c r="J540" s="30" t="s">
        <v>148</v>
      </c>
      <c r="K540" s="30" t="s">
        <v>148</v>
      </c>
      <c r="L540" s="30" t="s">
        <v>148</v>
      </c>
    </row>
    <row r="541" customFormat="false" ht="18" hidden="false" customHeight="true" outlineLevel="0" collapsed="false">
      <c r="A541" s="25" t="s">
        <v>84</v>
      </c>
      <c r="B541" s="32" t="s">
        <v>155</v>
      </c>
      <c r="C541" s="27" t="s">
        <v>100</v>
      </c>
      <c r="D541" s="28"/>
      <c r="E541" s="28"/>
      <c r="F541" s="29" t="n">
        <f aca="false">'📋 Matches'!E37</f>
        <v>0</v>
      </c>
      <c r="G541" s="29" t="n">
        <f aca="false">'📋 Matches'!F37</f>
        <v>0</v>
      </c>
      <c r="H541" s="30" t="s">
        <v>148</v>
      </c>
      <c r="I541" s="30" t="s">
        <v>148</v>
      </c>
      <c r="J541" s="30" t="s">
        <v>148</v>
      </c>
      <c r="K541" s="30" t="s">
        <v>148</v>
      </c>
      <c r="L541" s="30" t="s">
        <v>148</v>
      </c>
    </row>
    <row r="542" customFormat="false" ht="18" hidden="false" customHeight="true" outlineLevel="0" collapsed="false">
      <c r="A542" s="25" t="s">
        <v>84</v>
      </c>
      <c r="B542" s="32" t="s">
        <v>155</v>
      </c>
      <c r="C542" s="27" t="s">
        <v>101</v>
      </c>
      <c r="D542" s="28"/>
      <c r="E542" s="28"/>
      <c r="F542" s="29" t="n">
        <f aca="false">'📋 Matches'!E38</f>
        <v>0</v>
      </c>
      <c r="G542" s="29" t="n">
        <f aca="false">'📋 Matches'!F38</f>
        <v>0</v>
      </c>
      <c r="H542" s="30" t="s">
        <v>148</v>
      </c>
      <c r="I542" s="30" t="s">
        <v>148</v>
      </c>
      <c r="J542" s="30" t="s">
        <v>148</v>
      </c>
      <c r="K542" s="30" t="s">
        <v>148</v>
      </c>
      <c r="L542" s="30" t="s">
        <v>148</v>
      </c>
    </row>
    <row r="543" customFormat="false" ht="18" hidden="false" customHeight="true" outlineLevel="0" collapsed="false">
      <c r="A543" s="25" t="s">
        <v>84</v>
      </c>
      <c r="B543" s="32" t="s">
        <v>155</v>
      </c>
      <c r="C543" s="27" t="s">
        <v>102</v>
      </c>
      <c r="D543" s="28"/>
      <c r="E543" s="28"/>
      <c r="F543" s="29" t="n">
        <f aca="false">'📋 Matches'!E39</f>
        <v>0</v>
      </c>
      <c r="G543" s="29" t="n">
        <f aca="false">'📋 Matches'!F39</f>
        <v>0</v>
      </c>
      <c r="H543" s="30" t="s">
        <v>148</v>
      </c>
      <c r="I543" s="30" t="s">
        <v>148</v>
      </c>
      <c r="J543" s="30" t="s">
        <v>148</v>
      </c>
      <c r="K543" s="30" t="s">
        <v>148</v>
      </c>
      <c r="L543" s="30" t="s">
        <v>148</v>
      </c>
    </row>
    <row r="544" customFormat="false" ht="18" hidden="false" customHeight="true" outlineLevel="0" collapsed="false">
      <c r="A544" s="25" t="s">
        <v>84</v>
      </c>
      <c r="B544" s="32" t="s">
        <v>155</v>
      </c>
      <c r="C544" s="27" t="s">
        <v>103</v>
      </c>
      <c r="D544" s="28"/>
      <c r="E544" s="28"/>
      <c r="F544" s="29" t="n">
        <f aca="false">'📋 Matches'!E40</f>
        <v>0</v>
      </c>
      <c r="G544" s="29" t="n">
        <f aca="false">'📋 Matches'!F40</f>
        <v>0</v>
      </c>
      <c r="H544" s="30" t="s">
        <v>148</v>
      </c>
      <c r="I544" s="30" t="s">
        <v>148</v>
      </c>
      <c r="J544" s="30" t="s">
        <v>148</v>
      </c>
      <c r="K544" s="30" t="s">
        <v>148</v>
      </c>
      <c r="L544" s="30" t="s">
        <v>148</v>
      </c>
    </row>
    <row r="545" customFormat="false" ht="18" hidden="false" customHeight="true" outlineLevel="0" collapsed="false">
      <c r="A545" s="25" t="s">
        <v>84</v>
      </c>
      <c r="B545" s="32" t="s">
        <v>155</v>
      </c>
      <c r="C545" s="27" t="s">
        <v>104</v>
      </c>
      <c r="D545" s="28"/>
      <c r="E545" s="28"/>
      <c r="F545" s="29" t="n">
        <f aca="false">'📋 Matches'!E41</f>
        <v>0</v>
      </c>
      <c r="G545" s="29" t="n">
        <f aca="false">'📋 Matches'!F41</f>
        <v>0</v>
      </c>
      <c r="H545" s="30" t="s">
        <v>148</v>
      </c>
      <c r="I545" s="30" t="s">
        <v>148</v>
      </c>
      <c r="J545" s="30" t="s">
        <v>148</v>
      </c>
      <c r="K545" s="30" t="s">
        <v>148</v>
      </c>
      <c r="L545" s="30" t="s">
        <v>148</v>
      </c>
    </row>
    <row r="546" customFormat="false" ht="18" hidden="false" customHeight="true" outlineLevel="0" collapsed="false">
      <c r="A546" s="25" t="s">
        <v>84</v>
      </c>
      <c r="B546" s="32" t="s">
        <v>155</v>
      </c>
      <c r="C546" s="27" t="s">
        <v>105</v>
      </c>
      <c r="D546" s="28"/>
      <c r="E546" s="28"/>
      <c r="F546" s="29" t="n">
        <f aca="false">'📋 Matches'!E42</f>
        <v>0</v>
      </c>
      <c r="G546" s="29" t="n">
        <f aca="false">'📋 Matches'!F42</f>
        <v>0</v>
      </c>
      <c r="H546" s="30" t="s">
        <v>148</v>
      </c>
      <c r="I546" s="30" t="s">
        <v>148</v>
      </c>
      <c r="J546" s="30" t="s">
        <v>148</v>
      </c>
      <c r="K546" s="30" t="s">
        <v>148</v>
      </c>
      <c r="L546" s="30" t="s">
        <v>148</v>
      </c>
    </row>
    <row r="547" customFormat="false" ht="18" hidden="false" customHeight="true" outlineLevel="0" collapsed="false">
      <c r="A547" s="25" t="s">
        <v>84</v>
      </c>
      <c r="B547" s="32" t="s">
        <v>155</v>
      </c>
      <c r="C547" s="27" t="s">
        <v>106</v>
      </c>
      <c r="D547" s="28"/>
      <c r="E547" s="28"/>
      <c r="F547" s="29" t="n">
        <f aca="false">'📋 Matches'!E43</f>
        <v>0</v>
      </c>
      <c r="G547" s="29" t="n">
        <f aca="false">'📋 Matches'!F43</f>
        <v>0</v>
      </c>
      <c r="H547" s="30" t="s">
        <v>148</v>
      </c>
      <c r="I547" s="30" t="s">
        <v>148</v>
      </c>
      <c r="J547" s="30" t="s">
        <v>148</v>
      </c>
      <c r="K547" s="30" t="s">
        <v>148</v>
      </c>
      <c r="L547" s="30" t="s">
        <v>148</v>
      </c>
    </row>
    <row r="548" customFormat="false" ht="18" hidden="false" customHeight="true" outlineLevel="0" collapsed="false">
      <c r="A548" s="25" t="s">
        <v>84</v>
      </c>
      <c r="B548" s="32" t="s">
        <v>155</v>
      </c>
      <c r="C548" s="27" t="s">
        <v>107</v>
      </c>
      <c r="D548" s="28"/>
      <c r="E548" s="28"/>
      <c r="F548" s="29" t="n">
        <f aca="false">'📋 Matches'!E44</f>
        <v>0</v>
      </c>
      <c r="G548" s="29" t="n">
        <f aca="false">'📋 Matches'!F44</f>
        <v>0</v>
      </c>
      <c r="H548" s="30" t="s">
        <v>148</v>
      </c>
      <c r="I548" s="30" t="s">
        <v>148</v>
      </c>
      <c r="J548" s="30" t="s">
        <v>148</v>
      </c>
      <c r="K548" s="30" t="s">
        <v>148</v>
      </c>
      <c r="L548" s="30" t="s">
        <v>148</v>
      </c>
    </row>
    <row r="549" customFormat="false" ht="18" hidden="false" customHeight="true" outlineLevel="0" collapsed="false">
      <c r="A549" s="25" t="s">
        <v>84</v>
      </c>
      <c r="B549" s="32" t="s">
        <v>155</v>
      </c>
      <c r="C549" s="27" t="s">
        <v>108</v>
      </c>
      <c r="D549" s="28"/>
      <c r="E549" s="28"/>
      <c r="F549" s="29" t="n">
        <f aca="false">'📋 Matches'!E45</f>
        <v>0</v>
      </c>
      <c r="G549" s="29" t="n">
        <f aca="false">'📋 Matches'!F45</f>
        <v>0</v>
      </c>
      <c r="H549" s="30" t="s">
        <v>148</v>
      </c>
      <c r="I549" s="30" t="s">
        <v>148</v>
      </c>
      <c r="J549" s="30" t="s">
        <v>148</v>
      </c>
      <c r="K549" s="30" t="s">
        <v>148</v>
      </c>
      <c r="L549" s="30" t="s">
        <v>148</v>
      </c>
    </row>
    <row r="550" customFormat="false" ht="18" hidden="false" customHeight="true" outlineLevel="0" collapsed="false">
      <c r="A550" s="25" t="s">
        <v>84</v>
      </c>
      <c r="B550" s="32" t="s">
        <v>155</v>
      </c>
      <c r="C550" s="27" t="s">
        <v>109</v>
      </c>
      <c r="D550" s="28"/>
      <c r="E550" s="28"/>
      <c r="F550" s="29" t="n">
        <f aca="false">'📋 Matches'!E46</f>
        <v>0</v>
      </c>
      <c r="G550" s="29" t="n">
        <f aca="false">'📋 Matches'!F46</f>
        <v>0</v>
      </c>
      <c r="H550" s="30" t="s">
        <v>148</v>
      </c>
      <c r="I550" s="30" t="s">
        <v>148</v>
      </c>
      <c r="J550" s="30" t="s">
        <v>148</v>
      </c>
      <c r="K550" s="30" t="s">
        <v>148</v>
      </c>
      <c r="L550" s="30" t="s">
        <v>148</v>
      </c>
    </row>
    <row r="551" customFormat="false" ht="18" hidden="false" customHeight="true" outlineLevel="0" collapsed="false">
      <c r="A551" s="25" t="s">
        <v>84</v>
      </c>
      <c r="B551" s="32" t="s">
        <v>155</v>
      </c>
      <c r="C551" s="27" t="s">
        <v>110</v>
      </c>
      <c r="D551" s="28"/>
      <c r="E551" s="28"/>
      <c r="F551" s="29" t="n">
        <f aca="false">'📋 Matches'!E47</f>
        <v>0</v>
      </c>
      <c r="G551" s="29" t="n">
        <f aca="false">'📋 Matches'!F47</f>
        <v>0</v>
      </c>
      <c r="H551" s="30" t="s">
        <v>148</v>
      </c>
      <c r="I551" s="30" t="s">
        <v>148</v>
      </c>
      <c r="J551" s="30" t="s">
        <v>148</v>
      </c>
      <c r="K551" s="30" t="s">
        <v>148</v>
      </c>
      <c r="L551" s="30" t="s">
        <v>148</v>
      </c>
    </row>
    <row r="552" customFormat="false" ht="18" hidden="false" customHeight="true" outlineLevel="0" collapsed="false">
      <c r="A552" s="25" t="s">
        <v>84</v>
      </c>
      <c r="B552" s="32" t="s">
        <v>155</v>
      </c>
      <c r="C552" s="27" t="s">
        <v>111</v>
      </c>
      <c r="D552" s="28"/>
      <c r="E552" s="28"/>
      <c r="F552" s="29" t="n">
        <f aca="false">'📋 Matches'!E48</f>
        <v>0</v>
      </c>
      <c r="G552" s="29" t="n">
        <f aca="false">'📋 Matches'!F48</f>
        <v>0</v>
      </c>
      <c r="H552" s="30" t="s">
        <v>148</v>
      </c>
      <c r="I552" s="30" t="s">
        <v>148</v>
      </c>
      <c r="J552" s="30" t="s">
        <v>148</v>
      </c>
      <c r="K552" s="30" t="s">
        <v>148</v>
      </c>
      <c r="L552" s="30" t="s">
        <v>148</v>
      </c>
    </row>
    <row r="553" customFormat="false" ht="18" hidden="false" customHeight="true" outlineLevel="0" collapsed="false">
      <c r="A553" s="25" t="s">
        <v>84</v>
      </c>
      <c r="B553" s="32" t="s">
        <v>155</v>
      </c>
      <c r="C553" s="27" t="s">
        <v>112</v>
      </c>
      <c r="D553" s="28"/>
      <c r="E553" s="28"/>
      <c r="F553" s="29" t="n">
        <f aca="false">'📋 Matches'!E49</f>
        <v>0</v>
      </c>
      <c r="G553" s="29" t="n">
        <f aca="false">'📋 Matches'!F49</f>
        <v>0</v>
      </c>
      <c r="H553" s="30" t="s">
        <v>148</v>
      </c>
      <c r="I553" s="30" t="s">
        <v>148</v>
      </c>
      <c r="J553" s="30" t="s">
        <v>148</v>
      </c>
      <c r="K553" s="30" t="s">
        <v>148</v>
      </c>
      <c r="L553" s="30" t="s">
        <v>148</v>
      </c>
    </row>
    <row r="554" customFormat="false" ht="18" hidden="false" customHeight="true" outlineLevel="0" collapsed="false">
      <c r="A554" s="25" t="s">
        <v>114</v>
      </c>
      <c r="B554" s="32" t="s">
        <v>155</v>
      </c>
      <c r="C554" s="27" t="s">
        <v>115</v>
      </c>
      <c r="D554" s="28"/>
      <c r="E554" s="28"/>
      <c r="F554" s="29" t="n">
        <f aca="false">'📋 Matches'!E50</f>
        <v>0</v>
      </c>
      <c r="G554" s="29" t="n">
        <f aca="false">'📋 Matches'!F50</f>
        <v>0</v>
      </c>
      <c r="H554" s="30" t="s">
        <v>148</v>
      </c>
      <c r="I554" s="30" t="s">
        <v>148</v>
      </c>
      <c r="J554" s="30" t="s">
        <v>148</v>
      </c>
      <c r="K554" s="30" t="s">
        <v>148</v>
      </c>
      <c r="L554" s="30" t="s">
        <v>148</v>
      </c>
    </row>
    <row r="555" customFormat="false" ht="18" hidden="false" customHeight="true" outlineLevel="0" collapsed="false">
      <c r="A555" s="25" t="s">
        <v>114</v>
      </c>
      <c r="B555" s="32" t="s">
        <v>155</v>
      </c>
      <c r="C555" s="27" t="s">
        <v>116</v>
      </c>
      <c r="D555" s="28"/>
      <c r="E555" s="28"/>
      <c r="F555" s="29" t="n">
        <f aca="false">'📋 Matches'!E51</f>
        <v>0</v>
      </c>
      <c r="G555" s="29" t="n">
        <f aca="false">'📋 Matches'!F51</f>
        <v>0</v>
      </c>
      <c r="H555" s="30" t="s">
        <v>148</v>
      </c>
      <c r="I555" s="30" t="s">
        <v>148</v>
      </c>
      <c r="J555" s="30" t="s">
        <v>148</v>
      </c>
      <c r="K555" s="30" t="s">
        <v>148</v>
      </c>
      <c r="L555" s="30" t="s">
        <v>148</v>
      </c>
    </row>
    <row r="556" customFormat="false" ht="18" hidden="false" customHeight="true" outlineLevel="0" collapsed="false">
      <c r="A556" s="25" t="s">
        <v>114</v>
      </c>
      <c r="B556" s="32" t="s">
        <v>155</v>
      </c>
      <c r="C556" s="27" t="s">
        <v>117</v>
      </c>
      <c r="D556" s="28"/>
      <c r="E556" s="28"/>
      <c r="F556" s="29" t="n">
        <f aca="false">'📋 Matches'!E52</f>
        <v>0</v>
      </c>
      <c r="G556" s="29" t="n">
        <f aca="false">'📋 Matches'!F52</f>
        <v>0</v>
      </c>
      <c r="H556" s="30" t="s">
        <v>148</v>
      </c>
      <c r="I556" s="30" t="s">
        <v>148</v>
      </c>
      <c r="J556" s="30" t="s">
        <v>148</v>
      </c>
      <c r="K556" s="30" t="s">
        <v>148</v>
      </c>
      <c r="L556" s="30" t="s">
        <v>148</v>
      </c>
    </row>
    <row r="557" customFormat="false" ht="18" hidden="false" customHeight="true" outlineLevel="0" collapsed="false">
      <c r="A557" s="25" t="s">
        <v>114</v>
      </c>
      <c r="B557" s="32" t="s">
        <v>155</v>
      </c>
      <c r="C557" s="27" t="s">
        <v>118</v>
      </c>
      <c r="D557" s="28"/>
      <c r="E557" s="28"/>
      <c r="F557" s="29" t="n">
        <f aca="false">'📋 Matches'!E53</f>
        <v>0</v>
      </c>
      <c r="G557" s="29" t="n">
        <f aca="false">'📋 Matches'!F53</f>
        <v>0</v>
      </c>
      <c r="H557" s="30" t="s">
        <v>148</v>
      </c>
      <c r="I557" s="30" t="s">
        <v>148</v>
      </c>
      <c r="J557" s="30" t="s">
        <v>148</v>
      </c>
      <c r="K557" s="30" t="s">
        <v>148</v>
      </c>
      <c r="L557" s="30" t="s">
        <v>148</v>
      </c>
    </row>
    <row r="558" customFormat="false" ht="18" hidden="false" customHeight="true" outlineLevel="0" collapsed="false">
      <c r="A558" s="25" t="s">
        <v>114</v>
      </c>
      <c r="B558" s="32" t="s">
        <v>155</v>
      </c>
      <c r="C558" s="27" t="s">
        <v>119</v>
      </c>
      <c r="D558" s="28"/>
      <c r="E558" s="28"/>
      <c r="F558" s="29" t="n">
        <f aca="false">'📋 Matches'!E54</f>
        <v>0</v>
      </c>
      <c r="G558" s="29" t="n">
        <f aca="false">'📋 Matches'!F54</f>
        <v>0</v>
      </c>
      <c r="H558" s="30" t="s">
        <v>148</v>
      </c>
      <c r="I558" s="30" t="s">
        <v>148</v>
      </c>
      <c r="J558" s="30" t="s">
        <v>148</v>
      </c>
      <c r="K558" s="30" t="s">
        <v>148</v>
      </c>
      <c r="L558" s="30" t="s">
        <v>148</v>
      </c>
    </row>
    <row r="559" customFormat="false" ht="18" hidden="false" customHeight="true" outlineLevel="0" collapsed="false">
      <c r="A559" s="25" t="s">
        <v>114</v>
      </c>
      <c r="B559" s="32" t="s">
        <v>155</v>
      </c>
      <c r="C559" s="27" t="s">
        <v>120</v>
      </c>
      <c r="D559" s="28"/>
      <c r="E559" s="28"/>
      <c r="F559" s="29" t="n">
        <f aca="false">'📋 Matches'!E55</f>
        <v>0</v>
      </c>
      <c r="G559" s="29" t="n">
        <f aca="false">'📋 Matches'!F55</f>
        <v>0</v>
      </c>
      <c r="H559" s="30" t="s">
        <v>148</v>
      </c>
      <c r="I559" s="30" t="s">
        <v>148</v>
      </c>
      <c r="J559" s="30" t="s">
        <v>148</v>
      </c>
      <c r="K559" s="30" t="s">
        <v>148</v>
      </c>
      <c r="L559" s="30" t="s">
        <v>148</v>
      </c>
    </row>
    <row r="560" customFormat="false" ht="18" hidden="false" customHeight="true" outlineLevel="0" collapsed="false">
      <c r="A560" s="25" t="s">
        <v>114</v>
      </c>
      <c r="B560" s="32" t="s">
        <v>155</v>
      </c>
      <c r="C560" s="27" t="s">
        <v>121</v>
      </c>
      <c r="D560" s="28"/>
      <c r="E560" s="28"/>
      <c r="F560" s="29" t="n">
        <f aca="false">'📋 Matches'!E56</f>
        <v>0</v>
      </c>
      <c r="G560" s="29" t="n">
        <f aca="false">'📋 Matches'!F56</f>
        <v>0</v>
      </c>
      <c r="H560" s="30" t="s">
        <v>148</v>
      </c>
      <c r="I560" s="30" t="s">
        <v>148</v>
      </c>
      <c r="J560" s="30" t="s">
        <v>148</v>
      </c>
      <c r="K560" s="30" t="s">
        <v>148</v>
      </c>
      <c r="L560" s="30" t="s">
        <v>148</v>
      </c>
    </row>
    <row r="561" customFormat="false" ht="18" hidden="false" customHeight="true" outlineLevel="0" collapsed="false">
      <c r="A561" s="25" t="s">
        <v>114</v>
      </c>
      <c r="B561" s="32" t="s">
        <v>155</v>
      </c>
      <c r="C561" s="27" t="s">
        <v>122</v>
      </c>
      <c r="D561" s="28"/>
      <c r="E561" s="28"/>
      <c r="F561" s="29" t="n">
        <f aca="false">'📋 Matches'!E57</f>
        <v>0</v>
      </c>
      <c r="G561" s="29" t="n">
        <f aca="false">'📋 Matches'!F57</f>
        <v>0</v>
      </c>
      <c r="H561" s="30" t="s">
        <v>148</v>
      </c>
      <c r="I561" s="30" t="s">
        <v>148</v>
      </c>
      <c r="J561" s="30" t="s">
        <v>148</v>
      </c>
      <c r="K561" s="30" t="s">
        <v>148</v>
      </c>
      <c r="L561" s="30" t="s">
        <v>148</v>
      </c>
    </row>
    <row r="562" customFormat="false" ht="18" hidden="false" customHeight="true" outlineLevel="0" collapsed="false">
      <c r="A562" s="25" t="s">
        <v>114</v>
      </c>
      <c r="B562" s="32" t="s">
        <v>155</v>
      </c>
      <c r="C562" s="27" t="s">
        <v>123</v>
      </c>
      <c r="D562" s="28"/>
      <c r="E562" s="28"/>
      <c r="F562" s="29" t="n">
        <f aca="false">'📋 Matches'!E58</f>
        <v>0</v>
      </c>
      <c r="G562" s="29" t="n">
        <f aca="false">'📋 Matches'!F58</f>
        <v>0</v>
      </c>
      <c r="H562" s="30" t="s">
        <v>148</v>
      </c>
      <c r="I562" s="30" t="s">
        <v>148</v>
      </c>
      <c r="J562" s="30" t="s">
        <v>148</v>
      </c>
      <c r="K562" s="30" t="s">
        <v>148</v>
      </c>
      <c r="L562" s="30" t="s">
        <v>148</v>
      </c>
    </row>
    <row r="563" customFormat="false" ht="18" hidden="false" customHeight="true" outlineLevel="0" collapsed="false">
      <c r="A563" s="25" t="s">
        <v>114</v>
      </c>
      <c r="B563" s="32" t="s">
        <v>155</v>
      </c>
      <c r="C563" s="27" t="s">
        <v>124</v>
      </c>
      <c r="D563" s="28"/>
      <c r="E563" s="28"/>
      <c r="F563" s="29" t="n">
        <f aca="false">'📋 Matches'!E59</f>
        <v>0</v>
      </c>
      <c r="G563" s="29" t="n">
        <f aca="false">'📋 Matches'!F59</f>
        <v>0</v>
      </c>
      <c r="H563" s="30" t="s">
        <v>148</v>
      </c>
      <c r="I563" s="30" t="s">
        <v>148</v>
      </c>
      <c r="J563" s="30" t="s">
        <v>148</v>
      </c>
      <c r="K563" s="30" t="s">
        <v>148</v>
      </c>
      <c r="L563" s="30" t="s">
        <v>148</v>
      </c>
    </row>
    <row r="564" customFormat="false" ht="18" hidden="false" customHeight="true" outlineLevel="0" collapsed="false">
      <c r="A564" s="25" t="s">
        <v>114</v>
      </c>
      <c r="B564" s="32" t="s">
        <v>155</v>
      </c>
      <c r="C564" s="27" t="s">
        <v>125</v>
      </c>
      <c r="D564" s="28"/>
      <c r="E564" s="28"/>
      <c r="F564" s="29" t="n">
        <f aca="false">'📋 Matches'!E60</f>
        <v>0</v>
      </c>
      <c r="G564" s="29" t="n">
        <f aca="false">'📋 Matches'!F60</f>
        <v>0</v>
      </c>
      <c r="H564" s="30" t="s">
        <v>148</v>
      </c>
      <c r="I564" s="30" t="s">
        <v>148</v>
      </c>
      <c r="J564" s="30" t="s">
        <v>148</v>
      </c>
      <c r="K564" s="30" t="s">
        <v>148</v>
      </c>
      <c r="L564" s="30" t="s">
        <v>148</v>
      </c>
    </row>
    <row r="565" customFormat="false" ht="18" hidden="false" customHeight="true" outlineLevel="0" collapsed="false">
      <c r="A565" s="25" t="s">
        <v>114</v>
      </c>
      <c r="B565" s="32" t="s">
        <v>155</v>
      </c>
      <c r="C565" s="27" t="s">
        <v>126</v>
      </c>
      <c r="D565" s="28"/>
      <c r="E565" s="28"/>
      <c r="F565" s="29" t="n">
        <f aca="false">'📋 Matches'!E61</f>
        <v>0</v>
      </c>
      <c r="G565" s="29" t="n">
        <f aca="false">'📋 Matches'!F61</f>
        <v>0</v>
      </c>
      <c r="H565" s="30" t="s">
        <v>148</v>
      </c>
      <c r="I565" s="30" t="s">
        <v>148</v>
      </c>
      <c r="J565" s="30" t="s">
        <v>148</v>
      </c>
      <c r="K565" s="30" t="s">
        <v>148</v>
      </c>
      <c r="L565" s="30" t="s">
        <v>148</v>
      </c>
    </row>
    <row r="566" customFormat="false" ht="18" hidden="false" customHeight="true" outlineLevel="0" collapsed="false">
      <c r="A566" s="25" t="s">
        <v>114</v>
      </c>
      <c r="B566" s="32" t="s">
        <v>155</v>
      </c>
      <c r="C566" s="27" t="s">
        <v>127</v>
      </c>
      <c r="D566" s="28"/>
      <c r="E566" s="28"/>
      <c r="F566" s="29" t="n">
        <f aca="false">'📋 Matches'!E62</f>
        <v>0</v>
      </c>
      <c r="G566" s="29" t="n">
        <f aca="false">'📋 Matches'!F62</f>
        <v>0</v>
      </c>
      <c r="H566" s="30" t="s">
        <v>148</v>
      </c>
      <c r="I566" s="30" t="s">
        <v>148</v>
      </c>
      <c r="J566" s="30" t="s">
        <v>148</v>
      </c>
      <c r="K566" s="30" t="s">
        <v>148</v>
      </c>
      <c r="L566" s="30" t="s">
        <v>148</v>
      </c>
    </row>
    <row r="567" customFormat="false" ht="18" hidden="false" customHeight="true" outlineLevel="0" collapsed="false">
      <c r="A567" s="25" t="s">
        <v>114</v>
      </c>
      <c r="B567" s="32" t="s">
        <v>155</v>
      </c>
      <c r="C567" s="27" t="s">
        <v>128</v>
      </c>
      <c r="D567" s="28"/>
      <c r="E567" s="28"/>
      <c r="F567" s="29" t="n">
        <f aca="false">'📋 Matches'!E63</f>
        <v>0</v>
      </c>
      <c r="G567" s="29" t="n">
        <f aca="false">'📋 Matches'!F63</f>
        <v>0</v>
      </c>
      <c r="H567" s="30" t="s">
        <v>148</v>
      </c>
      <c r="I567" s="30" t="s">
        <v>148</v>
      </c>
      <c r="J567" s="30" t="s">
        <v>148</v>
      </c>
      <c r="K567" s="30" t="s">
        <v>148</v>
      </c>
      <c r="L567" s="30" t="s">
        <v>148</v>
      </c>
    </row>
    <row r="568" customFormat="false" ht="18" hidden="false" customHeight="true" outlineLevel="0" collapsed="false">
      <c r="A568" s="25" t="s">
        <v>114</v>
      </c>
      <c r="B568" s="32" t="s">
        <v>155</v>
      </c>
      <c r="C568" s="27" t="s">
        <v>129</v>
      </c>
      <c r="D568" s="28"/>
      <c r="E568" s="28"/>
      <c r="F568" s="29" t="n">
        <f aca="false">'📋 Matches'!E64</f>
        <v>0</v>
      </c>
      <c r="G568" s="29" t="n">
        <f aca="false">'📋 Matches'!F64</f>
        <v>0</v>
      </c>
      <c r="H568" s="30" t="s">
        <v>148</v>
      </c>
      <c r="I568" s="30" t="s">
        <v>148</v>
      </c>
      <c r="J568" s="30" t="s">
        <v>148</v>
      </c>
      <c r="K568" s="30" t="s">
        <v>148</v>
      </c>
      <c r="L568" s="30" t="s">
        <v>148</v>
      </c>
    </row>
    <row r="569" customFormat="false" ht="18" hidden="false" customHeight="true" outlineLevel="0" collapsed="false">
      <c r="A569" s="25" t="s">
        <v>114</v>
      </c>
      <c r="B569" s="32" t="s">
        <v>155</v>
      </c>
      <c r="C569" s="27" t="s">
        <v>130</v>
      </c>
      <c r="D569" s="28"/>
      <c r="E569" s="28"/>
      <c r="F569" s="29" t="n">
        <f aca="false">'📋 Matches'!E65</f>
        <v>0</v>
      </c>
      <c r="G569" s="29" t="n">
        <f aca="false">'📋 Matches'!F65</f>
        <v>0</v>
      </c>
      <c r="H569" s="30" t="s">
        <v>148</v>
      </c>
      <c r="I569" s="30" t="s">
        <v>148</v>
      </c>
      <c r="J569" s="30" t="s">
        <v>148</v>
      </c>
      <c r="K569" s="30" t="s">
        <v>148</v>
      </c>
      <c r="L569" s="30" t="s">
        <v>148</v>
      </c>
    </row>
    <row r="570" customFormat="false" ht="18" hidden="false" customHeight="true" outlineLevel="0" collapsed="false">
      <c r="A570" s="25" t="s">
        <v>114</v>
      </c>
      <c r="B570" s="32" t="s">
        <v>155</v>
      </c>
      <c r="C570" s="27" t="s">
        <v>131</v>
      </c>
      <c r="D570" s="28"/>
      <c r="E570" s="28"/>
      <c r="F570" s="29" t="n">
        <f aca="false">'📋 Matches'!E66</f>
        <v>0</v>
      </c>
      <c r="G570" s="29" t="n">
        <f aca="false">'📋 Matches'!F66</f>
        <v>0</v>
      </c>
      <c r="H570" s="30" t="s">
        <v>148</v>
      </c>
      <c r="I570" s="30" t="s">
        <v>148</v>
      </c>
      <c r="J570" s="30" t="s">
        <v>148</v>
      </c>
      <c r="K570" s="30" t="s">
        <v>148</v>
      </c>
      <c r="L570" s="30" t="s">
        <v>148</v>
      </c>
    </row>
    <row r="571" customFormat="false" ht="18" hidden="false" customHeight="true" outlineLevel="0" collapsed="false">
      <c r="A571" s="25" t="s">
        <v>114</v>
      </c>
      <c r="B571" s="32" t="s">
        <v>155</v>
      </c>
      <c r="C571" s="27" t="s">
        <v>132</v>
      </c>
      <c r="D571" s="28"/>
      <c r="E571" s="28"/>
      <c r="F571" s="29" t="n">
        <f aca="false">'📋 Matches'!E67</f>
        <v>0</v>
      </c>
      <c r="G571" s="29" t="n">
        <f aca="false">'📋 Matches'!F67</f>
        <v>0</v>
      </c>
      <c r="H571" s="30" t="s">
        <v>148</v>
      </c>
      <c r="I571" s="30" t="s">
        <v>148</v>
      </c>
      <c r="J571" s="30" t="s">
        <v>148</v>
      </c>
      <c r="K571" s="30" t="s">
        <v>148</v>
      </c>
      <c r="L571" s="30" t="s">
        <v>148</v>
      </c>
    </row>
    <row r="572" customFormat="false" ht="18" hidden="false" customHeight="true" outlineLevel="0" collapsed="false">
      <c r="A572" s="25" t="s">
        <v>114</v>
      </c>
      <c r="B572" s="32" t="s">
        <v>155</v>
      </c>
      <c r="C572" s="27" t="s">
        <v>133</v>
      </c>
      <c r="D572" s="28"/>
      <c r="E572" s="28"/>
      <c r="F572" s="29" t="n">
        <f aca="false">'📋 Matches'!E68</f>
        <v>0</v>
      </c>
      <c r="G572" s="29" t="n">
        <f aca="false">'📋 Matches'!F68</f>
        <v>0</v>
      </c>
      <c r="H572" s="30" t="s">
        <v>148</v>
      </c>
      <c r="I572" s="30" t="s">
        <v>148</v>
      </c>
      <c r="J572" s="30" t="s">
        <v>148</v>
      </c>
      <c r="K572" s="30" t="s">
        <v>148</v>
      </c>
      <c r="L572" s="30" t="s">
        <v>148</v>
      </c>
    </row>
    <row r="573" customFormat="false" ht="18" hidden="false" customHeight="true" outlineLevel="0" collapsed="false">
      <c r="A573" s="25" t="s">
        <v>114</v>
      </c>
      <c r="B573" s="32" t="s">
        <v>155</v>
      </c>
      <c r="C573" s="27" t="s">
        <v>134</v>
      </c>
      <c r="D573" s="28"/>
      <c r="E573" s="28"/>
      <c r="F573" s="29" t="n">
        <f aca="false">'📋 Matches'!E69</f>
        <v>0</v>
      </c>
      <c r="G573" s="29" t="n">
        <f aca="false">'📋 Matches'!F69</f>
        <v>0</v>
      </c>
      <c r="H573" s="30" t="s">
        <v>148</v>
      </c>
      <c r="I573" s="30" t="s">
        <v>148</v>
      </c>
      <c r="J573" s="30" t="s">
        <v>148</v>
      </c>
      <c r="K573" s="30" t="s">
        <v>148</v>
      </c>
      <c r="L573" s="30" t="s">
        <v>148</v>
      </c>
    </row>
    <row r="574" customFormat="false" ht="18" hidden="false" customHeight="true" outlineLevel="0" collapsed="false">
      <c r="A574" s="25" t="s">
        <v>114</v>
      </c>
      <c r="B574" s="32" t="s">
        <v>155</v>
      </c>
      <c r="C574" s="27" t="s">
        <v>135</v>
      </c>
      <c r="D574" s="28"/>
      <c r="E574" s="28"/>
      <c r="F574" s="29" t="n">
        <f aca="false">'📋 Matches'!E70</f>
        <v>0</v>
      </c>
      <c r="G574" s="29" t="n">
        <f aca="false">'📋 Matches'!F70</f>
        <v>0</v>
      </c>
      <c r="H574" s="30" t="s">
        <v>148</v>
      </c>
      <c r="I574" s="30" t="s">
        <v>148</v>
      </c>
      <c r="J574" s="30" t="s">
        <v>148</v>
      </c>
      <c r="K574" s="30" t="s">
        <v>148</v>
      </c>
      <c r="L574" s="30" t="s">
        <v>148</v>
      </c>
    </row>
    <row r="575" customFormat="false" ht="18" hidden="false" customHeight="true" outlineLevel="0" collapsed="false">
      <c r="A575" s="25" t="s">
        <v>114</v>
      </c>
      <c r="B575" s="32" t="s">
        <v>155</v>
      </c>
      <c r="C575" s="27" t="s">
        <v>136</v>
      </c>
      <c r="D575" s="28"/>
      <c r="E575" s="28"/>
      <c r="F575" s="29" t="n">
        <f aca="false">'📋 Matches'!E71</f>
        <v>0</v>
      </c>
      <c r="G575" s="29" t="n">
        <f aca="false">'📋 Matches'!F71</f>
        <v>0</v>
      </c>
      <c r="H575" s="30" t="s">
        <v>148</v>
      </c>
      <c r="I575" s="30" t="s">
        <v>148</v>
      </c>
      <c r="J575" s="30" t="s">
        <v>148</v>
      </c>
      <c r="K575" s="30" t="s">
        <v>148</v>
      </c>
      <c r="L575" s="30" t="s">
        <v>148</v>
      </c>
    </row>
    <row r="576" customFormat="false" ht="18" hidden="false" customHeight="true" outlineLevel="0" collapsed="false">
      <c r="A576" s="25" t="s">
        <v>114</v>
      </c>
      <c r="B576" s="32" t="s">
        <v>155</v>
      </c>
      <c r="C576" s="27" t="s">
        <v>137</v>
      </c>
      <c r="D576" s="28"/>
      <c r="E576" s="28"/>
      <c r="F576" s="29" t="n">
        <f aca="false">'📋 Matches'!E72</f>
        <v>0</v>
      </c>
      <c r="G576" s="29" t="n">
        <f aca="false">'📋 Matches'!F72</f>
        <v>0</v>
      </c>
      <c r="H576" s="30" t="s">
        <v>148</v>
      </c>
      <c r="I576" s="30" t="s">
        <v>148</v>
      </c>
      <c r="J576" s="30" t="s">
        <v>148</v>
      </c>
      <c r="K576" s="30" t="s">
        <v>148</v>
      </c>
      <c r="L576" s="30" t="s">
        <v>148</v>
      </c>
    </row>
    <row r="577" customFormat="false" ht="18" hidden="false" customHeight="true" outlineLevel="0" collapsed="false">
      <c r="A577" s="25" t="s">
        <v>114</v>
      </c>
      <c r="B577" s="32" t="s">
        <v>155</v>
      </c>
      <c r="C577" s="27" t="s">
        <v>138</v>
      </c>
      <c r="D577" s="28"/>
      <c r="E577" s="28"/>
      <c r="F577" s="29" t="n">
        <f aca="false">'📋 Matches'!E73</f>
        <v>0</v>
      </c>
      <c r="G577" s="29" t="n">
        <f aca="false">'📋 Matches'!F73</f>
        <v>0</v>
      </c>
      <c r="H577" s="30" t="s">
        <v>148</v>
      </c>
      <c r="I577" s="30" t="s">
        <v>148</v>
      </c>
      <c r="J577" s="30" t="s">
        <v>148</v>
      </c>
      <c r="K577" s="30" t="s">
        <v>148</v>
      </c>
      <c r="L577" s="30" t="s">
        <v>148</v>
      </c>
    </row>
    <row r="578" customFormat="false" ht="18" hidden="false" customHeight="true" outlineLevel="0" collapsed="false">
      <c r="A578" s="17" t="s">
        <v>9</v>
      </c>
      <c r="B578" s="31" t="s">
        <v>156</v>
      </c>
      <c r="C578" s="19" t="s">
        <v>10</v>
      </c>
      <c r="D578" s="20" t="n">
        <v>3</v>
      </c>
      <c r="E578" s="20" t="n">
        <v>1</v>
      </c>
      <c r="F578" s="21" t="n">
        <f aca="false">'📋 Matches'!E2</f>
        <v>2</v>
      </c>
      <c r="G578" s="21" t="n">
        <f aca="false">'📋 Matches'!F2</f>
        <v>0</v>
      </c>
      <c r="H578" s="22" t="n">
        <f aca="false">IF(AND(ISNUMBER(F578),ISNUMBER(G578)),IF(SIGN(D578-E578)=SIGN(F578-G578),48,0),"")</f>
        <v>48</v>
      </c>
      <c r="I578" s="22" t="n">
        <f aca="false">IF(AND(ISNUMBER(F578),ISNUMBER(G578)),IF(D578=F578,15,0),"")</f>
        <v>0</v>
      </c>
      <c r="J578" s="22" t="n">
        <f aca="false">IF(AND(ISNUMBER(F578),ISNUMBER(G578)),IF(E578=G578,15,0),"")</f>
        <v>0</v>
      </c>
      <c r="K578" s="22" t="n">
        <f aca="false">IF(AND(ISNUMBER(F578),ISNUMBER(G578)),IF(ABS(D578-E578)=ABS(F578-G578),12,0),"")</f>
        <v>12</v>
      </c>
      <c r="L578" s="23" t="n">
        <f aca="false">IF(ISNUMBER(H578),H578+I578+J578+K578,"")</f>
        <v>60</v>
      </c>
    </row>
    <row r="579" customFormat="false" ht="18" hidden="false" customHeight="true" outlineLevel="0" collapsed="false">
      <c r="A579" s="17" t="s">
        <v>9</v>
      </c>
      <c r="B579" s="31" t="s">
        <v>156</v>
      </c>
      <c r="C579" s="19" t="s">
        <v>14</v>
      </c>
      <c r="D579" s="20" t="n">
        <v>1</v>
      </c>
      <c r="E579" s="20" t="n">
        <v>2</v>
      </c>
      <c r="F579" s="21" t="n">
        <f aca="false">'📋 Matches'!E3</f>
        <v>2</v>
      </c>
      <c r="G579" s="21" t="n">
        <f aca="false">'📋 Matches'!F3</f>
        <v>1</v>
      </c>
      <c r="H579" s="22" t="n">
        <f aca="false">IF(AND(ISNUMBER(F579),ISNUMBER(G579)),IF(SIGN(D579-E579)=SIGN(F579-G579),48,0),"")</f>
        <v>0</v>
      </c>
      <c r="I579" s="22" t="n">
        <f aca="false">IF(AND(ISNUMBER(F579),ISNUMBER(G579)),IF(D579=F579,15,0),"")</f>
        <v>0</v>
      </c>
      <c r="J579" s="22" t="n">
        <f aca="false">IF(AND(ISNUMBER(F579),ISNUMBER(G579)),IF(E579=G579,15,0),"")</f>
        <v>0</v>
      </c>
      <c r="K579" s="22" t="n">
        <f aca="false">IF(AND(ISNUMBER(F579),ISNUMBER(G579)),IF(ABS(D579-E579)=ABS(F579-G579),12,0),"")</f>
        <v>12</v>
      </c>
      <c r="L579" s="23" t="n">
        <f aca="false">IF(ISNUMBER(H579),H579+I579+J579+K579,"")</f>
        <v>12</v>
      </c>
    </row>
    <row r="580" customFormat="false" ht="18" hidden="false" customHeight="true" outlineLevel="0" collapsed="false">
      <c r="A580" s="17" t="s">
        <v>9</v>
      </c>
      <c r="B580" s="31" t="s">
        <v>156</v>
      </c>
      <c r="C580" s="19" t="s">
        <v>17</v>
      </c>
      <c r="D580" s="20" t="n">
        <v>1</v>
      </c>
      <c r="E580" s="20" t="n">
        <v>0</v>
      </c>
      <c r="F580" s="21" t="n">
        <f aca="false">'📋 Matches'!E4</f>
        <v>1</v>
      </c>
      <c r="G580" s="21" t="n">
        <f aca="false">'📋 Matches'!F4</f>
        <v>1</v>
      </c>
      <c r="H580" s="22" t="n">
        <f aca="false">IF(AND(ISNUMBER(F580),ISNUMBER(G580)),IF(SIGN(D580-E580)=SIGN(F580-G580),48,0),"")</f>
        <v>0</v>
      </c>
      <c r="I580" s="22" t="n">
        <f aca="false">IF(AND(ISNUMBER(F580),ISNUMBER(G580)),IF(D580=F580,15,0),"")</f>
        <v>15</v>
      </c>
      <c r="J580" s="22" t="n">
        <f aca="false">IF(AND(ISNUMBER(F580),ISNUMBER(G580)),IF(E580=G580,15,0),"")</f>
        <v>0</v>
      </c>
      <c r="K580" s="22" t="n">
        <f aca="false">IF(AND(ISNUMBER(F580),ISNUMBER(G580)),IF(ABS(D580-E580)=ABS(F580-G580),12,0),"")</f>
        <v>0</v>
      </c>
      <c r="L580" s="23" t="n">
        <f aca="false">IF(ISNUMBER(H580),H580+I580+J580+K580,"")</f>
        <v>15</v>
      </c>
    </row>
    <row r="581" customFormat="false" ht="18" hidden="false" customHeight="true" outlineLevel="0" collapsed="false">
      <c r="A581" s="17" t="s">
        <v>9</v>
      </c>
      <c r="B581" s="31" t="s">
        <v>156</v>
      </c>
      <c r="C581" s="19" t="s">
        <v>20</v>
      </c>
      <c r="D581" s="20" t="n">
        <v>2</v>
      </c>
      <c r="E581" s="20" t="n">
        <v>0</v>
      </c>
      <c r="F581" s="21" t="n">
        <f aca="false">'📋 Matches'!E5</f>
        <v>4</v>
      </c>
      <c r="G581" s="21" t="n">
        <f aca="false">'📋 Matches'!F5</f>
        <v>1</v>
      </c>
      <c r="H581" s="22" t="n">
        <f aca="false">IF(AND(ISNUMBER(F581),ISNUMBER(G581)),IF(SIGN(D581-E581)=SIGN(F581-G581),48,0),"")</f>
        <v>48</v>
      </c>
      <c r="I581" s="22" t="n">
        <f aca="false">IF(AND(ISNUMBER(F581),ISNUMBER(G581)),IF(D581=F581,15,0),"")</f>
        <v>0</v>
      </c>
      <c r="J581" s="22" t="n">
        <f aca="false">IF(AND(ISNUMBER(F581),ISNUMBER(G581)),IF(E581=G581,15,0),"")</f>
        <v>0</v>
      </c>
      <c r="K581" s="22" t="n">
        <f aca="false">IF(AND(ISNUMBER(F581),ISNUMBER(G581)),IF(ABS(D581-E581)=ABS(F581-G581),12,0),"")</f>
        <v>0</v>
      </c>
      <c r="L581" s="23" t="n">
        <f aca="false">IF(ISNUMBER(H581),H581+I581+J581+K581,"")</f>
        <v>48</v>
      </c>
    </row>
    <row r="582" customFormat="false" ht="18" hidden="false" customHeight="true" outlineLevel="0" collapsed="false">
      <c r="A582" s="17" t="s">
        <v>9</v>
      </c>
      <c r="B582" s="31" t="s">
        <v>156</v>
      </c>
      <c r="C582" s="19" t="s">
        <v>23</v>
      </c>
      <c r="D582" s="20" t="n">
        <v>1</v>
      </c>
      <c r="E582" s="20" t="n">
        <v>3</v>
      </c>
      <c r="F582" s="21" t="n">
        <f aca="false">'📋 Matches'!E6</f>
        <v>0</v>
      </c>
      <c r="G582" s="21" t="n">
        <f aca="false">'📋 Matches'!F6</f>
        <v>0</v>
      </c>
      <c r="H582" s="22" t="str">
        <f aca="false">IF(AND(ISNUMBER(F582),ISNUMBER(G582)),IF(SIGN(D582-E582)=SIGN(F582-G582),48,0),"")</f>
        <v/>
      </c>
      <c r="I582" s="22" t="str">
        <f aca="false">IF(AND(ISNUMBER(F582),ISNUMBER(G582)),IF(D582=F582,15,0),"")</f>
        <v/>
      </c>
      <c r="J582" s="22" t="str">
        <f aca="false">IF(AND(ISNUMBER(F582),ISNUMBER(G582)),IF(E582=G582,15,0),"")</f>
        <v/>
      </c>
      <c r="K582" s="22" t="str">
        <f aca="false">IF(AND(ISNUMBER(F582),ISNUMBER(G582)),IF(ABS(D582-E582)=ABS(F582-G582),12,0),"")</f>
        <v/>
      </c>
      <c r="L582" s="23" t="str">
        <f aca="false">IF(ISNUMBER(H582),H582+I582+J582+K582,"")</f>
        <v/>
      </c>
    </row>
    <row r="583" customFormat="false" ht="18" hidden="false" customHeight="true" outlineLevel="0" collapsed="false">
      <c r="A583" s="17" t="s">
        <v>9</v>
      </c>
      <c r="B583" s="31" t="s">
        <v>156</v>
      </c>
      <c r="C583" s="19" t="s">
        <v>27</v>
      </c>
      <c r="D583" s="20" t="n">
        <v>3</v>
      </c>
      <c r="E583" s="20" t="n">
        <v>2</v>
      </c>
      <c r="F583" s="21" t="n">
        <f aca="false">'📋 Matches'!E7</f>
        <v>0</v>
      </c>
      <c r="G583" s="21" t="n">
        <f aca="false">'📋 Matches'!F7</f>
        <v>0</v>
      </c>
      <c r="H583" s="22" t="str">
        <f aca="false">IF(AND(ISNUMBER(F583),ISNUMBER(G583)),IF(SIGN(D583-E583)=SIGN(F583-G583),48,0),"")</f>
        <v/>
      </c>
      <c r="I583" s="22" t="str">
        <f aca="false">IF(AND(ISNUMBER(F583),ISNUMBER(G583)),IF(D583=F583,15,0),"")</f>
        <v/>
      </c>
      <c r="J583" s="22" t="str">
        <f aca="false">IF(AND(ISNUMBER(F583),ISNUMBER(G583)),IF(E583=G583,15,0),"")</f>
        <v/>
      </c>
      <c r="K583" s="22" t="str">
        <f aca="false">IF(AND(ISNUMBER(F583),ISNUMBER(G583)),IF(ABS(D583-E583)=ABS(F583-G583),12,0),"")</f>
        <v/>
      </c>
      <c r="L583" s="23" t="str">
        <f aca="false">IF(ISNUMBER(H583),H583+I583+J583+K583,"")</f>
        <v/>
      </c>
    </row>
    <row r="584" customFormat="false" ht="18" hidden="false" customHeight="true" outlineLevel="0" collapsed="false">
      <c r="A584" s="17" t="s">
        <v>9</v>
      </c>
      <c r="B584" s="31" t="s">
        <v>156</v>
      </c>
      <c r="C584" s="19" t="s">
        <v>30</v>
      </c>
      <c r="D584" s="20" t="n">
        <v>0</v>
      </c>
      <c r="E584" s="20" t="n">
        <v>2</v>
      </c>
      <c r="F584" s="21" t="n">
        <f aca="false">'📋 Matches'!E8</f>
        <v>0</v>
      </c>
      <c r="G584" s="21" t="n">
        <f aca="false">'📋 Matches'!F8</f>
        <v>0</v>
      </c>
      <c r="H584" s="22" t="str">
        <f aca="false">IF(AND(ISNUMBER(F584),ISNUMBER(G584)),IF(SIGN(D584-E584)=SIGN(F584-G584),48,0),"")</f>
        <v/>
      </c>
      <c r="I584" s="22" t="str">
        <f aca="false">IF(AND(ISNUMBER(F584),ISNUMBER(G584)),IF(D584=F584,15,0),"")</f>
        <v/>
      </c>
      <c r="J584" s="22" t="str">
        <f aca="false">IF(AND(ISNUMBER(F584),ISNUMBER(G584)),IF(E584=G584,15,0),"")</f>
        <v/>
      </c>
      <c r="K584" s="22" t="str">
        <f aca="false">IF(AND(ISNUMBER(F584),ISNUMBER(G584)),IF(ABS(D584-E584)=ABS(F584-G584),12,0),"")</f>
        <v/>
      </c>
      <c r="L584" s="23" t="str">
        <f aca="false">IF(ISNUMBER(H584),H584+I584+J584+K584,"")</f>
        <v/>
      </c>
    </row>
    <row r="585" customFormat="false" ht="18" hidden="false" customHeight="true" outlineLevel="0" collapsed="false">
      <c r="A585" s="17" t="s">
        <v>9</v>
      </c>
      <c r="B585" s="31" t="s">
        <v>156</v>
      </c>
      <c r="C585" s="19" t="s">
        <v>33</v>
      </c>
      <c r="D585" s="20" t="n">
        <v>0</v>
      </c>
      <c r="E585" s="20" t="n">
        <v>2</v>
      </c>
      <c r="F585" s="21" t="n">
        <f aca="false">'📋 Matches'!E9</f>
        <v>0</v>
      </c>
      <c r="G585" s="21" t="n">
        <f aca="false">'📋 Matches'!F9</f>
        <v>0</v>
      </c>
      <c r="H585" s="22" t="str">
        <f aca="false">IF(AND(ISNUMBER(F585),ISNUMBER(G585)),IF(SIGN(D585-E585)=SIGN(F585-G585),48,0),"")</f>
        <v/>
      </c>
      <c r="I585" s="22" t="str">
        <f aca="false">IF(AND(ISNUMBER(F585),ISNUMBER(G585)),IF(D585=F585,15,0),"")</f>
        <v/>
      </c>
      <c r="J585" s="22" t="str">
        <f aca="false">IF(AND(ISNUMBER(F585),ISNUMBER(G585)),IF(E585=G585,15,0),"")</f>
        <v/>
      </c>
      <c r="K585" s="22" t="str">
        <f aca="false">IF(AND(ISNUMBER(F585),ISNUMBER(G585)),IF(ABS(D585-E585)=ABS(F585-G585),12,0),"")</f>
        <v/>
      </c>
      <c r="L585" s="23" t="str">
        <f aca="false">IF(ISNUMBER(H585),H585+I585+J585+K585,"")</f>
        <v/>
      </c>
    </row>
    <row r="586" customFormat="false" ht="18" hidden="false" customHeight="true" outlineLevel="0" collapsed="false">
      <c r="A586" s="17" t="s">
        <v>9</v>
      </c>
      <c r="B586" s="31" t="s">
        <v>156</v>
      </c>
      <c r="C586" s="19" t="s">
        <v>36</v>
      </c>
      <c r="D586" s="20" t="n">
        <v>5</v>
      </c>
      <c r="E586" s="20" t="n">
        <v>0</v>
      </c>
      <c r="F586" s="21" t="n">
        <f aca="false">'📋 Matches'!E10</f>
        <v>0</v>
      </c>
      <c r="G586" s="21" t="n">
        <f aca="false">'📋 Matches'!F10</f>
        <v>0</v>
      </c>
      <c r="H586" s="22" t="str">
        <f aca="false">IF(AND(ISNUMBER(F586),ISNUMBER(G586)),IF(SIGN(D586-E586)=SIGN(F586-G586),48,0),"")</f>
        <v/>
      </c>
      <c r="I586" s="22" t="str">
        <f aca="false">IF(AND(ISNUMBER(F586),ISNUMBER(G586)),IF(D586=F586,15,0),"")</f>
        <v/>
      </c>
      <c r="J586" s="22" t="str">
        <f aca="false">IF(AND(ISNUMBER(F586),ISNUMBER(G586)),IF(E586=G586,15,0),"")</f>
        <v/>
      </c>
      <c r="K586" s="22" t="str">
        <f aca="false">IF(AND(ISNUMBER(F586),ISNUMBER(G586)),IF(ABS(D586-E586)=ABS(F586-G586),12,0),"")</f>
        <v/>
      </c>
      <c r="L586" s="23" t="str">
        <f aca="false">IF(ISNUMBER(H586),H586+I586+J586+K586,"")</f>
        <v/>
      </c>
    </row>
    <row r="587" customFormat="false" ht="18" hidden="false" customHeight="true" outlineLevel="0" collapsed="false">
      <c r="A587" s="17" t="s">
        <v>9</v>
      </c>
      <c r="B587" s="31" t="s">
        <v>156</v>
      </c>
      <c r="C587" s="19" t="s">
        <v>39</v>
      </c>
      <c r="D587" s="20" t="n">
        <v>2</v>
      </c>
      <c r="E587" s="20" t="n">
        <v>1</v>
      </c>
      <c r="F587" s="21" t="n">
        <f aca="false">'📋 Matches'!E11</f>
        <v>0</v>
      </c>
      <c r="G587" s="21" t="n">
        <f aca="false">'📋 Matches'!F11</f>
        <v>0</v>
      </c>
      <c r="H587" s="22" t="str">
        <f aca="false">IF(AND(ISNUMBER(F587),ISNUMBER(G587)),IF(SIGN(D587-E587)=SIGN(F587-G587),48,0),"")</f>
        <v/>
      </c>
      <c r="I587" s="22" t="str">
        <f aca="false">IF(AND(ISNUMBER(F587),ISNUMBER(G587)),IF(D587=F587,15,0),"")</f>
        <v/>
      </c>
      <c r="J587" s="22" t="str">
        <f aca="false">IF(AND(ISNUMBER(F587),ISNUMBER(G587)),IF(E587=G587,15,0),"")</f>
        <v/>
      </c>
      <c r="K587" s="22" t="str">
        <f aca="false">IF(AND(ISNUMBER(F587),ISNUMBER(G587)),IF(ABS(D587-E587)=ABS(F587-G587),12,0),"")</f>
        <v/>
      </c>
      <c r="L587" s="23" t="str">
        <f aca="false">IF(ISNUMBER(H587),H587+I587+J587+K587,"")</f>
        <v/>
      </c>
    </row>
    <row r="588" customFormat="false" ht="18" hidden="false" customHeight="true" outlineLevel="0" collapsed="false">
      <c r="A588" s="17" t="s">
        <v>9</v>
      </c>
      <c r="B588" s="31" t="s">
        <v>156</v>
      </c>
      <c r="C588" s="19" t="s">
        <v>42</v>
      </c>
      <c r="D588" s="20" t="n">
        <v>1</v>
      </c>
      <c r="E588" s="20" t="n">
        <v>1</v>
      </c>
      <c r="F588" s="21" t="n">
        <f aca="false">'📋 Matches'!E12</f>
        <v>0</v>
      </c>
      <c r="G588" s="21" t="n">
        <f aca="false">'📋 Matches'!F12</f>
        <v>0</v>
      </c>
      <c r="H588" s="22" t="str">
        <f aca="false">IF(AND(ISNUMBER(F588),ISNUMBER(G588)),IF(SIGN(D588-E588)=SIGN(F588-G588),48,0),"")</f>
        <v/>
      </c>
      <c r="I588" s="22" t="str">
        <f aca="false">IF(AND(ISNUMBER(F588),ISNUMBER(G588)),IF(D588=F588,15,0),"")</f>
        <v/>
      </c>
      <c r="J588" s="22" t="str">
        <f aca="false">IF(AND(ISNUMBER(F588),ISNUMBER(G588)),IF(E588=G588,15,0),"")</f>
        <v/>
      </c>
      <c r="K588" s="22" t="str">
        <f aca="false">IF(AND(ISNUMBER(F588),ISNUMBER(G588)),IF(ABS(D588-E588)=ABS(F588-G588),12,0),"")</f>
        <v/>
      </c>
      <c r="L588" s="23" t="str">
        <f aca="false">IF(ISNUMBER(H588),H588+I588+J588+K588,"")</f>
        <v/>
      </c>
    </row>
    <row r="589" customFormat="false" ht="18" hidden="false" customHeight="true" outlineLevel="0" collapsed="false">
      <c r="A589" s="17" t="s">
        <v>9</v>
      </c>
      <c r="B589" s="31" t="s">
        <v>156</v>
      </c>
      <c r="C589" s="19" t="s">
        <v>45</v>
      </c>
      <c r="D589" s="20" t="n">
        <v>2</v>
      </c>
      <c r="E589" s="20" t="n">
        <v>0</v>
      </c>
      <c r="F589" s="21" t="n">
        <f aca="false">'📋 Matches'!E13</f>
        <v>0</v>
      </c>
      <c r="G589" s="21" t="n">
        <f aca="false">'📋 Matches'!F13</f>
        <v>0</v>
      </c>
      <c r="H589" s="22" t="str">
        <f aca="false">IF(AND(ISNUMBER(F589),ISNUMBER(G589)),IF(SIGN(D589-E589)=SIGN(F589-G589),48,0),"")</f>
        <v/>
      </c>
      <c r="I589" s="22" t="str">
        <f aca="false">IF(AND(ISNUMBER(F589),ISNUMBER(G589)),IF(D589=F589,15,0),"")</f>
        <v/>
      </c>
      <c r="J589" s="22" t="str">
        <f aca="false">IF(AND(ISNUMBER(F589),ISNUMBER(G589)),IF(E589=G589,15,0),"")</f>
        <v/>
      </c>
      <c r="K589" s="22" t="str">
        <f aca="false">IF(AND(ISNUMBER(F589),ISNUMBER(G589)),IF(ABS(D589-E589)=ABS(F589-G589),12,0),"")</f>
        <v/>
      </c>
      <c r="L589" s="23" t="str">
        <f aca="false">IF(ISNUMBER(H589),H589+I589+J589+K589,"")</f>
        <v/>
      </c>
    </row>
    <row r="590" customFormat="false" ht="18" hidden="false" customHeight="true" outlineLevel="0" collapsed="false">
      <c r="A590" s="17" t="s">
        <v>9</v>
      </c>
      <c r="B590" s="31" t="s">
        <v>156</v>
      </c>
      <c r="C590" s="19" t="s">
        <v>48</v>
      </c>
      <c r="D590" s="20" t="n">
        <v>5</v>
      </c>
      <c r="E590" s="20" t="n">
        <v>0</v>
      </c>
      <c r="F590" s="21" t="n">
        <f aca="false">'📋 Matches'!E14</f>
        <v>0</v>
      </c>
      <c r="G590" s="21" t="n">
        <f aca="false">'📋 Matches'!F14</f>
        <v>0</v>
      </c>
      <c r="H590" s="22" t="str">
        <f aca="false">IF(AND(ISNUMBER(F590),ISNUMBER(G590)),IF(SIGN(D590-E590)=SIGN(F590-G590),48,0),"")</f>
        <v/>
      </c>
      <c r="I590" s="22" t="str">
        <f aca="false">IF(AND(ISNUMBER(F590),ISNUMBER(G590)),IF(D590=F590,15,0),"")</f>
        <v/>
      </c>
      <c r="J590" s="22" t="str">
        <f aca="false">IF(AND(ISNUMBER(F590),ISNUMBER(G590)),IF(E590=G590,15,0),"")</f>
        <v/>
      </c>
      <c r="K590" s="22" t="str">
        <f aca="false">IF(AND(ISNUMBER(F590),ISNUMBER(G590)),IF(ABS(D590-E590)=ABS(F590-G590),12,0),"")</f>
        <v/>
      </c>
      <c r="L590" s="23" t="str">
        <f aca="false">IF(ISNUMBER(H590),H590+I590+J590+K590,"")</f>
        <v/>
      </c>
    </row>
    <row r="591" customFormat="false" ht="18" hidden="false" customHeight="true" outlineLevel="0" collapsed="false">
      <c r="A591" s="17" t="s">
        <v>9</v>
      </c>
      <c r="B591" s="31" t="s">
        <v>156</v>
      </c>
      <c r="C591" s="19" t="s">
        <v>51</v>
      </c>
      <c r="D591" s="20" t="n">
        <v>2</v>
      </c>
      <c r="E591" s="20" t="n">
        <v>1</v>
      </c>
      <c r="F591" s="21" t="n">
        <f aca="false">'📋 Matches'!E15</f>
        <v>0</v>
      </c>
      <c r="G591" s="21" t="n">
        <f aca="false">'📋 Matches'!F15</f>
        <v>0</v>
      </c>
      <c r="H591" s="22" t="str">
        <f aca="false">IF(AND(ISNUMBER(F591),ISNUMBER(G591)),IF(SIGN(D591-E591)=SIGN(F591-G591),48,0),"")</f>
        <v/>
      </c>
      <c r="I591" s="22" t="str">
        <f aca="false">IF(AND(ISNUMBER(F591),ISNUMBER(G591)),IF(D591=F591,15,0),"")</f>
        <v/>
      </c>
      <c r="J591" s="22" t="str">
        <f aca="false">IF(AND(ISNUMBER(F591),ISNUMBER(G591)),IF(E591=G591,15,0),"")</f>
        <v/>
      </c>
      <c r="K591" s="22" t="str">
        <f aca="false">IF(AND(ISNUMBER(F591),ISNUMBER(G591)),IF(ABS(D591-E591)=ABS(F591-G591),12,0),"")</f>
        <v/>
      </c>
      <c r="L591" s="23" t="str">
        <f aca="false">IF(ISNUMBER(H591),H591+I591+J591+K591,"")</f>
        <v/>
      </c>
    </row>
    <row r="592" customFormat="false" ht="18" hidden="false" customHeight="true" outlineLevel="0" collapsed="false">
      <c r="A592" s="17" t="s">
        <v>9</v>
      </c>
      <c r="B592" s="31" t="s">
        <v>156</v>
      </c>
      <c r="C592" s="19" t="s">
        <v>54</v>
      </c>
      <c r="D592" s="20" t="n">
        <v>1</v>
      </c>
      <c r="E592" s="20" t="n">
        <v>3</v>
      </c>
      <c r="F592" s="21" t="n">
        <f aca="false">'📋 Matches'!E16</f>
        <v>0</v>
      </c>
      <c r="G592" s="21" t="n">
        <f aca="false">'📋 Matches'!F16</f>
        <v>0</v>
      </c>
      <c r="H592" s="22" t="str">
        <f aca="false">IF(AND(ISNUMBER(F592),ISNUMBER(G592)),IF(SIGN(D592-E592)=SIGN(F592-G592),48,0),"")</f>
        <v/>
      </c>
      <c r="I592" s="22" t="str">
        <f aca="false">IF(AND(ISNUMBER(F592),ISNUMBER(G592)),IF(D592=F592,15,0),"")</f>
        <v/>
      </c>
      <c r="J592" s="22" t="str">
        <f aca="false">IF(AND(ISNUMBER(F592),ISNUMBER(G592)),IF(E592=G592,15,0),"")</f>
        <v/>
      </c>
      <c r="K592" s="22" t="str">
        <f aca="false">IF(AND(ISNUMBER(F592),ISNUMBER(G592)),IF(ABS(D592-E592)=ABS(F592-G592),12,0),"")</f>
        <v/>
      </c>
      <c r="L592" s="23" t="str">
        <f aca="false">IF(ISNUMBER(H592),H592+I592+J592+K592,"")</f>
        <v/>
      </c>
    </row>
    <row r="593" customFormat="false" ht="18" hidden="false" customHeight="true" outlineLevel="0" collapsed="false">
      <c r="A593" s="17" t="s">
        <v>9</v>
      </c>
      <c r="B593" s="31" t="s">
        <v>156</v>
      </c>
      <c r="C593" s="19" t="s">
        <v>57</v>
      </c>
      <c r="D593" s="20" t="n">
        <v>1</v>
      </c>
      <c r="E593" s="20" t="n">
        <v>1</v>
      </c>
      <c r="F593" s="21" t="n">
        <f aca="false">'📋 Matches'!E17</f>
        <v>0</v>
      </c>
      <c r="G593" s="21" t="n">
        <f aca="false">'📋 Matches'!F17</f>
        <v>0</v>
      </c>
      <c r="H593" s="22" t="str">
        <f aca="false">IF(AND(ISNUMBER(F593),ISNUMBER(G593)),IF(SIGN(D593-E593)=SIGN(F593-G593),48,0),"")</f>
        <v/>
      </c>
      <c r="I593" s="22" t="str">
        <f aca="false">IF(AND(ISNUMBER(F593),ISNUMBER(G593)),IF(D593=F593,15,0),"")</f>
        <v/>
      </c>
      <c r="J593" s="22" t="str">
        <f aca="false">IF(AND(ISNUMBER(F593),ISNUMBER(G593)),IF(E593=G593,15,0),"")</f>
        <v/>
      </c>
      <c r="K593" s="22" t="str">
        <f aca="false">IF(AND(ISNUMBER(F593),ISNUMBER(G593)),IF(ABS(D593-E593)=ABS(F593-G593),12,0),"")</f>
        <v/>
      </c>
      <c r="L593" s="23" t="str">
        <f aca="false">IF(ISNUMBER(H593),H593+I593+J593+K593,"")</f>
        <v/>
      </c>
    </row>
    <row r="594" customFormat="false" ht="18" hidden="false" customHeight="true" outlineLevel="0" collapsed="false">
      <c r="A594" s="17" t="s">
        <v>9</v>
      </c>
      <c r="B594" s="31" t="s">
        <v>156</v>
      </c>
      <c r="C594" s="19" t="s">
        <v>60</v>
      </c>
      <c r="D594" s="20" t="n">
        <v>4</v>
      </c>
      <c r="E594" s="20" t="n">
        <v>1</v>
      </c>
      <c r="F594" s="21" t="n">
        <f aca="false">'📋 Matches'!E18</f>
        <v>0</v>
      </c>
      <c r="G594" s="21" t="n">
        <f aca="false">'📋 Matches'!F18</f>
        <v>0</v>
      </c>
      <c r="H594" s="22" t="str">
        <f aca="false">IF(AND(ISNUMBER(F594),ISNUMBER(G594)),IF(SIGN(D594-E594)=SIGN(F594-G594),48,0),"")</f>
        <v/>
      </c>
      <c r="I594" s="22" t="str">
        <f aca="false">IF(AND(ISNUMBER(F594),ISNUMBER(G594)),IF(D594=F594,15,0),"")</f>
        <v/>
      </c>
      <c r="J594" s="22" t="str">
        <f aca="false">IF(AND(ISNUMBER(F594),ISNUMBER(G594)),IF(E594=G594,15,0),"")</f>
        <v/>
      </c>
      <c r="K594" s="22" t="str">
        <f aca="false">IF(AND(ISNUMBER(F594),ISNUMBER(G594)),IF(ABS(D594-E594)=ABS(F594-G594),12,0),"")</f>
        <v/>
      </c>
      <c r="L594" s="23" t="str">
        <f aca="false">IF(ISNUMBER(H594),H594+I594+J594+K594,"")</f>
        <v/>
      </c>
    </row>
    <row r="595" customFormat="false" ht="18" hidden="false" customHeight="true" outlineLevel="0" collapsed="false">
      <c r="A595" s="17" t="s">
        <v>9</v>
      </c>
      <c r="B595" s="31" t="s">
        <v>156</v>
      </c>
      <c r="C595" s="19" t="s">
        <v>63</v>
      </c>
      <c r="D595" s="20" t="n">
        <v>0</v>
      </c>
      <c r="E595" s="20" t="n">
        <v>3</v>
      </c>
      <c r="F595" s="21" t="n">
        <f aca="false">'📋 Matches'!E19</f>
        <v>0</v>
      </c>
      <c r="G595" s="21" t="n">
        <f aca="false">'📋 Matches'!F19</f>
        <v>0</v>
      </c>
      <c r="H595" s="22" t="str">
        <f aca="false">IF(AND(ISNUMBER(F595),ISNUMBER(G595)),IF(SIGN(D595-E595)=SIGN(F595-G595),48,0),"")</f>
        <v/>
      </c>
      <c r="I595" s="22" t="str">
        <f aca="false">IF(AND(ISNUMBER(F595),ISNUMBER(G595)),IF(D595=F595,15,0),"")</f>
        <v/>
      </c>
      <c r="J595" s="22" t="str">
        <f aca="false">IF(AND(ISNUMBER(F595),ISNUMBER(G595)),IF(E595=G595,15,0),"")</f>
        <v/>
      </c>
      <c r="K595" s="22" t="str">
        <f aca="false">IF(AND(ISNUMBER(F595),ISNUMBER(G595)),IF(ABS(D595-E595)=ABS(F595-G595),12,0),"")</f>
        <v/>
      </c>
      <c r="L595" s="23" t="str">
        <f aca="false">IF(ISNUMBER(H595),H595+I595+J595+K595,"")</f>
        <v/>
      </c>
    </row>
    <row r="596" customFormat="false" ht="18" hidden="false" customHeight="true" outlineLevel="0" collapsed="false">
      <c r="A596" s="17" t="s">
        <v>9</v>
      </c>
      <c r="B596" s="31" t="s">
        <v>156</v>
      </c>
      <c r="C596" s="19" t="s">
        <v>66</v>
      </c>
      <c r="D596" s="20" t="n">
        <v>3</v>
      </c>
      <c r="E596" s="20" t="n">
        <v>2</v>
      </c>
      <c r="F596" s="21" t="n">
        <f aca="false">'📋 Matches'!E20</f>
        <v>0</v>
      </c>
      <c r="G596" s="21" t="n">
        <f aca="false">'📋 Matches'!F20</f>
        <v>0</v>
      </c>
      <c r="H596" s="22" t="str">
        <f aca="false">IF(AND(ISNUMBER(F596),ISNUMBER(G596)),IF(SIGN(D596-E596)=SIGN(F596-G596),48,0),"")</f>
        <v/>
      </c>
      <c r="I596" s="22" t="str">
        <f aca="false">IF(AND(ISNUMBER(F596),ISNUMBER(G596)),IF(D596=F596,15,0),"")</f>
        <v/>
      </c>
      <c r="J596" s="22" t="str">
        <f aca="false">IF(AND(ISNUMBER(F596),ISNUMBER(G596)),IF(E596=G596,15,0),"")</f>
        <v/>
      </c>
      <c r="K596" s="22" t="str">
        <f aca="false">IF(AND(ISNUMBER(F596),ISNUMBER(G596)),IF(ABS(D596-E596)=ABS(F596-G596),12,0),"")</f>
        <v/>
      </c>
      <c r="L596" s="23" t="str">
        <f aca="false">IF(ISNUMBER(H596),H596+I596+J596+K596,"")</f>
        <v/>
      </c>
    </row>
    <row r="597" customFormat="false" ht="18" hidden="false" customHeight="true" outlineLevel="0" collapsed="false">
      <c r="A597" s="17" t="s">
        <v>9</v>
      </c>
      <c r="B597" s="31" t="s">
        <v>156</v>
      </c>
      <c r="C597" s="19" t="s">
        <v>69</v>
      </c>
      <c r="D597" s="20" t="n">
        <v>2</v>
      </c>
      <c r="E597" s="20" t="n">
        <v>0</v>
      </c>
      <c r="F597" s="21" t="n">
        <f aca="false">'📋 Matches'!E21</f>
        <v>0</v>
      </c>
      <c r="G597" s="21" t="n">
        <f aca="false">'📋 Matches'!F21</f>
        <v>0</v>
      </c>
      <c r="H597" s="22" t="str">
        <f aca="false">IF(AND(ISNUMBER(F597),ISNUMBER(G597)),IF(SIGN(D597-E597)=SIGN(F597-G597),48,0),"")</f>
        <v/>
      </c>
      <c r="I597" s="22" t="str">
        <f aca="false">IF(AND(ISNUMBER(F597),ISNUMBER(G597)),IF(D597=F597,15,0),"")</f>
        <v/>
      </c>
      <c r="J597" s="22" t="str">
        <f aca="false">IF(AND(ISNUMBER(F597),ISNUMBER(G597)),IF(E597=G597,15,0),"")</f>
        <v/>
      </c>
      <c r="K597" s="22" t="str">
        <f aca="false">IF(AND(ISNUMBER(F597),ISNUMBER(G597)),IF(ABS(D597-E597)=ABS(F597-G597),12,0),"")</f>
        <v/>
      </c>
      <c r="L597" s="23" t="str">
        <f aca="false">IF(ISNUMBER(H597),H597+I597+J597+K597,"")</f>
        <v/>
      </c>
    </row>
    <row r="598" customFormat="false" ht="18" hidden="false" customHeight="true" outlineLevel="0" collapsed="false">
      <c r="A598" s="17" t="s">
        <v>9</v>
      </c>
      <c r="B598" s="31" t="s">
        <v>156</v>
      </c>
      <c r="C598" s="19" t="s">
        <v>72</v>
      </c>
      <c r="D598" s="20" t="n">
        <v>5</v>
      </c>
      <c r="E598" s="20" t="n">
        <v>0</v>
      </c>
      <c r="F598" s="21" t="n">
        <f aca="false">'📋 Matches'!E22</f>
        <v>0</v>
      </c>
      <c r="G598" s="21" t="n">
        <f aca="false">'📋 Matches'!F22</f>
        <v>0</v>
      </c>
      <c r="H598" s="22" t="str">
        <f aca="false">IF(AND(ISNUMBER(F598),ISNUMBER(G598)),IF(SIGN(D598-E598)=SIGN(F598-G598),48,0),"")</f>
        <v/>
      </c>
      <c r="I598" s="22" t="str">
        <f aca="false">IF(AND(ISNUMBER(F598),ISNUMBER(G598)),IF(D598=F598,15,0),"")</f>
        <v/>
      </c>
      <c r="J598" s="22" t="str">
        <f aca="false">IF(AND(ISNUMBER(F598),ISNUMBER(G598)),IF(E598=G598,15,0),"")</f>
        <v/>
      </c>
      <c r="K598" s="22" t="str">
        <f aca="false">IF(AND(ISNUMBER(F598),ISNUMBER(G598)),IF(ABS(D598-E598)=ABS(F598-G598),12,0),"")</f>
        <v/>
      </c>
      <c r="L598" s="23" t="str">
        <f aca="false">IF(ISNUMBER(H598),H598+I598+J598+K598,"")</f>
        <v/>
      </c>
    </row>
    <row r="599" customFormat="false" ht="18" hidden="false" customHeight="true" outlineLevel="0" collapsed="false">
      <c r="A599" s="17" t="s">
        <v>9</v>
      </c>
      <c r="B599" s="31" t="s">
        <v>156</v>
      </c>
      <c r="C599" s="19" t="s">
        <v>75</v>
      </c>
      <c r="D599" s="20" t="n">
        <v>3</v>
      </c>
      <c r="E599" s="20" t="n">
        <v>2</v>
      </c>
      <c r="F599" s="21" t="n">
        <f aca="false">'📋 Matches'!E23</f>
        <v>0</v>
      </c>
      <c r="G599" s="21" t="n">
        <f aca="false">'📋 Matches'!F23</f>
        <v>0</v>
      </c>
      <c r="H599" s="22" t="str">
        <f aca="false">IF(AND(ISNUMBER(F599),ISNUMBER(G599)),IF(SIGN(D599-E599)=SIGN(F599-G599),48,0),"")</f>
        <v/>
      </c>
      <c r="I599" s="22" t="str">
        <f aca="false">IF(AND(ISNUMBER(F599),ISNUMBER(G599)),IF(D599=F599,15,0),"")</f>
        <v/>
      </c>
      <c r="J599" s="22" t="str">
        <f aca="false">IF(AND(ISNUMBER(F599),ISNUMBER(G599)),IF(E599=G599,15,0),"")</f>
        <v/>
      </c>
      <c r="K599" s="22" t="str">
        <f aca="false">IF(AND(ISNUMBER(F599),ISNUMBER(G599)),IF(ABS(D599-E599)=ABS(F599-G599),12,0),"")</f>
        <v/>
      </c>
      <c r="L599" s="23" t="str">
        <f aca="false">IF(ISNUMBER(H599),H599+I599+J599+K599,"")</f>
        <v/>
      </c>
    </row>
    <row r="600" customFormat="false" ht="18" hidden="false" customHeight="true" outlineLevel="0" collapsed="false">
      <c r="A600" s="17" t="s">
        <v>9</v>
      </c>
      <c r="B600" s="31" t="s">
        <v>156</v>
      </c>
      <c r="C600" s="19" t="s">
        <v>78</v>
      </c>
      <c r="D600" s="20" t="n">
        <v>2</v>
      </c>
      <c r="E600" s="20" t="n">
        <v>0</v>
      </c>
      <c r="F600" s="21" t="n">
        <f aca="false">'📋 Matches'!E24</f>
        <v>0</v>
      </c>
      <c r="G600" s="21" t="n">
        <f aca="false">'📋 Matches'!F24</f>
        <v>0</v>
      </c>
      <c r="H600" s="22" t="str">
        <f aca="false">IF(AND(ISNUMBER(F600),ISNUMBER(G600)),IF(SIGN(D600-E600)=SIGN(F600-G600),48,0),"")</f>
        <v/>
      </c>
      <c r="I600" s="22" t="str">
        <f aca="false">IF(AND(ISNUMBER(F600),ISNUMBER(G600)),IF(D600=F600,15,0),"")</f>
        <v/>
      </c>
      <c r="J600" s="22" t="str">
        <f aca="false">IF(AND(ISNUMBER(F600),ISNUMBER(G600)),IF(E600=G600,15,0),"")</f>
        <v/>
      </c>
      <c r="K600" s="22" t="str">
        <f aca="false">IF(AND(ISNUMBER(F600),ISNUMBER(G600)),IF(ABS(D600-E600)=ABS(F600-G600),12,0),"")</f>
        <v/>
      </c>
      <c r="L600" s="23" t="str">
        <f aca="false">IF(ISNUMBER(H600),H600+I600+J600+K600,"")</f>
        <v/>
      </c>
    </row>
    <row r="601" customFormat="false" ht="18" hidden="false" customHeight="true" outlineLevel="0" collapsed="false">
      <c r="A601" s="17" t="s">
        <v>9</v>
      </c>
      <c r="B601" s="31" t="s">
        <v>156</v>
      </c>
      <c r="C601" s="19" t="s">
        <v>81</v>
      </c>
      <c r="D601" s="20" t="n">
        <v>0</v>
      </c>
      <c r="E601" s="20" t="n">
        <v>3</v>
      </c>
      <c r="F601" s="21" t="n">
        <f aca="false">'📋 Matches'!E25</f>
        <v>0</v>
      </c>
      <c r="G601" s="21" t="n">
        <f aca="false">'📋 Matches'!F25</f>
        <v>0</v>
      </c>
      <c r="H601" s="22" t="str">
        <f aca="false">IF(AND(ISNUMBER(F601),ISNUMBER(G601)),IF(SIGN(D601-E601)=SIGN(F601-G601),48,0),"")</f>
        <v/>
      </c>
      <c r="I601" s="22" t="str">
        <f aca="false">IF(AND(ISNUMBER(F601),ISNUMBER(G601)),IF(D601=F601,15,0),"")</f>
        <v/>
      </c>
      <c r="J601" s="22" t="str">
        <f aca="false">IF(AND(ISNUMBER(F601),ISNUMBER(G601)),IF(E601=G601,15,0),"")</f>
        <v/>
      </c>
      <c r="K601" s="22" t="str">
        <f aca="false">IF(AND(ISNUMBER(F601),ISNUMBER(G601)),IF(ABS(D601-E601)=ABS(F601-G601),12,0),"")</f>
        <v/>
      </c>
      <c r="L601" s="23" t="str">
        <f aca="false">IF(ISNUMBER(H601),H601+I601+J601+K601,"")</f>
        <v/>
      </c>
    </row>
    <row r="602" customFormat="false" ht="18" hidden="false" customHeight="true" outlineLevel="0" collapsed="false">
      <c r="A602" s="17" t="s">
        <v>84</v>
      </c>
      <c r="B602" s="31" t="s">
        <v>156</v>
      </c>
      <c r="C602" s="19" t="s">
        <v>85</v>
      </c>
      <c r="D602" s="20"/>
      <c r="E602" s="20"/>
      <c r="F602" s="21" t="n">
        <f aca="false">'📋 Matches'!E26</f>
        <v>0</v>
      </c>
      <c r="G602" s="21" t="n">
        <f aca="false">'📋 Matches'!F26</f>
        <v>0</v>
      </c>
      <c r="H602" s="24" t="s">
        <v>148</v>
      </c>
      <c r="I602" s="24" t="s">
        <v>148</v>
      </c>
      <c r="J602" s="24" t="s">
        <v>148</v>
      </c>
      <c r="K602" s="24" t="s">
        <v>148</v>
      </c>
      <c r="L602" s="24" t="s">
        <v>148</v>
      </c>
    </row>
    <row r="603" customFormat="false" ht="18" hidden="false" customHeight="true" outlineLevel="0" collapsed="false">
      <c r="A603" s="17" t="s">
        <v>84</v>
      </c>
      <c r="B603" s="31" t="s">
        <v>156</v>
      </c>
      <c r="C603" s="19" t="s">
        <v>87</v>
      </c>
      <c r="D603" s="20"/>
      <c r="E603" s="20"/>
      <c r="F603" s="21" t="n">
        <f aca="false">'📋 Matches'!E27</f>
        <v>0</v>
      </c>
      <c r="G603" s="21" t="n">
        <f aca="false">'📋 Matches'!F27</f>
        <v>0</v>
      </c>
      <c r="H603" s="24" t="s">
        <v>148</v>
      </c>
      <c r="I603" s="24" t="s">
        <v>148</v>
      </c>
      <c r="J603" s="24" t="s">
        <v>148</v>
      </c>
      <c r="K603" s="24" t="s">
        <v>148</v>
      </c>
      <c r="L603" s="24" t="s">
        <v>148</v>
      </c>
    </row>
    <row r="604" customFormat="false" ht="18" hidden="false" customHeight="true" outlineLevel="0" collapsed="false">
      <c r="A604" s="17" t="s">
        <v>84</v>
      </c>
      <c r="B604" s="31" t="s">
        <v>156</v>
      </c>
      <c r="C604" s="19" t="s">
        <v>89</v>
      </c>
      <c r="D604" s="20"/>
      <c r="E604" s="20"/>
      <c r="F604" s="21" t="n">
        <f aca="false">'📋 Matches'!E28</f>
        <v>0</v>
      </c>
      <c r="G604" s="21" t="n">
        <f aca="false">'📋 Matches'!F28</f>
        <v>0</v>
      </c>
      <c r="H604" s="24" t="s">
        <v>148</v>
      </c>
      <c r="I604" s="24" t="s">
        <v>148</v>
      </c>
      <c r="J604" s="24" t="s">
        <v>148</v>
      </c>
      <c r="K604" s="24" t="s">
        <v>148</v>
      </c>
      <c r="L604" s="24" t="s">
        <v>148</v>
      </c>
    </row>
    <row r="605" customFormat="false" ht="18" hidden="false" customHeight="true" outlineLevel="0" collapsed="false">
      <c r="A605" s="17" t="s">
        <v>84</v>
      </c>
      <c r="B605" s="31" t="s">
        <v>156</v>
      </c>
      <c r="C605" s="19" t="s">
        <v>90</v>
      </c>
      <c r="D605" s="20"/>
      <c r="E605" s="20"/>
      <c r="F605" s="21" t="n">
        <f aca="false">'📋 Matches'!E29</f>
        <v>0</v>
      </c>
      <c r="G605" s="21" t="n">
        <f aca="false">'📋 Matches'!F29</f>
        <v>0</v>
      </c>
      <c r="H605" s="24" t="s">
        <v>148</v>
      </c>
      <c r="I605" s="24" t="s">
        <v>148</v>
      </c>
      <c r="J605" s="24" t="s">
        <v>148</v>
      </c>
      <c r="K605" s="24" t="s">
        <v>148</v>
      </c>
      <c r="L605" s="24" t="s">
        <v>148</v>
      </c>
    </row>
    <row r="606" customFormat="false" ht="18" hidden="false" customHeight="true" outlineLevel="0" collapsed="false">
      <c r="A606" s="17" t="s">
        <v>84</v>
      </c>
      <c r="B606" s="31" t="s">
        <v>156</v>
      </c>
      <c r="C606" s="19" t="s">
        <v>91</v>
      </c>
      <c r="D606" s="20"/>
      <c r="E606" s="20"/>
      <c r="F606" s="21" t="n">
        <f aca="false">'📋 Matches'!E30</f>
        <v>0</v>
      </c>
      <c r="G606" s="21" t="n">
        <f aca="false">'📋 Matches'!F30</f>
        <v>0</v>
      </c>
      <c r="H606" s="24" t="s">
        <v>148</v>
      </c>
      <c r="I606" s="24" t="s">
        <v>148</v>
      </c>
      <c r="J606" s="24" t="s">
        <v>148</v>
      </c>
      <c r="K606" s="24" t="s">
        <v>148</v>
      </c>
      <c r="L606" s="24" t="s">
        <v>148</v>
      </c>
    </row>
    <row r="607" customFormat="false" ht="18" hidden="false" customHeight="true" outlineLevel="0" collapsed="false">
      <c r="A607" s="17" t="s">
        <v>84</v>
      </c>
      <c r="B607" s="31" t="s">
        <v>156</v>
      </c>
      <c r="C607" s="19" t="s">
        <v>92</v>
      </c>
      <c r="D607" s="20"/>
      <c r="E607" s="20"/>
      <c r="F607" s="21" t="n">
        <f aca="false">'📋 Matches'!E31</f>
        <v>0</v>
      </c>
      <c r="G607" s="21" t="n">
        <f aca="false">'📋 Matches'!F31</f>
        <v>0</v>
      </c>
      <c r="H607" s="24" t="s">
        <v>148</v>
      </c>
      <c r="I607" s="24" t="s">
        <v>148</v>
      </c>
      <c r="J607" s="24" t="s">
        <v>148</v>
      </c>
      <c r="K607" s="24" t="s">
        <v>148</v>
      </c>
      <c r="L607" s="24" t="s">
        <v>148</v>
      </c>
    </row>
    <row r="608" customFormat="false" ht="18" hidden="false" customHeight="true" outlineLevel="0" collapsed="false">
      <c r="A608" s="17" t="s">
        <v>84</v>
      </c>
      <c r="B608" s="31" t="s">
        <v>156</v>
      </c>
      <c r="C608" s="19" t="s">
        <v>93</v>
      </c>
      <c r="D608" s="20"/>
      <c r="E608" s="20"/>
      <c r="F608" s="21" t="n">
        <f aca="false">'📋 Matches'!E32</f>
        <v>0</v>
      </c>
      <c r="G608" s="21" t="n">
        <f aca="false">'📋 Matches'!F32</f>
        <v>0</v>
      </c>
      <c r="H608" s="24" t="s">
        <v>148</v>
      </c>
      <c r="I608" s="24" t="s">
        <v>148</v>
      </c>
      <c r="J608" s="24" t="s">
        <v>148</v>
      </c>
      <c r="K608" s="24" t="s">
        <v>148</v>
      </c>
      <c r="L608" s="24" t="s">
        <v>148</v>
      </c>
    </row>
    <row r="609" customFormat="false" ht="18" hidden="false" customHeight="true" outlineLevel="0" collapsed="false">
      <c r="A609" s="17" t="s">
        <v>84</v>
      </c>
      <c r="B609" s="31" t="s">
        <v>156</v>
      </c>
      <c r="C609" s="19" t="s">
        <v>94</v>
      </c>
      <c r="D609" s="20"/>
      <c r="E609" s="20"/>
      <c r="F609" s="21" t="n">
        <f aca="false">'📋 Matches'!E33</f>
        <v>0</v>
      </c>
      <c r="G609" s="21" t="n">
        <f aca="false">'📋 Matches'!F33</f>
        <v>0</v>
      </c>
      <c r="H609" s="24" t="s">
        <v>148</v>
      </c>
      <c r="I609" s="24" t="s">
        <v>148</v>
      </c>
      <c r="J609" s="24" t="s">
        <v>148</v>
      </c>
      <c r="K609" s="24" t="s">
        <v>148</v>
      </c>
      <c r="L609" s="24" t="s">
        <v>148</v>
      </c>
    </row>
    <row r="610" customFormat="false" ht="18" hidden="false" customHeight="true" outlineLevel="0" collapsed="false">
      <c r="A610" s="17" t="s">
        <v>84</v>
      </c>
      <c r="B610" s="31" t="s">
        <v>156</v>
      </c>
      <c r="C610" s="19" t="s">
        <v>96</v>
      </c>
      <c r="D610" s="20"/>
      <c r="E610" s="20"/>
      <c r="F610" s="21" t="n">
        <f aca="false">'📋 Matches'!E34</f>
        <v>0</v>
      </c>
      <c r="G610" s="21" t="n">
        <f aca="false">'📋 Matches'!F34</f>
        <v>0</v>
      </c>
      <c r="H610" s="24" t="s">
        <v>148</v>
      </c>
      <c r="I610" s="24" t="s">
        <v>148</v>
      </c>
      <c r="J610" s="24" t="s">
        <v>148</v>
      </c>
      <c r="K610" s="24" t="s">
        <v>148</v>
      </c>
      <c r="L610" s="24" t="s">
        <v>148</v>
      </c>
    </row>
    <row r="611" customFormat="false" ht="18" hidden="false" customHeight="true" outlineLevel="0" collapsed="false">
      <c r="A611" s="17" t="s">
        <v>84</v>
      </c>
      <c r="B611" s="31" t="s">
        <v>156</v>
      </c>
      <c r="C611" s="19" t="s">
        <v>97</v>
      </c>
      <c r="D611" s="20"/>
      <c r="E611" s="20"/>
      <c r="F611" s="21" t="n">
        <f aca="false">'📋 Matches'!E35</f>
        <v>0</v>
      </c>
      <c r="G611" s="21" t="n">
        <f aca="false">'📋 Matches'!F35</f>
        <v>0</v>
      </c>
      <c r="H611" s="24" t="s">
        <v>148</v>
      </c>
      <c r="I611" s="24" t="s">
        <v>148</v>
      </c>
      <c r="J611" s="24" t="s">
        <v>148</v>
      </c>
      <c r="K611" s="24" t="s">
        <v>148</v>
      </c>
      <c r="L611" s="24" t="s">
        <v>148</v>
      </c>
    </row>
    <row r="612" customFormat="false" ht="18" hidden="false" customHeight="true" outlineLevel="0" collapsed="false">
      <c r="A612" s="17" t="s">
        <v>84</v>
      </c>
      <c r="B612" s="31" t="s">
        <v>156</v>
      </c>
      <c r="C612" s="19" t="s">
        <v>98</v>
      </c>
      <c r="D612" s="20"/>
      <c r="E612" s="20"/>
      <c r="F612" s="21" t="n">
        <f aca="false">'📋 Matches'!E36</f>
        <v>0</v>
      </c>
      <c r="G612" s="21" t="n">
        <f aca="false">'📋 Matches'!F36</f>
        <v>0</v>
      </c>
      <c r="H612" s="24" t="s">
        <v>148</v>
      </c>
      <c r="I612" s="24" t="s">
        <v>148</v>
      </c>
      <c r="J612" s="24" t="s">
        <v>148</v>
      </c>
      <c r="K612" s="24" t="s">
        <v>148</v>
      </c>
      <c r="L612" s="24" t="s">
        <v>148</v>
      </c>
    </row>
    <row r="613" customFormat="false" ht="18" hidden="false" customHeight="true" outlineLevel="0" collapsed="false">
      <c r="A613" s="17" t="s">
        <v>84</v>
      </c>
      <c r="B613" s="31" t="s">
        <v>156</v>
      </c>
      <c r="C613" s="19" t="s">
        <v>100</v>
      </c>
      <c r="D613" s="20"/>
      <c r="E613" s="20"/>
      <c r="F613" s="21" t="n">
        <f aca="false">'📋 Matches'!E37</f>
        <v>0</v>
      </c>
      <c r="G613" s="21" t="n">
        <f aca="false">'📋 Matches'!F37</f>
        <v>0</v>
      </c>
      <c r="H613" s="24" t="s">
        <v>148</v>
      </c>
      <c r="I613" s="24" t="s">
        <v>148</v>
      </c>
      <c r="J613" s="24" t="s">
        <v>148</v>
      </c>
      <c r="K613" s="24" t="s">
        <v>148</v>
      </c>
      <c r="L613" s="24" t="s">
        <v>148</v>
      </c>
    </row>
    <row r="614" customFormat="false" ht="18" hidden="false" customHeight="true" outlineLevel="0" collapsed="false">
      <c r="A614" s="17" t="s">
        <v>84</v>
      </c>
      <c r="B614" s="31" t="s">
        <v>156</v>
      </c>
      <c r="C614" s="19" t="s">
        <v>101</v>
      </c>
      <c r="D614" s="20"/>
      <c r="E614" s="20"/>
      <c r="F614" s="21" t="n">
        <f aca="false">'📋 Matches'!E38</f>
        <v>0</v>
      </c>
      <c r="G614" s="21" t="n">
        <f aca="false">'📋 Matches'!F38</f>
        <v>0</v>
      </c>
      <c r="H614" s="24" t="s">
        <v>148</v>
      </c>
      <c r="I614" s="24" t="s">
        <v>148</v>
      </c>
      <c r="J614" s="24" t="s">
        <v>148</v>
      </c>
      <c r="K614" s="24" t="s">
        <v>148</v>
      </c>
      <c r="L614" s="24" t="s">
        <v>148</v>
      </c>
    </row>
    <row r="615" customFormat="false" ht="18" hidden="false" customHeight="true" outlineLevel="0" collapsed="false">
      <c r="A615" s="17" t="s">
        <v>84</v>
      </c>
      <c r="B615" s="31" t="s">
        <v>156</v>
      </c>
      <c r="C615" s="19" t="s">
        <v>102</v>
      </c>
      <c r="D615" s="20"/>
      <c r="E615" s="20"/>
      <c r="F615" s="21" t="n">
        <f aca="false">'📋 Matches'!E39</f>
        <v>0</v>
      </c>
      <c r="G615" s="21" t="n">
        <f aca="false">'📋 Matches'!F39</f>
        <v>0</v>
      </c>
      <c r="H615" s="24" t="s">
        <v>148</v>
      </c>
      <c r="I615" s="24" t="s">
        <v>148</v>
      </c>
      <c r="J615" s="24" t="s">
        <v>148</v>
      </c>
      <c r="K615" s="24" t="s">
        <v>148</v>
      </c>
      <c r="L615" s="24" t="s">
        <v>148</v>
      </c>
    </row>
    <row r="616" customFormat="false" ht="18" hidden="false" customHeight="true" outlineLevel="0" collapsed="false">
      <c r="A616" s="17" t="s">
        <v>84</v>
      </c>
      <c r="B616" s="31" t="s">
        <v>156</v>
      </c>
      <c r="C616" s="19" t="s">
        <v>103</v>
      </c>
      <c r="D616" s="20"/>
      <c r="E616" s="20"/>
      <c r="F616" s="21" t="n">
        <f aca="false">'📋 Matches'!E40</f>
        <v>0</v>
      </c>
      <c r="G616" s="21" t="n">
        <f aca="false">'📋 Matches'!F40</f>
        <v>0</v>
      </c>
      <c r="H616" s="24" t="s">
        <v>148</v>
      </c>
      <c r="I616" s="24" t="s">
        <v>148</v>
      </c>
      <c r="J616" s="24" t="s">
        <v>148</v>
      </c>
      <c r="K616" s="24" t="s">
        <v>148</v>
      </c>
      <c r="L616" s="24" t="s">
        <v>148</v>
      </c>
    </row>
    <row r="617" customFormat="false" ht="18" hidden="false" customHeight="true" outlineLevel="0" collapsed="false">
      <c r="A617" s="17" t="s">
        <v>84</v>
      </c>
      <c r="B617" s="31" t="s">
        <v>156</v>
      </c>
      <c r="C617" s="19" t="s">
        <v>104</v>
      </c>
      <c r="D617" s="20"/>
      <c r="E617" s="20"/>
      <c r="F617" s="21" t="n">
        <f aca="false">'📋 Matches'!E41</f>
        <v>0</v>
      </c>
      <c r="G617" s="21" t="n">
        <f aca="false">'📋 Matches'!F41</f>
        <v>0</v>
      </c>
      <c r="H617" s="24" t="s">
        <v>148</v>
      </c>
      <c r="I617" s="24" t="s">
        <v>148</v>
      </c>
      <c r="J617" s="24" t="s">
        <v>148</v>
      </c>
      <c r="K617" s="24" t="s">
        <v>148</v>
      </c>
      <c r="L617" s="24" t="s">
        <v>148</v>
      </c>
    </row>
    <row r="618" customFormat="false" ht="18" hidden="false" customHeight="true" outlineLevel="0" collapsed="false">
      <c r="A618" s="17" t="s">
        <v>84</v>
      </c>
      <c r="B618" s="31" t="s">
        <v>156</v>
      </c>
      <c r="C618" s="19" t="s">
        <v>105</v>
      </c>
      <c r="D618" s="20"/>
      <c r="E618" s="20"/>
      <c r="F618" s="21" t="n">
        <f aca="false">'📋 Matches'!E42</f>
        <v>0</v>
      </c>
      <c r="G618" s="21" t="n">
        <f aca="false">'📋 Matches'!F42</f>
        <v>0</v>
      </c>
      <c r="H618" s="24" t="s">
        <v>148</v>
      </c>
      <c r="I618" s="24" t="s">
        <v>148</v>
      </c>
      <c r="J618" s="24" t="s">
        <v>148</v>
      </c>
      <c r="K618" s="24" t="s">
        <v>148</v>
      </c>
      <c r="L618" s="24" t="s">
        <v>148</v>
      </c>
    </row>
    <row r="619" customFormat="false" ht="18" hidden="false" customHeight="true" outlineLevel="0" collapsed="false">
      <c r="A619" s="17" t="s">
        <v>84</v>
      </c>
      <c r="B619" s="31" t="s">
        <v>156</v>
      </c>
      <c r="C619" s="19" t="s">
        <v>106</v>
      </c>
      <c r="D619" s="20"/>
      <c r="E619" s="20"/>
      <c r="F619" s="21" t="n">
        <f aca="false">'📋 Matches'!E43</f>
        <v>0</v>
      </c>
      <c r="G619" s="21" t="n">
        <f aca="false">'📋 Matches'!F43</f>
        <v>0</v>
      </c>
      <c r="H619" s="24" t="s">
        <v>148</v>
      </c>
      <c r="I619" s="24" t="s">
        <v>148</v>
      </c>
      <c r="J619" s="24" t="s">
        <v>148</v>
      </c>
      <c r="K619" s="24" t="s">
        <v>148</v>
      </c>
      <c r="L619" s="24" t="s">
        <v>148</v>
      </c>
    </row>
    <row r="620" customFormat="false" ht="18" hidden="false" customHeight="true" outlineLevel="0" collapsed="false">
      <c r="A620" s="17" t="s">
        <v>84</v>
      </c>
      <c r="B620" s="31" t="s">
        <v>156</v>
      </c>
      <c r="C620" s="19" t="s">
        <v>107</v>
      </c>
      <c r="D620" s="20"/>
      <c r="E620" s="20"/>
      <c r="F620" s="21" t="n">
        <f aca="false">'📋 Matches'!E44</f>
        <v>0</v>
      </c>
      <c r="G620" s="21" t="n">
        <f aca="false">'📋 Matches'!F44</f>
        <v>0</v>
      </c>
      <c r="H620" s="24" t="s">
        <v>148</v>
      </c>
      <c r="I620" s="24" t="s">
        <v>148</v>
      </c>
      <c r="J620" s="24" t="s">
        <v>148</v>
      </c>
      <c r="K620" s="24" t="s">
        <v>148</v>
      </c>
      <c r="L620" s="24" t="s">
        <v>148</v>
      </c>
    </row>
    <row r="621" customFormat="false" ht="18" hidden="false" customHeight="true" outlineLevel="0" collapsed="false">
      <c r="A621" s="17" t="s">
        <v>84</v>
      </c>
      <c r="B621" s="31" t="s">
        <v>156</v>
      </c>
      <c r="C621" s="19" t="s">
        <v>108</v>
      </c>
      <c r="D621" s="20"/>
      <c r="E621" s="20"/>
      <c r="F621" s="21" t="n">
        <f aca="false">'📋 Matches'!E45</f>
        <v>0</v>
      </c>
      <c r="G621" s="21" t="n">
        <f aca="false">'📋 Matches'!F45</f>
        <v>0</v>
      </c>
      <c r="H621" s="24" t="s">
        <v>148</v>
      </c>
      <c r="I621" s="24" t="s">
        <v>148</v>
      </c>
      <c r="J621" s="24" t="s">
        <v>148</v>
      </c>
      <c r="K621" s="24" t="s">
        <v>148</v>
      </c>
      <c r="L621" s="24" t="s">
        <v>148</v>
      </c>
    </row>
    <row r="622" customFormat="false" ht="18" hidden="false" customHeight="true" outlineLevel="0" collapsed="false">
      <c r="A622" s="17" t="s">
        <v>84</v>
      </c>
      <c r="B622" s="31" t="s">
        <v>156</v>
      </c>
      <c r="C622" s="19" t="s">
        <v>109</v>
      </c>
      <c r="D622" s="20"/>
      <c r="E622" s="20"/>
      <c r="F622" s="21" t="n">
        <f aca="false">'📋 Matches'!E46</f>
        <v>0</v>
      </c>
      <c r="G622" s="21" t="n">
        <f aca="false">'📋 Matches'!F46</f>
        <v>0</v>
      </c>
      <c r="H622" s="24" t="s">
        <v>148</v>
      </c>
      <c r="I622" s="24" t="s">
        <v>148</v>
      </c>
      <c r="J622" s="24" t="s">
        <v>148</v>
      </c>
      <c r="K622" s="24" t="s">
        <v>148</v>
      </c>
      <c r="L622" s="24" t="s">
        <v>148</v>
      </c>
    </row>
    <row r="623" customFormat="false" ht="18" hidden="false" customHeight="true" outlineLevel="0" collapsed="false">
      <c r="A623" s="17" t="s">
        <v>84</v>
      </c>
      <c r="B623" s="31" t="s">
        <v>156</v>
      </c>
      <c r="C623" s="19" t="s">
        <v>110</v>
      </c>
      <c r="D623" s="20"/>
      <c r="E623" s="20"/>
      <c r="F623" s="21" t="n">
        <f aca="false">'📋 Matches'!E47</f>
        <v>0</v>
      </c>
      <c r="G623" s="21" t="n">
        <f aca="false">'📋 Matches'!F47</f>
        <v>0</v>
      </c>
      <c r="H623" s="24" t="s">
        <v>148</v>
      </c>
      <c r="I623" s="24" t="s">
        <v>148</v>
      </c>
      <c r="J623" s="24" t="s">
        <v>148</v>
      </c>
      <c r="K623" s="24" t="s">
        <v>148</v>
      </c>
      <c r="L623" s="24" t="s">
        <v>148</v>
      </c>
    </row>
    <row r="624" customFormat="false" ht="18" hidden="false" customHeight="true" outlineLevel="0" collapsed="false">
      <c r="A624" s="17" t="s">
        <v>84</v>
      </c>
      <c r="B624" s="31" t="s">
        <v>156</v>
      </c>
      <c r="C624" s="19" t="s">
        <v>111</v>
      </c>
      <c r="D624" s="20"/>
      <c r="E624" s="20"/>
      <c r="F624" s="21" t="n">
        <f aca="false">'📋 Matches'!E48</f>
        <v>0</v>
      </c>
      <c r="G624" s="21" t="n">
        <f aca="false">'📋 Matches'!F48</f>
        <v>0</v>
      </c>
      <c r="H624" s="24" t="s">
        <v>148</v>
      </c>
      <c r="I624" s="24" t="s">
        <v>148</v>
      </c>
      <c r="J624" s="24" t="s">
        <v>148</v>
      </c>
      <c r="K624" s="24" t="s">
        <v>148</v>
      </c>
      <c r="L624" s="24" t="s">
        <v>148</v>
      </c>
    </row>
    <row r="625" customFormat="false" ht="18" hidden="false" customHeight="true" outlineLevel="0" collapsed="false">
      <c r="A625" s="17" t="s">
        <v>84</v>
      </c>
      <c r="B625" s="31" t="s">
        <v>156</v>
      </c>
      <c r="C625" s="19" t="s">
        <v>112</v>
      </c>
      <c r="D625" s="20"/>
      <c r="E625" s="20"/>
      <c r="F625" s="21" t="n">
        <f aca="false">'📋 Matches'!E49</f>
        <v>0</v>
      </c>
      <c r="G625" s="21" t="n">
        <f aca="false">'📋 Matches'!F49</f>
        <v>0</v>
      </c>
      <c r="H625" s="24" t="s">
        <v>148</v>
      </c>
      <c r="I625" s="24" t="s">
        <v>148</v>
      </c>
      <c r="J625" s="24" t="s">
        <v>148</v>
      </c>
      <c r="K625" s="24" t="s">
        <v>148</v>
      </c>
      <c r="L625" s="24" t="s">
        <v>148</v>
      </c>
    </row>
    <row r="626" customFormat="false" ht="18" hidden="false" customHeight="true" outlineLevel="0" collapsed="false">
      <c r="A626" s="17" t="s">
        <v>114</v>
      </c>
      <c r="B626" s="31" t="s">
        <v>156</v>
      </c>
      <c r="C626" s="19" t="s">
        <v>115</v>
      </c>
      <c r="D626" s="20"/>
      <c r="E626" s="20"/>
      <c r="F626" s="21" t="n">
        <f aca="false">'📋 Matches'!E50</f>
        <v>0</v>
      </c>
      <c r="G626" s="21" t="n">
        <f aca="false">'📋 Matches'!F50</f>
        <v>0</v>
      </c>
      <c r="H626" s="24" t="s">
        <v>148</v>
      </c>
      <c r="I626" s="24" t="s">
        <v>148</v>
      </c>
      <c r="J626" s="24" t="s">
        <v>148</v>
      </c>
      <c r="K626" s="24" t="s">
        <v>148</v>
      </c>
      <c r="L626" s="24" t="s">
        <v>148</v>
      </c>
    </row>
    <row r="627" customFormat="false" ht="18" hidden="false" customHeight="true" outlineLevel="0" collapsed="false">
      <c r="A627" s="17" t="s">
        <v>114</v>
      </c>
      <c r="B627" s="31" t="s">
        <v>156</v>
      </c>
      <c r="C627" s="19" t="s">
        <v>116</v>
      </c>
      <c r="D627" s="20"/>
      <c r="E627" s="20"/>
      <c r="F627" s="21" t="n">
        <f aca="false">'📋 Matches'!E51</f>
        <v>0</v>
      </c>
      <c r="G627" s="21" t="n">
        <f aca="false">'📋 Matches'!F51</f>
        <v>0</v>
      </c>
      <c r="H627" s="24" t="s">
        <v>148</v>
      </c>
      <c r="I627" s="24" t="s">
        <v>148</v>
      </c>
      <c r="J627" s="24" t="s">
        <v>148</v>
      </c>
      <c r="K627" s="24" t="s">
        <v>148</v>
      </c>
      <c r="L627" s="24" t="s">
        <v>148</v>
      </c>
    </row>
    <row r="628" customFormat="false" ht="18" hidden="false" customHeight="true" outlineLevel="0" collapsed="false">
      <c r="A628" s="17" t="s">
        <v>114</v>
      </c>
      <c r="B628" s="31" t="s">
        <v>156</v>
      </c>
      <c r="C628" s="19" t="s">
        <v>117</v>
      </c>
      <c r="D628" s="20"/>
      <c r="E628" s="20"/>
      <c r="F628" s="21" t="n">
        <f aca="false">'📋 Matches'!E52</f>
        <v>0</v>
      </c>
      <c r="G628" s="21" t="n">
        <f aca="false">'📋 Matches'!F52</f>
        <v>0</v>
      </c>
      <c r="H628" s="24" t="s">
        <v>148</v>
      </c>
      <c r="I628" s="24" t="s">
        <v>148</v>
      </c>
      <c r="J628" s="24" t="s">
        <v>148</v>
      </c>
      <c r="K628" s="24" t="s">
        <v>148</v>
      </c>
      <c r="L628" s="24" t="s">
        <v>148</v>
      </c>
    </row>
    <row r="629" customFormat="false" ht="18" hidden="false" customHeight="true" outlineLevel="0" collapsed="false">
      <c r="A629" s="17" t="s">
        <v>114</v>
      </c>
      <c r="B629" s="31" t="s">
        <v>156</v>
      </c>
      <c r="C629" s="19" t="s">
        <v>118</v>
      </c>
      <c r="D629" s="20"/>
      <c r="E629" s="20"/>
      <c r="F629" s="21" t="n">
        <f aca="false">'📋 Matches'!E53</f>
        <v>0</v>
      </c>
      <c r="G629" s="21" t="n">
        <f aca="false">'📋 Matches'!F53</f>
        <v>0</v>
      </c>
      <c r="H629" s="24" t="s">
        <v>148</v>
      </c>
      <c r="I629" s="24" t="s">
        <v>148</v>
      </c>
      <c r="J629" s="24" t="s">
        <v>148</v>
      </c>
      <c r="K629" s="24" t="s">
        <v>148</v>
      </c>
      <c r="L629" s="24" t="s">
        <v>148</v>
      </c>
    </row>
    <row r="630" customFormat="false" ht="18" hidden="false" customHeight="true" outlineLevel="0" collapsed="false">
      <c r="A630" s="17" t="s">
        <v>114</v>
      </c>
      <c r="B630" s="31" t="s">
        <v>156</v>
      </c>
      <c r="C630" s="19" t="s">
        <v>119</v>
      </c>
      <c r="D630" s="20"/>
      <c r="E630" s="20"/>
      <c r="F630" s="21" t="n">
        <f aca="false">'📋 Matches'!E54</f>
        <v>0</v>
      </c>
      <c r="G630" s="21" t="n">
        <f aca="false">'📋 Matches'!F54</f>
        <v>0</v>
      </c>
      <c r="H630" s="24" t="s">
        <v>148</v>
      </c>
      <c r="I630" s="24" t="s">
        <v>148</v>
      </c>
      <c r="J630" s="24" t="s">
        <v>148</v>
      </c>
      <c r="K630" s="24" t="s">
        <v>148</v>
      </c>
      <c r="L630" s="24" t="s">
        <v>148</v>
      </c>
    </row>
    <row r="631" customFormat="false" ht="18" hidden="false" customHeight="true" outlineLevel="0" collapsed="false">
      <c r="A631" s="17" t="s">
        <v>114</v>
      </c>
      <c r="B631" s="31" t="s">
        <v>156</v>
      </c>
      <c r="C631" s="19" t="s">
        <v>120</v>
      </c>
      <c r="D631" s="20"/>
      <c r="E631" s="20"/>
      <c r="F631" s="21" t="n">
        <f aca="false">'📋 Matches'!E55</f>
        <v>0</v>
      </c>
      <c r="G631" s="21" t="n">
        <f aca="false">'📋 Matches'!F55</f>
        <v>0</v>
      </c>
      <c r="H631" s="24" t="s">
        <v>148</v>
      </c>
      <c r="I631" s="24" t="s">
        <v>148</v>
      </c>
      <c r="J631" s="24" t="s">
        <v>148</v>
      </c>
      <c r="K631" s="24" t="s">
        <v>148</v>
      </c>
      <c r="L631" s="24" t="s">
        <v>148</v>
      </c>
    </row>
    <row r="632" customFormat="false" ht="18" hidden="false" customHeight="true" outlineLevel="0" collapsed="false">
      <c r="A632" s="17" t="s">
        <v>114</v>
      </c>
      <c r="B632" s="31" t="s">
        <v>156</v>
      </c>
      <c r="C632" s="19" t="s">
        <v>121</v>
      </c>
      <c r="D632" s="20"/>
      <c r="E632" s="20"/>
      <c r="F632" s="21" t="n">
        <f aca="false">'📋 Matches'!E56</f>
        <v>0</v>
      </c>
      <c r="G632" s="21" t="n">
        <f aca="false">'📋 Matches'!F56</f>
        <v>0</v>
      </c>
      <c r="H632" s="24" t="s">
        <v>148</v>
      </c>
      <c r="I632" s="24" t="s">
        <v>148</v>
      </c>
      <c r="J632" s="24" t="s">
        <v>148</v>
      </c>
      <c r="K632" s="24" t="s">
        <v>148</v>
      </c>
      <c r="L632" s="24" t="s">
        <v>148</v>
      </c>
    </row>
    <row r="633" customFormat="false" ht="18" hidden="false" customHeight="true" outlineLevel="0" collapsed="false">
      <c r="A633" s="17" t="s">
        <v>114</v>
      </c>
      <c r="B633" s="31" t="s">
        <v>156</v>
      </c>
      <c r="C633" s="19" t="s">
        <v>122</v>
      </c>
      <c r="D633" s="20"/>
      <c r="E633" s="20"/>
      <c r="F633" s="21" t="n">
        <f aca="false">'📋 Matches'!E57</f>
        <v>0</v>
      </c>
      <c r="G633" s="21" t="n">
        <f aca="false">'📋 Matches'!F57</f>
        <v>0</v>
      </c>
      <c r="H633" s="24" t="s">
        <v>148</v>
      </c>
      <c r="I633" s="24" t="s">
        <v>148</v>
      </c>
      <c r="J633" s="24" t="s">
        <v>148</v>
      </c>
      <c r="K633" s="24" t="s">
        <v>148</v>
      </c>
      <c r="L633" s="24" t="s">
        <v>148</v>
      </c>
    </row>
    <row r="634" customFormat="false" ht="18" hidden="false" customHeight="true" outlineLevel="0" collapsed="false">
      <c r="A634" s="17" t="s">
        <v>114</v>
      </c>
      <c r="B634" s="31" t="s">
        <v>156</v>
      </c>
      <c r="C634" s="19" t="s">
        <v>123</v>
      </c>
      <c r="D634" s="20"/>
      <c r="E634" s="20"/>
      <c r="F634" s="21" t="n">
        <f aca="false">'📋 Matches'!E58</f>
        <v>0</v>
      </c>
      <c r="G634" s="21" t="n">
        <f aca="false">'📋 Matches'!F58</f>
        <v>0</v>
      </c>
      <c r="H634" s="24" t="s">
        <v>148</v>
      </c>
      <c r="I634" s="24" t="s">
        <v>148</v>
      </c>
      <c r="J634" s="24" t="s">
        <v>148</v>
      </c>
      <c r="K634" s="24" t="s">
        <v>148</v>
      </c>
      <c r="L634" s="24" t="s">
        <v>148</v>
      </c>
    </row>
    <row r="635" customFormat="false" ht="18" hidden="false" customHeight="true" outlineLevel="0" collapsed="false">
      <c r="A635" s="17" t="s">
        <v>114</v>
      </c>
      <c r="B635" s="31" t="s">
        <v>156</v>
      </c>
      <c r="C635" s="19" t="s">
        <v>124</v>
      </c>
      <c r="D635" s="20"/>
      <c r="E635" s="20"/>
      <c r="F635" s="21" t="n">
        <f aca="false">'📋 Matches'!E59</f>
        <v>0</v>
      </c>
      <c r="G635" s="21" t="n">
        <f aca="false">'📋 Matches'!F59</f>
        <v>0</v>
      </c>
      <c r="H635" s="24" t="s">
        <v>148</v>
      </c>
      <c r="I635" s="24" t="s">
        <v>148</v>
      </c>
      <c r="J635" s="24" t="s">
        <v>148</v>
      </c>
      <c r="K635" s="24" t="s">
        <v>148</v>
      </c>
      <c r="L635" s="24" t="s">
        <v>148</v>
      </c>
    </row>
    <row r="636" customFormat="false" ht="18" hidden="false" customHeight="true" outlineLevel="0" collapsed="false">
      <c r="A636" s="17" t="s">
        <v>114</v>
      </c>
      <c r="B636" s="31" t="s">
        <v>156</v>
      </c>
      <c r="C636" s="19" t="s">
        <v>125</v>
      </c>
      <c r="D636" s="20"/>
      <c r="E636" s="20"/>
      <c r="F636" s="21" t="n">
        <f aca="false">'📋 Matches'!E60</f>
        <v>0</v>
      </c>
      <c r="G636" s="21" t="n">
        <f aca="false">'📋 Matches'!F60</f>
        <v>0</v>
      </c>
      <c r="H636" s="24" t="s">
        <v>148</v>
      </c>
      <c r="I636" s="24" t="s">
        <v>148</v>
      </c>
      <c r="J636" s="24" t="s">
        <v>148</v>
      </c>
      <c r="K636" s="24" t="s">
        <v>148</v>
      </c>
      <c r="L636" s="24" t="s">
        <v>148</v>
      </c>
    </row>
    <row r="637" customFormat="false" ht="18" hidden="false" customHeight="true" outlineLevel="0" collapsed="false">
      <c r="A637" s="17" t="s">
        <v>114</v>
      </c>
      <c r="B637" s="31" t="s">
        <v>156</v>
      </c>
      <c r="C637" s="19" t="s">
        <v>126</v>
      </c>
      <c r="D637" s="20"/>
      <c r="E637" s="20"/>
      <c r="F637" s="21" t="n">
        <f aca="false">'📋 Matches'!E61</f>
        <v>0</v>
      </c>
      <c r="G637" s="21" t="n">
        <f aca="false">'📋 Matches'!F61</f>
        <v>0</v>
      </c>
      <c r="H637" s="24" t="s">
        <v>148</v>
      </c>
      <c r="I637" s="24" t="s">
        <v>148</v>
      </c>
      <c r="J637" s="24" t="s">
        <v>148</v>
      </c>
      <c r="K637" s="24" t="s">
        <v>148</v>
      </c>
      <c r="L637" s="24" t="s">
        <v>148</v>
      </c>
    </row>
    <row r="638" customFormat="false" ht="18" hidden="false" customHeight="true" outlineLevel="0" collapsed="false">
      <c r="A638" s="17" t="s">
        <v>114</v>
      </c>
      <c r="B638" s="31" t="s">
        <v>156</v>
      </c>
      <c r="C638" s="19" t="s">
        <v>127</v>
      </c>
      <c r="D638" s="20"/>
      <c r="E638" s="20"/>
      <c r="F638" s="21" t="n">
        <f aca="false">'📋 Matches'!E62</f>
        <v>0</v>
      </c>
      <c r="G638" s="21" t="n">
        <f aca="false">'📋 Matches'!F62</f>
        <v>0</v>
      </c>
      <c r="H638" s="24" t="s">
        <v>148</v>
      </c>
      <c r="I638" s="24" t="s">
        <v>148</v>
      </c>
      <c r="J638" s="24" t="s">
        <v>148</v>
      </c>
      <c r="K638" s="24" t="s">
        <v>148</v>
      </c>
      <c r="L638" s="24" t="s">
        <v>148</v>
      </c>
    </row>
    <row r="639" customFormat="false" ht="18" hidden="false" customHeight="true" outlineLevel="0" collapsed="false">
      <c r="A639" s="17" t="s">
        <v>114</v>
      </c>
      <c r="B639" s="31" t="s">
        <v>156</v>
      </c>
      <c r="C639" s="19" t="s">
        <v>128</v>
      </c>
      <c r="D639" s="20"/>
      <c r="E639" s="20"/>
      <c r="F639" s="21" t="n">
        <f aca="false">'📋 Matches'!E63</f>
        <v>0</v>
      </c>
      <c r="G639" s="21" t="n">
        <f aca="false">'📋 Matches'!F63</f>
        <v>0</v>
      </c>
      <c r="H639" s="24" t="s">
        <v>148</v>
      </c>
      <c r="I639" s="24" t="s">
        <v>148</v>
      </c>
      <c r="J639" s="24" t="s">
        <v>148</v>
      </c>
      <c r="K639" s="24" t="s">
        <v>148</v>
      </c>
      <c r="L639" s="24" t="s">
        <v>148</v>
      </c>
    </row>
    <row r="640" customFormat="false" ht="18" hidden="false" customHeight="true" outlineLevel="0" collapsed="false">
      <c r="A640" s="17" t="s">
        <v>114</v>
      </c>
      <c r="B640" s="31" t="s">
        <v>156</v>
      </c>
      <c r="C640" s="19" t="s">
        <v>129</v>
      </c>
      <c r="D640" s="20"/>
      <c r="E640" s="20"/>
      <c r="F640" s="21" t="n">
        <f aca="false">'📋 Matches'!E64</f>
        <v>0</v>
      </c>
      <c r="G640" s="21" t="n">
        <f aca="false">'📋 Matches'!F64</f>
        <v>0</v>
      </c>
      <c r="H640" s="24" t="s">
        <v>148</v>
      </c>
      <c r="I640" s="24" t="s">
        <v>148</v>
      </c>
      <c r="J640" s="24" t="s">
        <v>148</v>
      </c>
      <c r="K640" s="24" t="s">
        <v>148</v>
      </c>
      <c r="L640" s="24" t="s">
        <v>148</v>
      </c>
    </row>
    <row r="641" customFormat="false" ht="18" hidden="false" customHeight="true" outlineLevel="0" collapsed="false">
      <c r="A641" s="17" t="s">
        <v>114</v>
      </c>
      <c r="B641" s="31" t="s">
        <v>156</v>
      </c>
      <c r="C641" s="19" t="s">
        <v>130</v>
      </c>
      <c r="D641" s="20"/>
      <c r="E641" s="20"/>
      <c r="F641" s="21" t="n">
        <f aca="false">'📋 Matches'!E65</f>
        <v>0</v>
      </c>
      <c r="G641" s="21" t="n">
        <f aca="false">'📋 Matches'!F65</f>
        <v>0</v>
      </c>
      <c r="H641" s="24" t="s">
        <v>148</v>
      </c>
      <c r="I641" s="24" t="s">
        <v>148</v>
      </c>
      <c r="J641" s="24" t="s">
        <v>148</v>
      </c>
      <c r="K641" s="24" t="s">
        <v>148</v>
      </c>
      <c r="L641" s="24" t="s">
        <v>148</v>
      </c>
    </row>
    <row r="642" customFormat="false" ht="18" hidden="false" customHeight="true" outlineLevel="0" collapsed="false">
      <c r="A642" s="17" t="s">
        <v>114</v>
      </c>
      <c r="B642" s="31" t="s">
        <v>156</v>
      </c>
      <c r="C642" s="19" t="s">
        <v>131</v>
      </c>
      <c r="D642" s="20"/>
      <c r="E642" s="20"/>
      <c r="F642" s="21" t="n">
        <f aca="false">'📋 Matches'!E66</f>
        <v>0</v>
      </c>
      <c r="G642" s="21" t="n">
        <f aca="false">'📋 Matches'!F66</f>
        <v>0</v>
      </c>
      <c r="H642" s="24" t="s">
        <v>148</v>
      </c>
      <c r="I642" s="24" t="s">
        <v>148</v>
      </c>
      <c r="J642" s="24" t="s">
        <v>148</v>
      </c>
      <c r="K642" s="24" t="s">
        <v>148</v>
      </c>
      <c r="L642" s="24" t="s">
        <v>148</v>
      </c>
    </row>
    <row r="643" customFormat="false" ht="18" hidden="false" customHeight="true" outlineLevel="0" collapsed="false">
      <c r="A643" s="17" t="s">
        <v>114</v>
      </c>
      <c r="B643" s="31" t="s">
        <v>156</v>
      </c>
      <c r="C643" s="19" t="s">
        <v>132</v>
      </c>
      <c r="D643" s="20"/>
      <c r="E643" s="20"/>
      <c r="F643" s="21" t="n">
        <f aca="false">'📋 Matches'!E67</f>
        <v>0</v>
      </c>
      <c r="G643" s="21" t="n">
        <f aca="false">'📋 Matches'!F67</f>
        <v>0</v>
      </c>
      <c r="H643" s="24" t="s">
        <v>148</v>
      </c>
      <c r="I643" s="24" t="s">
        <v>148</v>
      </c>
      <c r="J643" s="24" t="s">
        <v>148</v>
      </c>
      <c r="K643" s="24" t="s">
        <v>148</v>
      </c>
      <c r="L643" s="24" t="s">
        <v>148</v>
      </c>
    </row>
    <row r="644" customFormat="false" ht="18" hidden="false" customHeight="true" outlineLevel="0" collapsed="false">
      <c r="A644" s="17" t="s">
        <v>114</v>
      </c>
      <c r="B644" s="31" t="s">
        <v>156</v>
      </c>
      <c r="C644" s="19" t="s">
        <v>133</v>
      </c>
      <c r="D644" s="20"/>
      <c r="E644" s="20"/>
      <c r="F644" s="21" t="n">
        <f aca="false">'📋 Matches'!E68</f>
        <v>0</v>
      </c>
      <c r="G644" s="21" t="n">
        <f aca="false">'📋 Matches'!F68</f>
        <v>0</v>
      </c>
      <c r="H644" s="24" t="s">
        <v>148</v>
      </c>
      <c r="I644" s="24" t="s">
        <v>148</v>
      </c>
      <c r="J644" s="24" t="s">
        <v>148</v>
      </c>
      <c r="K644" s="24" t="s">
        <v>148</v>
      </c>
      <c r="L644" s="24" t="s">
        <v>148</v>
      </c>
    </row>
    <row r="645" customFormat="false" ht="18" hidden="false" customHeight="true" outlineLevel="0" collapsed="false">
      <c r="A645" s="17" t="s">
        <v>114</v>
      </c>
      <c r="B645" s="31" t="s">
        <v>156</v>
      </c>
      <c r="C645" s="19" t="s">
        <v>134</v>
      </c>
      <c r="D645" s="20"/>
      <c r="E645" s="20"/>
      <c r="F645" s="21" t="n">
        <f aca="false">'📋 Matches'!E69</f>
        <v>0</v>
      </c>
      <c r="G645" s="21" t="n">
        <f aca="false">'📋 Matches'!F69</f>
        <v>0</v>
      </c>
      <c r="H645" s="24" t="s">
        <v>148</v>
      </c>
      <c r="I645" s="24" t="s">
        <v>148</v>
      </c>
      <c r="J645" s="24" t="s">
        <v>148</v>
      </c>
      <c r="K645" s="24" t="s">
        <v>148</v>
      </c>
      <c r="L645" s="24" t="s">
        <v>148</v>
      </c>
    </row>
    <row r="646" customFormat="false" ht="18" hidden="false" customHeight="true" outlineLevel="0" collapsed="false">
      <c r="A646" s="17" t="s">
        <v>114</v>
      </c>
      <c r="B646" s="31" t="s">
        <v>156</v>
      </c>
      <c r="C646" s="19" t="s">
        <v>135</v>
      </c>
      <c r="D646" s="20"/>
      <c r="E646" s="20"/>
      <c r="F646" s="21" t="n">
        <f aca="false">'📋 Matches'!E70</f>
        <v>0</v>
      </c>
      <c r="G646" s="21" t="n">
        <f aca="false">'📋 Matches'!F70</f>
        <v>0</v>
      </c>
      <c r="H646" s="24" t="s">
        <v>148</v>
      </c>
      <c r="I646" s="24" t="s">
        <v>148</v>
      </c>
      <c r="J646" s="24" t="s">
        <v>148</v>
      </c>
      <c r="K646" s="24" t="s">
        <v>148</v>
      </c>
      <c r="L646" s="24" t="s">
        <v>148</v>
      </c>
    </row>
    <row r="647" customFormat="false" ht="18" hidden="false" customHeight="true" outlineLevel="0" collapsed="false">
      <c r="A647" s="17" t="s">
        <v>114</v>
      </c>
      <c r="B647" s="31" t="s">
        <v>156</v>
      </c>
      <c r="C647" s="19" t="s">
        <v>136</v>
      </c>
      <c r="D647" s="20"/>
      <c r="E647" s="20"/>
      <c r="F647" s="21" t="n">
        <f aca="false">'📋 Matches'!E71</f>
        <v>0</v>
      </c>
      <c r="G647" s="21" t="n">
        <f aca="false">'📋 Matches'!F71</f>
        <v>0</v>
      </c>
      <c r="H647" s="24" t="s">
        <v>148</v>
      </c>
      <c r="I647" s="24" t="s">
        <v>148</v>
      </c>
      <c r="J647" s="24" t="s">
        <v>148</v>
      </c>
      <c r="K647" s="24" t="s">
        <v>148</v>
      </c>
      <c r="L647" s="24" t="s">
        <v>148</v>
      </c>
    </row>
    <row r="648" customFormat="false" ht="18" hidden="false" customHeight="true" outlineLevel="0" collapsed="false">
      <c r="A648" s="17" t="s">
        <v>114</v>
      </c>
      <c r="B648" s="31" t="s">
        <v>156</v>
      </c>
      <c r="C648" s="19" t="s">
        <v>137</v>
      </c>
      <c r="D648" s="20"/>
      <c r="E648" s="20"/>
      <c r="F648" s="21" t="n">
        <f aca="false">'📋 Matches'!E72</f>
        <v>0</v>
      </c>
      <c r="G648" s="21" t="n">
        <f aca="false">'📋 Matches'!F72</f>
        <v>0</v>
      </c>
      <c r="H648" s="24" t="s">
        <v>148</v>
      </c>
      <c r="I648" s="24" t="s">
        <v>148</v>
      </c>
      <c r="J648" s="24" t="s">
        <v>148</v>
      </c>
      <c r="K648" s="24" t="s">
        <v>148</v>
      </c>
      <c r="L648" s="24" t="s">
        <v>148</v>
      </c>
    </row>
    <row r="649" customFormat="false" ht="18" hidden="false" customHeight="true" outlineLevel="0" collapsed="false">
      <c r="A649" s="17" t="s">
        <v>114</v>
      </c>
      <c r="B649" s="31" t="s">
        <v>156</v>
      </c>
      <c r="C649" s="19" t="s">
        <v>138</v>
      </c>
      <c r="D649" s="20"/>
      <c r="E649" s="20"/>
      <c r="F649" s="21" t="n">
        <f aca="false">'📋 Matches'!E73</f>
        <v>0</v>
      </c>
      <c r="G649" s="21" t="n">
        <f aca="false">'📋 Matches'!F73</f>
        <v>0</v>
      </c>
      <c r="H649" s="24" t="s">
        <v>148</v>
      </c>
      <c r="I649" s="24" t="s">
        <v>148</v>
      </c>
      <c r="J649" s="24" t="s">
        <v>148</v>
      </c>
      <c r="K649" s="24" t="s">
        <v>148</v>
      </c>
      <c r="L649" s="24" t="s">
        <v>148</v>
      </c>
    </row>
    <row r="650" customFormat="false" ht="18" hidden="false" customHeight="true" outlineLevel="0" collapsed="false">
      <c r="A650" s="25" t="s">
        <v>9</v>
      </c>
      <c r="B650" s="26" t="s">
        <v>157</v>
      </c>
      <c r="C650" s="27" t="s">
        <v>10</v>
      </c>
      <c r="D650" s="28" t="n">
        <v>2</v>
      </c>
      <c r="E650" s="28" t="n">
        <v>0</v>
      </c>
      <c r="F650" s="29" t="n">
        <f aca="false">'📋 Matches'!E2</f>
        <v>2</v>
      </c>
      <c r="G650" s="29" t="n">
        <f aca="false">'📋 Matches'!F2</f>
        <v>0</v>
      </c>
      <c r="H650" s="22" t="n">
        <f aca="false">IF(AND(ISNUMBER(F650),ISNUMBER(G650)),IF(SIGN(D650-E650)=SIGN(F650-G650),48,0),"")</f>
        <v>48</v>
      </c>
      <c r="I650" s="22" t="n">
        <f aca="false">IF(AND(ISNUMBER(F650),ISNUMBER(G650)),IF(D650=F650,15,0),"")</f>
        <v>15</v>
      </c>
      <c r="J650" s="22" t="n">
        <f aca="false">IF(AND(ISNUMBER(F650),ISNUMBER(G650)),IF(E650=G650,15,0),"")</f>
        <v>15</v>
      </c>
      <c r="K650" s="22" t="n">
        <f aca="false">IF(AND(ISNUMBER(F650),ISNUMBER(G650)),IF(ABS(D650-E650)=ABS(F650-G650),12,0),"")</f>
        <v>12</v>
      </c>
      <c r="L650" s="23" t="n">
        <f aca="false">IF(ISNUMBER(H650),H650+I650+J650+K650,"")</f>
        <v>90</v>
      </c>
    </row>
    <row r="651" customFormat="false" ht="18" hidden="false" customHeight="true" outlineLevel="0" collapsed="false">
      <c r="A651" s="25" t="s">
        <v>9</v>
      </c>
      <c r="B651" s="26" t="s">
        <v>157</v>
      </c>
      <c r="C651" s="27" t="s">
        <v>14</v>
      </c>
      <c r="D651" s="28" t="n">
        <v>3</v>
      </c>
      <c r="E651" s="28" t="n">
        <v>1</v>
      </c>
      <c r="F651" s="29" t="n">
        <f aca="false">'📋 Matches'!E3</f>
        <v>2</v>
      </c>
      <c r="G651" s="29" t="n">
        <f aca="false">'📋 Matches'!F3</f>
        <v>1</v>
      </c>
      <c r="H651" s="22" t="n">
        <f aca="false">IF(AND(ISNUMBER(F651),ISNUMBER(G651)),IF(SIGN(D651-E651)=SIGN(F651-G651),48,0),"")</f>
        <v>48</v>
      </c>
      <c r="I651" s="22" t="n">
        <f aca="false">IF(AND(ISNUMBER(F651),ISNUMBER(G651)),IF(D651=F651,15,0),"")</f>
        <v>0</v>
      </c>
      <c r="J651" s="22" t="n">
        <f aca="false">IF(AND(ISNUMBER(F651),ISNUMBER(G651)),IF(E651=G651,15,0),"")</f>
        <v>15</v>
      </c>
      <c r="K651" s="22" t="n">
        <f aca="false">IF(AND(ISNUMBER(F651),ISNUMBER(G651)),IF(ABS(D651-E651)=ABS(F651-G651),12,0),"")</f>
        <v>0</v>
      </c>
      <c r="L651" s="23" t="n">
        <f aca="false">IF(ISNUMBER(H651),H651+I651+J651+K651,"")</f>
        <v>63</v>
      </c>
    </row>
    <row r="652" customFormat="false" ht="18" hidden="false" customHeight="true" outlineLevel="0" collapsed="false">
      <c r="A652" s="25" t="s">
        <v>9</v>
      </c>
      <c r="B652" s="26" t="s">
        <v>157</v>
      </c>
      <c r="C652" s="27" t="s">
        <v>17</v>
      </c>
      <c r="D652" s="28" t="n">
        <v>2</v>
      </c>
      <c r="E652" s="28" t="n">
        <v>1</v>
      </c>
      <c r="F652" s="29" t="n">
        <f aca="false">'📋 Matches'!E4</f>
        <v>1</v>
      </c>
      <c r="G652" s="29" t="n">
        <f aca="false">'📋 Matches'!F4</f>
        <v>1</v>
      </c>
      <c r="H652" s="22" t="n">
        <f aca="false">IF(AND(ISNUMBER(F652),ISNUMBER(G652)),IF(SIGN(D652-E652)=SIGN(F652-G652),48,0),"")</f>
        <v>0</v>
      </c>
      <c r="I652" s="22" t="n">
        <f aca="false">IF(AND(ISNUMBER(F652),ISNUMBER(G652)),IF(D652=F652,15,0),"")</f>
        <v>0</v>
      </c>
      <c r="J652" s="22" t="n">
        <f aca="false">IF(AND(ISNUMBER(F652),ISNUMBER(G652)),IF(E652=G652,15,0),"")</f>
        <v>15</v>
      </c>
      <c r="K652" s="22" t="n">
        <f aca="false">IF(AND(ISNUMBER(F652),ISNUMBER(G652)),IF(ABS(D652-E652)=ABS(F652-G652),12,0),"")</f>
        <v>0</v>
      </c>
      <c r="L652" s="23" t="n">
        <f aca="false">IF(ISNUMBER(H652),H652+I652+J652+K652,"")</f>
        <v>15</v>
      </c>
    </row>
    <row r="653" customFormat="false" ht="18" hidden="false" customHeight="true" outlineLevel="0" collapsed="false">
      <c r="A653" s="25" t="s">
        <v>9</v>
      </c>
      <c r="B653" s="26" t="s">
        <v>157</v>
      </c>
      <c r="C653" s="27" t="s">
        <v>20</v>
      </c>
      <c r="D653" s="28" t="n">
        <v>1</v>
      </c>
      <c r="E653" s="28" t="n">
        <v>1</v>
      </c>
      <c r="F653" s="29" t="n">
        <f aca="false">'📋 Matches'!E5</f>
        <v>4</v>
      </c>
      <c r="G653" s="29" t="n">
        <f aca="false">'📋 Matches'!F5</f>
        <v>1</v>
      </c>
      <c r="H653" s="22" t="n">
        <f aca="false">IF(AND(ISNUMBER(F653),ISNUMBER(G653)),IF(SIGN(D653-E653)=SIGN(F653-G653),48,0),"")</f>
        <v>0</v>
      </c>
      <c r="I653" s="22" t="n">
        <f aca="false">IF(AND(ISNUMBER(F653),ISNUMBER(G653)),IF(D653=F653,15,0),"")</f>
        <v>0</v>
      </c>
      <c r="J653" s="22" t="n">
        <f aca="false">IF(AND(ISNUMBER(F653),ISNUMBER(G653)),IF(E653=G653,15,0),"")</f>
        <v>15</v>
      </c>
      <c r="K653" s="22" t="n">
        <f aca="false">IF(AND(ISNUMBER(F653),ISNUMBER(G653)),IF(ABS(D653-E653)=ABS(F653-G653),12,0),"")</f>
        <v>0</v>
      </c>
      <c r="L653" s="23" t="n">
        <f aca="false">IF(ISNUMBER(H653),H653+I653+J653+K653,"")</f>
        <v>15</v>
      </c>
    </row>
    <row r="654" customFormat="false" ht="18" hidden="false" customHeight="true" outlineLevel="0" collapsed="false">
      <c r="A654" s="25" t="s">
        <v>9</v>
      </c>
      <c r="B654" s="26" t="s">
        <v>157</v>
      </c>
      <c r="C654" s="27" t="s">
        <v>23</v>
      </c>
      <c r="D654" s="28" t="n">
        <v>0</v>
      </c>
      <c r="E654" s="28" t="n">
        <v>3</v>
      </c>
      <c r="F654" s="29" t="n">
        <f aca="false">'📋 Matches'!E6</f>
        <v>0</v>
      </c>
      <c r="G654" s="29" t="n">
        <f aca="false">'📋 Matches'!F6</f>
        <v>0</v>
      </c>
      <c r="H654" s="22" t="str">
        <f aca="false">IF(AND(ISNUMBER(F654),ISNUMBER(G654)),IF(SIGN(D654-E654)=SIGN(F654-G654),48,0),"")</f>
        <v/>
      </c>
      <c r="I654" s="22" t="str">
        <f aca="false">IF(AND(ISNUMBER(F654),ISNUMBER(G654)),IF(D654=F654,15,0),"")</f>
        <v/>
      </c>
      <c r="J654" s="22" t="str">
        <f aca="false">IF(AND(ISNUMBER(F654),ISNUMBER(G654)),IF(E654=G654,15,0),"")</f>
        <v/>
      </c>
      <c r="K654" s="22" t="str">
        <f aca="false">IF(AND(ISNUMBER(F654),ISNUMBER(G654)),IF(ABS(D654-E654)=ABS(F654-G654),12,0),"")</f>
        <v/>
      </c>
      <c r="L654" s="23" t="str">
        <f aca="false">IF(ISNUMBER(H654),H654+I654+J654+K654,"")</f>
        <v/>
      </c>
    </row>
    <row r="655" customFormat="false" ht="18" hidden="false" customHeight="true" outlineLevel="0" collapsed="false">
      <c r="A655" s="25" t="s">
        <v>9</v>
      </c>
      <c r="B655" s="26" t="s">
        <v>157</v>
      </c>
      <c r="C655" s="27" t="s">
        <v>27</v>
      </c>
      <c r="D655" s="28" t="n">
        <v>4</v>
      </c>
      <c r="E655" s="28" t="n">
        <v>2</v>
      </c>
      <c r="F655" s="29" t="n">
        <f aca="false">'📋 Matches'!E7</f>
        <v>0</v>
      </c>
      <c r="G655" s="29" t="n">
        <f aca="false">'📋 Matches'!F7</f>
        <v>0</v>
      </c>
      <c r="H655" s="22" t="str">
        <f aca="false">IF(AND(ISNUMBER(F655),ISNUMBER(G655)),IF(SIGN(D655-E655)=SIGN(F655-G655),48,0),"")</f>
        <v/>
      </c>
      <c r="I655" s="22" t="str">
        <f aca="false">IF(AND(ISNUMBER(F655),ISNUMBER(G655)),IF(D655=F655,15,0),"")</f>
        <v/>
      </c>
      <c r="J655" s="22" t="str">
        <f aca="false">IF(AND(ISNUMBER(F655),ISNUMBER(G655)),IF(E655=G655,15,0),"")</f>
        <v/>
      </c>
      <c r="K655" s="22" t="str">
        <f aca="false">IF(AND(ISNUMBER(F655),ISNUMBER(G655)),IF(ABS(D655-E655)=ABS(F655-G655),12,0),"")</f>
        <v/>
      </c>
      <c r="L655" s="23" t="str">
        <f aca="false">IF(ISNUMBER(H655),H655+I655+J655+K655,"")</f>
        <v/>
      </c>
    </row>
    <row r="656" customFormat="false" ht="18" hidden="false" customHeight="true" outlineLevel="0" collapsed="false">
      <c r="A656" s="25" t="s">
        <v>9</v>
      </c>
      <c r="B656" s="26" t="s">
        <v>157</v>
      </c>
      <c r="C656" s="27" t="s">
        <v>30</v>
      </c>
      <c r="D656" s="28" t="n">
        <v>0</v>
      </c>
      <c r="E656" s="28" t="n">
        <v>2</v>
      </c>
      <c r="F656" s="29" t="n">
        <f aca="false">'📋 Matches'!E8</f>
        <v>0</v>
      </c>
      <c r="G656" s="29" t="n">
        <f aca="false">'📋 Matches'!F8</f>
        <v>0</v>
      </c>
      <c r="H656" s="22" t="str">
        <f aca="false">IF(AND(ISNUMBER(F656),ISNUMBER(G656)),IF(SIGN(D656-E656)=SIGN(F656-G656),48,0),"")</f>
        <v/>
      </c>
      <c r="I656" s="22" t="str">
        <f aca="false">IF(AND(ISNUMBER(F656),ISNUMBER(G656)),IF(D656=F656,15,0),"")</f>
        <v/>
      </c>
      <c r="J656" s="22" t="str">
        <f aca="false">IF(AND(ISNUMBER(F656),ISNUMBER(G656)),IF(E656=G656,15,0),"")</f>
        <v/>
      </c>
      <c r="K656" s="22" t="str">
        <f aca="false">IF(AND(ISNUMBER(F656),ISNUMBER(G656)),IF(ABS(D656-E656)=ABS(F656-G656),12,0),"")</f>
        <v/>
      </c>
      <c r="L656" s="23" t="str">
        <f aca="false">IF(ISNUMBER(H656),H656+I656+J656+K656,"")</f>
        <v/>
      </c>
    </row>
    <row r="657" customFormat="false" ht="18" hidden="false" customHeight="true" outlineLevel="0" collapsed="false">
      <c r="A657" s="25" t="s">
        <v>9</v>
      </c>
      <c r="B657" s="26" t="s">
        <v>157</v>
      </c>
      <c r="C657" s="27" t="s">
        <v>33</v>
      </c>
      <c r="D657" s="28" t="n">
        <v>1</v>
      </c>
      <c r="E657" s="28" t="n">
        <v>3</v>
      </c>
      <c r="F657" s="29" t="n">
        <f aca="false">'📋 Matches'!E9</f>
        <v>0</v>
      </c>
      <c r="G657" s="29" t="n">
        <f aca="false">'📋 Matches'!F9</f>
        <v>0</v>
      </c>
      <c r="H657" s="22" t="str">
        <f aca="false">IF(AND(ISNUMBER(F657),ISNUMBER(G657)),IF(SIGN(D657-E657)=SIGN(F657-G657),48,0),"")</f>
        <v/>
      </c>
      <c r="I657" s="22" t="str">
        <f aca="false">IF(AND(ISNUMBER(F657),ISNUMBER(G657)),IF(D657=F657,15,0),"")</f>
        <v/>
      </c>
      <c r="J657" s="22" t="str">
        <f aca="false">IF(AND(ISNUMBER(F657),ISNUMBER(G657)),IF(E657=G657,15,0),"")</f>
        <v/>
      </c>
      <c r="K657" s="22" t="str">
        <f aca="false">IF(AND(ISNUMBER(F657),ISNUMBER(G657)),IF(ABS(D657-E657)=ABS(F657-G657),12,0),"")</f>
        <v/>
      </c>
      <c r="L657" s="23" t="str">
        <f aca="false">IF(ISNUMBER(H657),H657+I657+J657+K657,"")</f>
        <v/>
      </c>
    </row>
    <row r="658" customFormat="false" ht="18" hidden="false" customHeight="true" outlineLevel="0" collapsed="false">
      <c r="A658" s="25" t="s">
        <v>9</v>
      </c>
      <c r="B658" s="26" t="s">
        <v>157</v>
      </c>
      <c r="C658" s="27" t="s">
        <v>36</v>
      </c>
      <c r="D658" s="28" t="n">
        <v>4</v>
      </c>
      <c r="E658" s="28" t="n">
        <v>0</v>
      </c>
      <c r="F658" s="29" t="n">
        <f aca="false">'📋 Matches'!E10</f>
        <v>0</v>
      </c>
      <c r="G658" s="29" t="n">
        <f aca="false">'📋 Matches'!F10</f>
        <v>0</v>
      </c>
      <c r="H658" s="22" t="str">
        <f aca="false">IF(AND(ISNUMBER(F658),ISNUMBER(G658)),IF(SIGN(D658-E658)=SIGN(F658-G658),48,0),"")</f>
        <v/>
      </c>
      <c r="I658" s="22" t="str">
        <f aca="false">IF(AND(ISNUMBER(F658),ISNUMBER(G658)),IF(D658=F658,15,0),"")</f>
        <v/>
      </c>
      <c r="J658" s="22" t="str">
        <f aca="false">IF(AND(ISNUMBER(F658),ISNUMBER(G658)),IF(E658=G658,15,0),"")</f>
        <v/>
      </c>
      <c r="K658" s="22" t="str">
        <f aca="false">IF(AND(ISNUMBER(F658),ISNUMBER(G658)),IF(ABS(D658-E658)=ABS(F658-G658),12,0),"")</f>
        <v/>
      </c>
      <c r="L658" s="23" t="str">
        <f aca="false">IF(ISNUMBER(H658),H658+I658+J658+K658,"")</f>
        <v/>
      </c>
    </row>
    <row r="659" customFormat="false" ht="18" hidden="false" customHeight="true" outlineLevel="0" collapsed="false">
      <c r="A659" s="25" t="s">
        <v>9</v>
      </c>
      <c r="B659" s="26" t="s">
        <v>157</v>
      </c>
      <c r="C659" s="27" t="s">
        <v>39</v>
      </c>
      <c r="D659" s="28" t="n">
        <v>3</v>
      </c>
      <c r="E659" s="28" t="n">
        <v>1</v>
      </c>
      <c r="F659" s="29" t="n">
        <f aca="false">'📋 Matches'!E11</f>
        <v>0</v>
      </c>
      <c r="G659" s="29" t="n">
        <f aca="false">'📋 Matches'!F11</f>
        <v>0</v>
      </c>
      <c r="H659" s="22" t="str">
        <f aca="false">IF(AND(ISNUMBER(F659),ISNUMBER(G659)),IF(SIGN(D659-E659)=SIGN(F659-G659),48,0),"")</f>
        <v/>
      </c>
      <c r="I659" s="22" t="str">
        <f aca="false">IF(AND(ISNUMBER(F659),ISNUMBER(G659)),IF(D659=F659,15,0),"")</f>
        <v/>
      </c>
      <c r="J659" s="22" t="str">
        <f aca="false">IF(AND(ISNUMBER(F659),ISNUMBER(G659)),IF(E659=G659,15,0),"")</f>
        <v/>
      </c>
      <c r="K659" s="22" t="str">
        <f aca="false">IF(AND(ISNUMBER(F659),ISNUMBER(G659)),IF(ABS(D659-E659)=ABS(F659-G659),12,0),"")</f>
        <v/>
      </c>
      <c r="L659" s="23" t="str">
        <f aca="false">IF(ISNUMBER(H659),H659+I659+J659+K659,"")</f>
        <v/>
      </c>
    </row>
    <row r="660" customFormat="false" ht="18" hidden="false" customHeight="true" outlineLevel="0" collapsed="false">
      <c r="A660" s="25" t="s">
        <v>9</v>
      </c>
      <c r="B660" s="26" t="s">
        <v>157</v>
      </c>
      <c r="C660" s="27" t="s">
        <v>42</v>
      </c>
      <c r="D660" s="28" t="n">
        <v>0</v>
      </c>
      <c r="E660" s="28" t="n">
        <v>2</v>
      </c>
      <c r="F660" s="29" t="n">
        <f aca="false">'📋 Matches'!E12</f>
        <v>0</v>
      </c>
      <c r="G660" s="29" t="n">
        <f aca="false">'📋 Matches'!F12</f>
        <v>0</v>
      </c>
      <c r="H660" s="22" t="str">
        <f aca="false">IF(AND(ISNUMBER(F660),ISNUMBER(G660)),IF(SIGN(D660-E660)=SIGN(F660-G660),48,0),"")</f>
        <v/>
      </c>
      <c r="I660" s="22" t="str">
        <f aca="false">IF(AND(ISNUMBER(F660),ISNUMBER(G660)),IF(D660=F660,15,0),"")</f>
        <v/>
      </c>
      <c r="J660" s="22" t="str">
        <f aca="false">IF(AND(ISNUMBER(F660),ISNUMBER(G660)),IF(E660=G660,15,0),"")</f>
        <v/>
      </c>
      <c r="K660" s="22" t="str">
        <f aca="false">IF(AND(ISNUMBER(F660),ISNUMBER(G660)),IF(ABS(D660-E660)=ABS(F660-G660),12,0),"")</f>
        <v/>
      </c>
      <c r="L660" s="23" t="str">
        <f aca="false">IF(ISNUMBER(H660),H660+I660+J660+K660,"")</f>
        <v/>
      </c>
    </row>
    <row r="661" customFormat="false" ht="18" hidden="false" customHeight="true" outlineLevel="0" collapsed="false">
      <c r="A661" s="25" t="s">
        <v>9</v>
      </c>
      <c r="B661" s="26" t="s">
        <v>157</v>
      </c>
      <c r="C661" s="27" t="s">
        <v>45</v>
      </c>
      <c r="D661" s="28" t="n">
        <v>2</v>
      </c>
      <c r="E661" s="28" t="n">
        <v>0</v>
      </c>
      <c r="F661" s="29" t="n">
        <f aca="false">'📋 Matches'!E13</f>
        <v>0</v>
      </c>
      <c r="G661" s="29" t="n">
        <f aca="false">'📋 Matches'!F13</f>
        <v>0</v>
      </c>
      <c r="H661" s="22" t="str">
        <f aca="false">IF(AND(ISNUMBER(F661),ISNUMBER(G661)),IF(SIGN(D661-E661)=SIGN(F661-G661),48,0),"")</f>
        <v/>
      </c>
      <c r="I661" s="22" t="str">
        <f aca="false">IF(AND(ISNUMBER(F661),ISNUMBER(G661)),IF(D661=F661,15,0),"")</f>
        <v/>
      </c>
      <c r="J661" s="22" t="str">
        <f aca="false">IF(AND(ISNUMBER(F661),ISNUMBER(G661)),IF(E661=G661,15,0),"")</f>
        <v/>
      </c>
      <c r="K661" s="22" t="str">
        <f aca="false">IF(AND(ISNUMBER(F661),ISNUMBER(G661)),IF(ABS(D661-E661)=ABS(F661-G661),12,0),"")</f>
        <v/>
      </c>
      <c r="L661" s="23" t="str">
        <f aca="false">IF(ISNUMBER(H661),H661+I661+J661+K661,"")</f>
        <v/>
      </c>
    </row>
    <row r="662" customFormat="false" ht="18" hidden="false" customHeight="true" outlineLevel="0" collapsed="false">
      <c r="A662" s="25" t="s">
        <v>9</v>
      </c>
      <c r="B662" s="26" t="s">
        <v>157</v>
      </c>
      <c r="C662" s="27" t="s">
        <v>48</v>
      </c>
      <c r="D662" s="28" t="n">
        <v>4</v>
      </c>
      <c r="E662" s="28" t="n">
        <v>0</v>
      </c>
      <c r="F662" s="29" t="n">
        <f aca="false">'📋 Matches'!E14</f>
        <v>0</v>
      </c>
      <c r="G662" s="29" t="n">
        <f aca="false">'📋 Matches'!F14</f>
        <v>0</v>
      </c>
      <c r="H662" s="22" t="str">
        <f aca="false">IF(AND(ISNUMBER(F662),ISNUMBER(G662)),IF(SIGN(D662-E662)=SIGN(F662-G662),48,0),"")</f>
        <v/>
      </c>
      <c r="I662" s="22" t="str">
        <f aca="false">IF(AND(ISNUMBER(F662),ISNUMBER(G662)),IF(D662=F662,15,0),"")</f>
        <v/>
      </c>
      <c r="J662" s="22" t="str">
        <f aca="false">IF(AND(ISNUMBER(F662),ISNUMBER(G662)),IF(E662=G662,15,0),"")</f>
        <v/>
      </c>
      <c r="K662" s="22" t="str">
        <f aca="false">IF(AND(ISNUMBER(F662),ISNUMBER(G662)),IF(ABS(D662-E662)=ABS(F662-G662),12,0),"")</f>
        <v/>
      </c>
      <c r="L662" s="23" t="str">
        <f aca="false">IF(ISNUMBER(H662),H662+I662+J662+K662,"")</f>
        <v/>
      </c>
    </row>
    <row r="663" customFormat="false" ht="18" hidden="false" customHeight="true" outlineLevel="0" collapsed="false">
      <c r="A663" s="25" t="s">
        <v>9</v>
      </c>
      <c r="B663" s="26" t="s">
        <v>157</v>
      </c>
      <c r="C663" s="27" t="s">
        <v>51</v>
      </c>
      <c r="D663" s="28" t="n">
        <v>3</v>
      </c>
      <c r="E663" s="28" t="n">
        <v>1</v>
      </c>
      <c r="F663" s="29" t="n">
        <f aca="false">'📋 Matches'!E15</f>
        <v>0</v>
      </c>
      <c r="G663" s="29" t="n">
        <f aca="false">'📋 Matches'!F15</f>
        <v>0</v>
      </c>
      <c r="H663" s="22" t="str">
        <f aca="false">IF(AND(ISNUMBER(F663),ISNUMBER(G663)),IF(SIGN(D663-E663)=SIGN(F663-G663),48,0),"")</f>
        <v/>
      </c>
      <c r="I663" s="22" t="str">
        <f aca="false">IF(AND(ISNUMBER(F663),ISNUMBER(G663)),IF(D663=F663,15,0),"")</f>
        <v/>
      </c>
      <c r="J663" s="22" t="str">
        <f aca="false">IF(AND(ISNUMBER(F663),ISNUMBER(G663)),IF(E663=G663,15,0),"")</f>
        <v/>
      </c>
      <c r="K663" s="22" t="str">
        <f aca="false">IF(AND(ISNUMBER(F663),ISNUMBER(G663)),IF(ABS(D663-E663)=ABS(F663-G663),12,0),"")</f>
        <v/>
      </c>
      <c r="L663" s="23" t="str">
        <f aca="false">IF(ISNUMBER(H663),H663+I663+J663+K663,"")</f>
        <v/>
      </c>
    </row>
    <row r="664" customFormat="false" ht="18" hidden="false" customHeight="true" outlineLevel="0" collapsed="false">
      <c r="A664" s="25" t="s">
        <v>9</v>
      </c>
      <c r="B664" s="26" t="s">
        <v>157</v>
      </c>
      <c r="C664" s="27" t="s">
        <v>54</v>
      </c>
      <c r="D664" s="28" t="n">
        <v>4</v>
      </c>
      <c r="E664" s="28" t="n">
        <v>0</v>
      </c>
      <c r="F664" s="29" t="n">
        <f aca="false">'📋 Matches'!E16</f>
        <v>0</v>
      </c>
      <c r="G664" s="29" t="n">
        <f aca="false">'📋 Matches'!F16</f>
        <v>0</v>
      </c>
      <c r="H664" s="22" t="str">
        <f aca="false">IF(AND(ISNUMBER(F664),ISNUMBER(G664)),IF(SIGN(D664-E664)=SIGN(F664-G664),48,0),"")</f>
        <v/>
      </c>
      <c r="I664" s="22" t="str">
        <f aca="false">IF(AND(ISNUMBER(F664),ISNUMBER(G664)),IF(D664=F664,15,0),"")</f>
        <v/>
      </c>
      <c r="J664" s="22" t="str">
        <f aca="false">IF(AND(ISNUMBER(F664),ISNUMBER(G664)),IF(E664=G664,15,0),"")</f>
        <v/>
      </c>
      <c r="K664" s="22" t="str">
        <f aca="false">IF(AND(ISNUMBER(F664),ISNUMBER(G664)),IF(ABS(D664-E664)=ABS(F664-G664),12,0),"")</f>
        <v/>
      </c>
      <c r="L664" s="23" t="str">
        <f aca="false">IF(ISNUMBER(H664),H664+I664+J664+K664,"")</f>
        <v/>
      </c>
    </row>
    <row r="665" customFormat="false" ht="18" hidden="false" customHeight="true" outlineLevel="0" collapsed="false">
      <c r="A665" s="25" t="s">
        <v>9</v>
      </c>
      <c r="B665" s="26" t="s">
        <v>157</v>
      </c>
      <c r="C665" s="27" t="s">
        <v>57</v>
      </c>
      <c r="D665" s="28" t="n">
        <v>1</v>
      </c>
      <c r="E665" s="28" t="n">
        <v>1</v>
      </c>
      <c r="F665" s="29" t="n">
        <f aca="false">'📋 Matches'!E17</f>
        <v>0</v>
      </c>
      <c r="G665" s="29" t="n">
        <f aca="false">'📋 Matches'!F17</f>
        <v>0</v>
      </c>
      <c r="H665" s="22" t="str">
        <f aca="false">IF(AND(ISNUMBER(F665),ISNUMBER(G665)),IF(SIGN(D665-E665)=SIGN(F665-G665),48,0),"")</f>
        <v/>
      </c>
      <c r="I665" s="22" t="str">
        <f aca="false">IF(AND(ISNUMBER(F665),ISNUMBER(G665)),IF(D665=F665,15,0),"")</f>
        <v/>
      </c>
      <c r="J665" s="22" t="str">
        <f aca="false">IF(AND(ISNUMBER(F665),ISNUMBER(G665)),IF(E665=G665,15,0),"")</f>
        <v/>
      </c>
      <c r="K665" s="22" t="str">
        <f aca="false">IF(AND(ISNUMBER(F665),ISNUMBER(G665)),IF(ABS(D665-E665)=ABS(F665-G665),12,0),"")</f>
        <v/>
      </c>
      <c r="L665" s="23" t="str">
        <f aca="false">IF(ISNUMBER(H665),H665+I665+J665+K665,"")</f>
        <v/>
      </c>
    </row>
    <row r="666" customFormat="false" ht="18" hidden="false" customHeight="true" outlineLevel="0" collapsed="false">
      <c r="A666" s="25" t="s">
        <v>9</v>
      </c>
      <c r="B666" s="26" t="s">
        <v>157</v>
      </c>
      <c r="C666" s="27" t="s">
        <v>60</v>
      </c>
      <c r="D666" s="28" t="n">
        <v>4</v>
      </c>
      <c r="E666" s="28" t="n">
        <v>1</v>
      </c>
      <c r="F666" s="29" t="n">
        <f aca="false">'📋 Matches'!E18</f>
        <v>0</v>
      </c>
      <c r="G666" s="29" t="n">
        <f aca="false">'📋 Matches'!F18</f>
        <v>0</v>
      </c>
      <c r="H666" s="22" t="str">
        <f aca="false">IF(AND(ISNUMBER(F666),ISNUMBER(G666)),IF(SIGN(D666-E666)=SIGN(F666-G666),48,0),"")</f>
        <v/>
      </c>
      <c r="I666" s="22" t="str">
        <f aca="false">IF(AND(ISNUMBER(F666),ISNUMBER(G666)),IF(D666=F666,15,0),"")</f>
        <v/>
      </c>
      <c r="J666" s="22" t="str">
        <f aca="false">IF(AND(ISNUMBER(F666),ISNUMBER(G666)),IF(E666=G666,15,0),"")</f>
        <v/>
      </c>
      <c r="K666" s="22" t="str">
        <f aca="false">IF(AND(ISNUMBER(F666),ISNUMBER(G666)),IF(ABS(D666-E666)=ABS(F666-G666),12,0),"")</f>
        <v/>
      </c>
      <c r="L666" s="23" t="str">
        <f aca="false">IF(ISNUMBER(H666),H666+I666+J666+K666,"")</f>
        <v/>
      </c>
    </row>
    <row r="667" customFormat="false" ht="18" hidden="false" customHeight="true" outlineLevel="0" collapsed="false">
      <c r="A667" s="25" t="s">
        <v>9</v>
      </c>
      <c r="B667" s="26" t="s">
        <v>157</v>
      </c>
      <c r="C667" s="27" t="s">
        <v>63</v>
      </c>
      <c r="D667" s="28" t="n">
        <v>0</v>
      </c>
      <c r="E667" s="28" t="n">
        <v>3</v>
      </c>
      <c r="F667" s="29" t="n">
        <f aca="false">'📋 Matches'!E19</f>
        <v>0</v>
      </c>
      <c r="G667" s="29" t="n">
        <f aca="false">'📋 Matches'!F19</f>
        <v>0</v>
      </c>
      <c r="H667" s="22" t="str">
        <f aca="false">IF(AND(ISNUMBER(F667),ISNUMBER(G667)),IF(SIGN(D667-E667)=SIGN(F667-G667),48,0),"")</f>
        <v/>
      </c>
      <c r="I667" s="22" t="str">
        <f aca="false">IF(AND(ISNUMBER(F667),ISNUMBER(G667)),IF(D667=F667,15,0),"")</f>
        <v/>
      </c>
      <c r="J667" s="22" t="str">
        <f aca="false">IF(AND(ISNUMBER(F667),ISNUMBER(G667)),IF(E667=G667,15,0),"")</f>
        <v/>
      </c>
      <c r="K667" s="22" t="str">
        <f aca="false">IF(AND(ISNUMBER(F667),ISNUMBER(G667)),IF(ABS(D667-E667)=ABS(F667-G667),12,0),"")</f>
        <v/>
      </c>
      <c r="L667" s="23" t="str">
        <f aca="false">IF(ISNUMBER(H667),H667+I667+J667+K667,"")</f>
        <v/>
      </c>
    </row>
    <row r="668" customFormat="false" ht="18" hidden="false" customHeight="true" outlineLevel="0" collapsed="false">
      <c r="A668" s="25" t="s">
        <v>9</v>
      </c>
      <c r="B668" s="26" t="s">
        <v>157</v>
      </c>
      <c r="C668" s="27" t="s">
        <v>66</v>
      </c>
      <c r="D668" s="28" t="n">
        <v>3</v>
      </c>
      <c r="E668" s="28" t="n">
        <v>0</v>
      </c>
      <c r="F668" s="29" t="n">
        <f aca="false">'📋 Matches'!E20</f>
        <v>0</v>
      </c>
      <c r="G668" s="29" t="n">
        <f aca="false">'📋 Matches'!F20</f>
        <v>0</v>
      </c>
      <c r="H668" s="22" t="str">
        <f aca="false">IF(AND(ISNUMBER(F668),ISNUMBER(G668)),IF(SIGN(D668-E668)=SIGN(F668-G668),48,0),"")</f>
        <v/>
      </c>
      <c r="I668" s="22" t="str">
        <f aca="false">IF(AND(ISNUMBER(F668),ISNUMBER(G668)),IF(D668=F668,15,0),"")</f>
        <v/>
      </c>
      <c r="J668" s="22" t="str">
        <f aca="false">IF(AND(ISNUMBER(F668),ISNUMBER(G668)),IF(E668=G668,15,0),"")</f>
        <v/>
      </c>
      <c r="K668" s="22" t="str">
        <f aca="false">IF(AND(ISNUMBER(F668),ISNUMBER(G668)),IF(ABS(D668-E668)=ABS(F668-G668),12,0),"")</f>
        <v/>
      </c>
      <c r="L668" s="23" t="str">
        <f aca="false">IF(ISNUMBER(H668),H668+I668+J668+K668,"")</f>
        <v/>
      </c>
    </row>
    <row r="669" customFormat="false" ht="18" hidden="false" customHeight="true" outlineLevel="0" collapsed="false">
      <c r="A669" s="25" t="s">
        <v>9</v>
      </c>
      <c r="B669" s="26" t="s">
        <v>157</v>
      </c>
      <c r="C669" s="27" t="s">
        <v>69</v>
      </c>
      <c r="D669" s="28" t="n">
        <v>3</v>
      </c>
      <c r="E669" s="28" t="n">
        <v>0</v>
      </c>
      <c r="F669" s="29" t="n">
        <f aca="false">'📋 Matches'!E21</f>
        <v>0</v>
      </c>
      <c r="G669" s="29" t="n">
        <f aca="false">'📋 Matches'!F21</f>
        <v>0</v>
      </c>
      <c r="H669" s="22" t="str">
        <f aca="false">IF(AND(ISNUMBER(F669),ISNUMBER(G669)),IF(SIGN(D669-E669)=SIGN(F669-G669),48,0),"")</f>
        <v/>
      </c>
      <c r="I669" s="22" t="str">
        <f aca="false">IF(AND(ISNUMBER(F669),ISNUMBER(G669)),IF(D669=F669,15,0),"")</f>
        <v/>
      </c>
      <c r="J669" s="22" t="str">
        <f aca="false">IF(AND(ISNUMBER(F669),ISNUMBER(G669)),IF(E669=G669,15,0),"")</f>
        <v/>
      </c>
      <c r="K669" s="22" t="str">
        <f aca="false">IF(AND(ISNUMBER(F669),ISNUMBER(G669)),IF(ABS(D669-E669)=ABS(F669-G669),12,0),"")</f>
        <v/>
      </c>
      <c r="L669" s="23" t="str">
        <f aca="false">IF(ISNUMBER(H669),H669+I669+J669+K669,"")</f>
        <v/>
      </c>
    </row>
    <row r="670" customFormat="false" ht="18" hidden="false" customHeight="true" outlineLevel="0" collapsed="false">
      <c r="A670" s="25" t="s">
        <v>9</v>
      </c>
      <c r="B670" s="26" t="s">
        <v>157</v>
      </c>
      <c r="C670" s="27" t="s">
        <v>72</v>
      </c>
      <c r="D670" s="28" t="n">
        <v>3</v>
      </c>
      <c r="E670" s="28" t="n">
        <v>0</v>
      </c>
      <c r="F670" s="29" t="n">
        <f aca="false">'📋 Matches'!E22</f>
        <v>0</v>
      </c>
      <c r="G670" s="29" t="n">
        <f aca="false">'📋 Matches'!F22</f>
        <v>0</v>
      </c>
      <c r="H670" s="22" t="str">
        <f aca="false">IF(AND(ISNUMBER(F670),ISNUMBER(G670)),IF(SIGN(D670-E670)=SIGN(F670-G670),48,0),"")</f>
        <v/>
      </c>
      <c r="I670" s="22" t="str">
        <f aca="false">IF(AND(ISNUMBER(F670),ISNUMBER(G670)),IF(D670=F670,15,0),"")</f>
        <v/>
      </c>
      <c r="J670" s="22" t="str">
        <f aca="false">IF(AND(ISNUMBER(F670),ISNUMBER(G670)),IF(E670=G670,15,0),"")</f>
        <v/>
      </c>
      <c r="K670" s="22" t="str">
        <f aca="false">IF(AND(ISNUMBER(F670),ISNUMBER(G670)),IF(ABS(D670-E670)=ABS(F670-G670),12,0),"")</f>
        <v/>
      </c>
      <c r="L670" s="23" t="str">
        <f aca="false">IF(ISNUMBER(H670),H670+I670+J670+K670,"")</f>
        <v/>
      </c>
    </row>
    <row r="671" customFormat="false" ht="18" hidden="false" customHeight="true" outlineLevel="0" collapsed="false">
      <c r="A671" s="25" t="s">
        <v>9</v>
      </c>
      <c r="B671" s="26" t="s">
        <v>157</v>
      </c>
      <c r="C671" s="27" t="s">
        <v>75</v>
      </c>
      <c r="D671" s="28" t="n">
        <v>2</v>
      </c>
      <c r="E671" s="28" t="n">
        <v>0</v>
      </c>
      <c r="F671" s="29" t="n">
        <f aca="false">'📋 Matches'!E23</f>
        <v>0</v>
      </c>
      <c r="G671" s="29" t="n">
        <f aca="false">'📋 Matches'!F23</f>
        <v>0</v>
      </c>
      <c r="H671" s="22" t="str">
        <f aca="false">IF(AND(ISNUMBER(F671),ISNUMBER(G671)),IF(SIGN(D671-E671)=SIGN(F671-G671),48,0),"")</f>
        <v/>
      </c>
      <c r="I671" s="22" t="str">
        <f aca="false">IF(AND(ISNUMBER(F671),ISNUMBER(G671)),IF(D671=F671,15,0),"")</f>
        <v/>
      </c>
      <c r="J671" s="22" t="str">
        <f aca="false">IF(AND(ISNUMBER(F671),ISNUMBER(G671)),IF(E671=G671,15,0),"")</f>
        <v/>
      </c>
      <c r="K671" s="22" t="str">
        <f aca="false">IF(AND(ISNUMBER(F671),ISNUMBER(G671)),IF(ABS(D671-E671)=ABS(F671-G671),12,0),"")</f>
        <v/>
      </c>
      <c r="L671" s="23" t="str">
        <f aca="false">IF(ISNUMBER(H671),H671+I671+J671+K671,"")</f>
        <v/>
      </c>
    </row>
    <row r="672" customFormat="false" ht="18" hidden="false" customHeight="true" outlineLevel="0" collapsed="false">
      <c r="A672" s="25" t="s">
        <v>9</v>
      </c>
      <c r="B672" s="26" t="s">
        <v>157</v>
      </c>
      <c r="C672" s="27" t="s">
        <v>78</v>
      </c>
      <c r="D672" s="28" t="n">
        <v>2</v>
      </c>
      <c r="E672" s="28" t="n">
        <v>1</v>
      </c>
      <c r="F672" s="29" t="n">
        <f aca="false">'📋 Matches'!E24</f>
        <v>0</v>
      </c>
      <c r="G672" s="29" t="n">
        <f aca="false">'📋 Matches'!F24</f>
        <v>0</v>
      </c>
      <c r="H672" s="22" t="str">
        <f aca="false">IF(AND(ISNUMBER(F672),ISNUMBER(G672)),IF(SIGN(D672-E672)=SIGN(F672-G672),48,0),"")</f>
        <v/>
      </c>
      <c r="I672" s="22" t="str">
        <f aca="false">IF(AND(ISNUMBER(F672),ISNUMBER(G672)),IF(D672=F672,15,0),"")</f>
        <v/>
      </c>
      <c r="J672" s="22" t="str">
        <f aca="false">IF(AND(ISNUMBER(F672),ISNUMBER(G672)),IF(E672=G672,15,0),"")</f>
        <v/>
      </c>
      <c r="K672" s="22" t="str">
        <f aca="false">IF(AND(ISNUMBER(F672),ISNUMBER(G672)),IF(ABS(D672-E672)=ABS(F672-G672),12,0),"")</f>
        <v/>
      </c>
      <c r="L672" s="23" t="str">
        <f aca="false">IF(ISNUMBER(H672),H672+I672+J672+K672,"")</f>
        <v/>
      </c>
    </row>
    <row r="673" customFormat="false" ht="18" hidden="false" customHeight="true" outlineLevel="0" collapsed="false">
      <c r="A673" s="25" t="s">
        <v>9</v>
      </c>
      <c r="B673" s="26" t="s">
        <v>157</v>
      </c>
      <c r="C673" s="27" t="s">
        <v>81</v>
      </c>
      <c r="D673" s="28" t="n">
        <v>0</v>
      </c>
      <c r="E673" s="28" t="n">
        <v>2</v>
      </c>
      <c r="F673" s="29" t="n">
        <f aca="false">'📋 Matches'!E25</f>
        <v>0</v>
      </c>
      <c r="G673" s="29" t="n">
        <f aca="false">'📋 Matches'!F25</f>
        <v>0</v>
      </c>
      <c r="H673" s="22" t="str">
        <f aca="false">IF(AND(ISNUMBER(F673),ISNUMBER(G673)),IF(SIGN(D673-E673)=SIGN(F673-G673),48,0),"")</f>
        <v/>
      </c>
      <c r="I673" s="22" t="str">
        <f aca="false">IF(AND(ISNUMBER(F673),ISNUMBER(G673)),IF(D673=F673,15,0),"")</f>
        <v/>
      </c>
      <c r="J673" s="22" t="str">
        <f aca="false">IF(AND(ISNUMBER(F673),ISNUMBER(G673)),IF(E673=G673,15,0),"")</f>
        <v/>
      </c>
      <c r="K673" s="22" t="str">
        <f aca="false">IF(AND(ISNUMBER(F673),ISNUMBER(G673)),IF(ABS(D673-E673)=ABS(F673-G673),12,0),"")</f>
        <v/>
      </c>
      <c r="L673" s="23" t="str">
        <f aca="false">IF(ISNUMBER(H673),H673+I673+J673+K673,"")</f>
        <v/>
      </c>
    </row>
    <row r="674" customFormat="false" ht="18" hidden="false" customHeight="true" outlineLevel="0" collapsed="false">
      <c r="A674" s="25" t="s">
        <v>84</v>
      </c>
      <c r="B674" s="26" t="s">
        <v>157</v>
      </c>
      <c r="C674" s="27" t="s">
        <v>85</v>
      </c>
      <c r="D674" s="28"/>
      <c r="E674" s="28"/>
      <c r="F674" s="29" t="n">
        <f aca="false">'📋 Matches'!E26</f>
        <v>0</v>
      </c>
      <c r="G674" s="29" t="n">
        <f aca="false">'📋 Matches'!F26</f>
        <v>0</v>
      </c>
      <c r="H674" s="30" t="s">
        <v>148</v>
      </c>
      <c r="I674" s="30" t="s">
        <v>148</v>
      </c>
      <c r="J674" s="30" t="s">
        <v>148</v>
      </c>
      <c r="K674" s="30" t="s">
        <v>148</v>
      </c>
      <c r="L674" s="30" t="s">
        <v>148</v>
      </c>
    </row>
    <row r="675" customFormat="false" ht="18" hidden="false" customHeight="true" outlineLevel="0" collapsed="false">
      <c r="A675" s="25" t="s">
        <v>84</v>
      </c>
      <c r="B675" s="26" t="s">
        <v>157</v>
      </c>
      <c r="C675" s="27" t="s">
        <v>87</v>
      </c>
      <c r="D675" s="28"/>
      <c r="E675" s="28"/>
      <c r="F675" s="29" t="n">
        <f aca="false">'📋 Matches'!E27</f>
        <v>0</v>
      </c>
      <c r="G675" s="29" t="n">
        <f aca="false">'📋 Matches'!F27</f>
        <v>0</v>
      </c>
      <c r="H675" s="30" t="s">
        <v>148</v>
      </c>
      <c r="I675" s="30" t="s">
        <v>148</v>
      </c>
      <c r="J675" s="30" t="s">
        <v>148</v>
      </c>
      <c r="K675" s="30" t="s">
        <v>148</v>
      </c>
      <c r="L675" s="30" t="s">
        <v>148</v>
      </c>
    </row>
    <row r="676" customFormat="false" ht="18" hidden="false" customHeight="true" outlineLevel="0" collapsed="false">
      <c r="A676" s="25" t="s">
        <v>84</v>
      </c>
      <c r="B676" s="26" t="s">
        <v>157</v>
      </c>
      <c r="C676" s="27" t="s">
        <v>89</v>
      </c>
      <c r="D676" s="28"/>
      <c r="E676" s="28"/>
      <c r="F676" s="29" t="n">
        <f aca="false">'📋 Matches'!E28</f>
        <v>0</v>
      </c>
      <c r="G676" s="29" t="n">
        <f aca="false">'📋 Matches'!F28</f>
        <v>0</v>
      </c>
      <c r="H676" s="30" t="s">
        <v>148</v>
      </c>
      <c r="I676" s="30" t="s">
        <v>148</v>
      </c>
      <c r="J676" s="30" t="s">
        <v>148</v>
      </c>
      <c r="K676" s="30" t="s">
        <v>148</v>
      </c>
      <c r="L676" s="30" t="s">
        <v>148</v>
      </c>
    </row>
    <row r="677" customFormat="false" ht="18" hidden="false" customHeight="true" outlineLevel="0" collapsed="false">
      <c r="A677" s="25" t="s">
        <v>84</v>
      </c>
      <c r="B677" s="26" t="s">
        <v>157</v>
      </c>
      <c r="C677" s="27" t="s">
        <v>90</v>
      </c>
      <c r="D677" s="28"/>
      <c r="E677" s="28"/>
      <c r="F677" s="29" t="n">
        <f aca="false">'📋 Matches'!E29</f>
        <v>0</v>
      </c>
      <c r="G677" s="29" t="n">
        <f aca="false">'📋 Matches'!F29</f>
        <v>0</v>
      </c>
      <c r="H677" s="30" t="s">
        <v>148</v>
      </c>
      <c r="I677" s="30" t="s">
        <v>148</v>
      </c>
      <c r="J677" s="30" t="s">
        <v>148</v>
      </c>
      <c r="K677" s="30" t="s">
        <v>148</v>
      </c>
      <c r="L677" s="30" t="s">
        <v>148</v>
      </c>
    </row>
    <row r="678" customFormat="false" ht="18" hidden="false" customHeight="true" outlineLevel="0" collapsed="false">
      <c r="A678" s="25" t="s">
        <v>84</v>
      </c>
      <c r="B678" s="26" t="s">
        <v>157</v>
      </c>
      <c r="C678" s="27" t="s">
        <v>91</v>
      </c>
      <c r="D678" s="28"/>
      <c r="E678" s="28"/>
      <c r="F678" s="29" t="n">
        <f aca="false">'📋 Matches'!E30</f>
        <v>0</v>
      </c>
      <c r="G678" s="29" t="n">
        <f aca="false">'📋 Matches'!F30</f>
        <v>0</v>
      </c>
      <c r="H678" s="30" t="s">
        <v>148</v>
      </c>
      <c r="I678" s="30" t="s">
        <v>148</v>
      </c>
      <c r="J678" s="30" t="s">
        <v>148</v>
      </c>
      <c r="K678" s="30" t="s">
        <v>148</v>
      </c>
      <c r="L678" s="30" t="s">
        <v>148</v>
      </c>
    </row>
    <row r="679" customFormat="false" ht="18" hidden="false" customHeight="true" outlineLevel="0" collapsed="false">
      <c r="A679" s="25" t="s">
        <v>84</v>
      </c>
      <c r="B679" s="26" t="s">
        <v>157</v>
      </c>
      <c r="C679" s="27" t="s">
        <v>92</v>
      </c>
      <c r="D679" s="28"/>
      <c r="E679" s="28"/>
      <c r="F679" s="29" t="n">
        <f aca="false">'📋 Matches'!E31</f>
        <v>0</v>
      </c>
      <c r="G679" s="29" t="n">
        <f aca="false">'📋 Matches'!F31</f>
        <v>0</v>
      </c>
      <c r="H679" s="30" t="s">
        <v>148</v>
      </c>
      <c r="I679" s="30" t="s">
        <v>148</v>
      </c>
      <c r="J679" s="30" t="s">
        <v>148</v>
      </c>
      <c r="K679" s="30" t="s">
        <v>148</v>
      </c>
      <c r="L679" s="30" t="s">
        <v>148</v>
      </c>
    </row>
    <row r="680" customFormat="false" ht="18" hidden="false" customHeight="true" outlineLevel="0" collapsed="false">
      <c r="A680" s="25" t="s">
        <v>84</v>
      </c>
      <c r="B680" s="26" t="s">
        <v>157</v>
      </c>
      <c r="C680" s="27" t="s">
        <v>93</v>
      </c>
      <c r="D680" s="28"/>
      <c r="E680" s="28"/>
      <c r="F680" s="29" t="n">
        <f aca="false">'📋 Matches'!E32</f>
        <v>0</v>
      </c>
      <c r="G680" s="29" t="n">
        <f aca="false">'📋 Matches'!F32</f>
        <v>0</v>
      </c>
      <c r="H680" s="30" t="s">
        <v>148</v>
      </c>
      <c r="I680" s="30" t="s">
        <v>148</v>
      </c>
      <c r="J680" s="30" t="s">
        <v>148</v>
      </c>
      <c r="K680" s="30" t="s">
        <v>148</v>
      </c>
      <c r="L680" s="30" t="s">
        <v>148</v>
      </c>
    </row>
    <row r="681" customFormat="false" ht="18" hidden="false" customHeight="true" outlineLevel="0" collapsed="false">
      <c r="A681" s="25" t="s">
        <v>84</v>
      </c>
      <c r="B681" s="26" t="s">
        <v>157</v>
      </c>
      <c r="C681" s="27" t="s">
        <v>94</v>
      </c>
      <c r="D681" s="28"/>
      <c r="E681" s="28"/>
      <c r="F681" s="29" t="n">
        <f aca="false">'📋 Matches'!E33</f>
        <v>0</v>
      </c>
      <c r="G681" s="29" t="n">
        <f aca="false">'📋 Matches'!F33</f>
        <v>0</v>
      </c>
      <c r="H681" s="30" t="s">
        <v>148</v>
      </c>
      <c r="I681" s="30" t="s">
        <v>148</v>
      </c>
      <c r="J681" s="30" t="s">
        <v>148</v>
      </c>
      <c r="K681" s="30" t="s">
        <v>148</v>
      </c>
      <c r="L681" s="30" t="s">
        <v>148</v>
      </c>
    </row>
    <row r="682" customFormat="false" ht="18" hidden="false" customHeight="true" outlineLevel="0" collapsed="false">
      <c r="A682" s="25" t="s">
        <v>84</v>
      </c>
      <c r="B682" s="26" t="s">
        <v>157</v>
      </c>
      <c r="C682" s="27" t="s">
        <v>96</v>
      </c>
      <c r="D682" s="28"/>
      <c r="E682" s="28"/>
      <c r="F682" s="29" t="n">
        <f aca="false">'📋 Matches'!E34</f>
        <v>0</v>
      </c>
      <c r="G682" s="29" t="n">
        <f aca="false">'📋 Matches'!F34</f>
        <v>0</v>
      </c>
      <c r="H682" s="30" t="s">
        <v>148</v>
      </c>
      <c r="I682" s="30" t="s">
        <v>148</v>
      </c>
      <c r="J682" s="30" t="s">
        <v>148</v>
      </c>
      <c r="K682" s="30" t="s">
        <v>148</v>
      </c>
      <c r="L682" s="30" t="s">
        <v>148</v>
      </c>
    </row>
    <row r="683" customFormat="false" ht="18" hidden="false" customHeight="true" outlineLevel="0" collapsed="false">
      <c r="A683" s="25" t="s">
        <v>84</v>
      </c>
      <c r="B683" s="26" t="s">
        <v>157</v>
      </c>
      <c r="C683" s="27" t="s">
        <v>97</v>
      </c>
      <c r="D683" s="28"/>
      <c r="E683" s="28"/>
      <c r="F683" s="29" t="n">
        <f aca="false">'📋 Matches'!E35</f>
        <v>0</v>
      </c>
      <c r="G683" s="29" t="n">
        <f aca="false">'📋 Matches'!F35</f>
        <v>0</v>
      </c>
      <c r="H683" s="30" t="s">
        <v>148</v>
      </c>
      <c r="I683" s="30" t="s">
        <v>148</v>
      </c>
      <c r="J683" s="30" t="s">
        <v>148</v>
      </c>
      <c r="K683" s="30" t="s">
        <v>148</v>
      </c>
      <c r="L683" s="30" t="s">
        <v>148</v>
      </c>
    </row>
    <row r="684" customFormat="false" ht="18" hidden="false" customHeight="true" outlineLevel="0" collapsed="false">
      <c r="A684" s="25" t="s">
        <v>84</v>
      </c>
      <c r="B684" s="26" t="s">
        <v>157</v>
      </c>
      <c r="C684" s="27" t="s">
        <v>98</v>
      </c>
      <c r="D684" s="28"/>
      <c r="E684" s="28"/>
      <c r="F684" s="29" t="n">
        <f aca="false">'📋 Matches'!E36</f>
        <v>0</v>
      </c>
      <c r="G684" s="29" t="n">
        <f aca="false">'📋 Matches'!F36</f>
        <v>0</v>
      </c>
      <c r="H684" s="30" t="s">
        <v>148</v>
      </c>
      <c r="I684" s="30" t="s">
        <v>148</v>
      </c>
      <c r="J684" s="30" t="s">
        <v>148</v>
      </c>
      <c r="K684" s="30" t="s">
        <v>148</v>
      </c>
      <c r="L684" s="30" t="s">
        <v>148</v>
      </c>
    </row>
    <row r="685" customFormat="false" ht="18" hidden="false" customHeight="true" outlineLevel="0" collapsed="false">
      <c r="A685" s="25" t="s">
        <v>84</v>
      </c>
      <c r="B685" s="26" t="s">
        <v>157</v>
      </c>
      <c r="C685" s="27" t="s">
        <v>100</v>
      </c>
      <c r="D685" s="28"/>
      <c r="E685" s="28"/>
      <c r="F685" s="29" t="n">
        <f aca="false">'📋 Matches'!E37</f>
        <v>0</v>
      </c>
      <c r="G685" s="29" t="n">
        <f aca="false">'📋 Matches'!F37</f>
        <v>0</v>
      </c>
      <c r="H685" s="30" t="s">
        <v>148</v>
      </c>
      <c r="I685" s="30" t="s">
        <v>148</v>
      </c>
      <c r="J685" s="30" t="s">
        <v>148</v>
      </c>
      <c r="K685" s="30" t="s">
        <v>148</v>
      </c>
      <c r="L685" s="30" t="s">
        <v>148</v>
      </c>
    </row>
    <row r="686" customFormat="false" ht="18" hidden="false" customHeight="true" outlineLevel="0" collapsed="false">
      <c r="A686" s="25" t="s">
        <v>84</v>
      </c>
      <c r="B686" s="26" t="s">
        <v>157</v>
      </c>
      <c r="C686" s="27" t="s">
        <v>101</v>
      </c>
      <c r="D686" s="28"/>
      <c r="E686" s="28"/>
      <c r="F686" s="29" t="n">
        <f aca="false">'📋 Matches'!E38</f>
        <v>0</v>
      </c>
      <c r="G686" s="29" t="n">
        <f aca="false">'📋 Matches'!F38</f>
        <v>0</v>
      </c>
      <c r="H686" s="30" t="s">
        <v>148</v>
      </c>
      <c r="I686" s="30" t="s">
        <v>148</v>
      </c>
      <c r="J686" s="30" t="s">
        <v>148</v>
      </c>
      <c r="K686" s="30" t="s">
        <v>148</v>
      </c>
      <c r="L686" s="30" t="s">
        <v>148</v>
      </c>
    </row>
    <row r="687" customFormat="false" ht="18" hidden="false" customHeight="true" outlineLevel="0" collapsed="false">
      <c r="A687" s="25" t="s">
        <v>84</v>
      </c>
      <c r="B687" s="26" t="s">
        <v>157</v>
      </c>
      <c r="C687" s="27" t="s">
        <v>102</v>
      </c>
      <c r="D687" s="28"/>
      <c r="E687" s="28"/>
      <c r="F687" s="29" t="n">
        <f aca="false">'📋 Matches'!E39</f>
        <v>0</v>
      </c>
      <c r="G687" s="29" t="n">
        <f aca="false">'📋 Matches'!F39</f>
        <v>0</v>
      </c>
      <c r="H687" s="30" t="s">
        <v>148</v>
      </c>
      <c r="I687" s="30" t="s">
        <v>148</v>
      </c>
      <c r="J687" s="30" t="s">
        <v>148</v>
      </c>
      <c r="K687" s="30" t="s">
        <v>148</v>
      </c>
      <c r="L687" s="30" t="s">
        <v>148</v>
      </c>
    </row>
    <row r="688" customFormat="false" ht="18" hidden="false" customHeight="true" outlineLevel="0" collapsed="false">
      <c r="A688" s="25" t="s">
        <v>84</v>
      </c>
      <c r="B688" s="26" t="s">
        <v>157</v>
      </c>
      <c r="C688" s="27" t="s">
        <v>103</v>
      </c>
      <c r="D688" s="28"/>
      <c r="E688" s="28"/>
      <c r="F688" s="29" t="n">
        <f aca="false">'📋 Matches'!E40</f>
        <v>0</v>
      </c>
      <c r="G688" s="29" t="n">
        <f aca="false">'📋 Matches'!F40</f>
        <v>0</v>
      </c>
      <c r="H688" s="30" t="s">
        <v>148</v>
      </c>
      <c r="I688" s="30" t="s">
        <v>148</v>
      </c>
      <c r="J688" s="30" t="s">
        <v>148</v>
      </c>
      <c r="K688" s="30" t="s">
        <v>148</v>
      </c>
      <c r="L688" s="30" t="s">
        <v>148</v>
      </c>
    </row>
    <row r="689" customFormat="false" ht="18" hidden="false" customHeight="true" outlineLevel="0" collapsed="false">
      <c r="A689" s="25" t="s">
        <v>84</v>
      </c>
      <c r="B689" s="26" t="s">
        <v>157</v>
      </c>
      <c r="C689" s="27" t="s">
        <v>104</v>
      </c>
      <c r="D689" s="28"/>
      <c r="E689" s="28"/>
      <c r="F689" s="29" t="n">
        <f aca="false">'📋 Matches'!E41</f>
        <v>0</v>
      </c>
      <c r="G689" s="29" t="n">
        <f aca="false">'📋 Matches'!F41</f>
        <v>0</v>
      </c>
      <c r="H689" s="30" t="s">
        <v>148</v>
      </c>
      <c r="I689" s="30" t="s">
        <v>148</v>
      </c>
      <c r="J689" s="30" t="s">
        <v>148</v>
      </c>
      <c r="K689" s="30" t="s">
        <v>148</v>
      </c>
      <c r="L689" s="30" t="s">
        <v>148</v>
      </c>
    </row>
    <row r="690" customFormat="false" ht="18" hidden="false" customHeight="true" outlineLevel="0" collapsed="false">
      <c r="A690" s="25" t="s">
        <v>84</v>
      </c>
      <c r="B690" s="26" t="s">
        <v>157</v>
      </c>
      <c r="C690" s="27" t="s">
        <v>105</v>
      </c>
      <c r="D690" s="28"/>
      <c r="E690" s="28"/>
      <c r="F690" s="29" t="n">
        <f aca="false">'📋 Matches'!E42</f>
        <v>0</v>
      </c>
      <c r="G690" s="29" t="n">
        <f aca="false">'📋 Matches'!F42</f>
        <v>0</v>
      </c>
      <c r="H690" s="30" t="s">
        <v>148</v>
      </c>
      <c r="I690" s="30" t="s">
        <v>148</v>
      </c>
      <c r="J690" s="30" t="s">
        <v>148</v>
      </c>
      <c r="K690" s="30" t="s">
        <v>148</v>
      </c>
      <c r="L690" s="30" t="s">
        <v>148</v>
      </c>
    </row>
    <row r="691" customFormat="false" ht="18" hidden="false" customHeight="true" outlineLevel="0" collapsed="false">
      <c r="A691" s="25" t="s">
        <v>84</v>
      </c>
      <c r="B691" s="26" t="s">
        <v>157</v>
      </c>
      <c r="C691" s="27" t="s">
        <v>106</v>
      </c>
      <c r="D691" s="28"/>
      <c r="E691" s="28"/>
      <c r="F691" s="29" t="n">
        <f aca="false">'📋 Matches'!E43</f>
        <v>0</v>
      </c>
      <c r="G691" s="29" t="n">
        <f aca="false">'📋 Matches'!F43</f>
        <v>0</v>
      </c>
      <c r="H691" s="30" t="s">
        <v>148</v>
      </c>
      <c r="I691" s="30" t="s">
        <v>148</v>
      </c>
      <c r="J691" s="30" t="s">
        <v>148</v>
      </c>
      <c r="K691" s="30" t="s">
        <v>148</v>
      </c>
      <c r="L691" s="30" t="s">
        <v>148</v>
      </c>
    </row>
    <row r="692" customFormat="false" ht="18" hidden="false" customHeight="true" outlineLevel="0" collapsed="false">
      <c r="A692" s="25" t="s">
        <v>84</v>
      </c>
      <c r="B692" s="26" t="s">
        <v>157</v>
      </c>
      <c r="C692" s="27" t="s">
        <v>107</v>
      </c>
      <c r="D692" s="28"/>
      <c r="E692" s="28"/>
      <c r="F692" s="29" t="n">
        <f aca="false">'📋 Matches'!E44</f>
        <v>0</v>
      </c>
      <c r="G692" s="29" t="n">
        <f aca="false">'📋 Matches'!F44</f>
        <v>0</v>
      </c>
      <c r="H692" s="30" t="s">
        <v>148</v>
      </c>
      <c r="I692" s="30" t="s">
        <v>148</v>
      </c>
      <c r="J692" s="30" t="s">
        <v>148</v>
      </c>
      <c r="K692" s="30" t="s">
        <v>148</v>
      </c>
      <c r="L692" s="30" t="s">
        <v>148</v>
      </c>
    </row>
    <row r="693" customFormat="false" ht="18" hidden="false" customHeight="true" outlineLevel="0" collapsed="false">
      <c r="A693" s="25" t="s">
        <v>84</v>
      </c>
      <c r="B693" s="26" t="s">
        <v>157</v>
      </c>
      <c r="C693" s="27" t="s">
        <v>108</v>
      </c>
      <c r="D693" s="28"/>
      <c r="E693" s="28"/>
      <c r="F693" s="29" t="n">
        <f aca="false">'📋 Matches'!E45</f>
        <v>0</v>
      </c>
      <c r="G693" s="29" t="n">
        <f aca="false">'📋 Matches'!F45</f>
        <v>0</v>
      </c>
      <c r="H693" s="30" t="s">
        <v>148</v>
      </c>
      <c r="I693" s="30" t="s">
        <v>148</v>
      </c>
      <c r="J693" s="30" t="s">
        <v>148</v>
      </c>
      <c r="K693" s="30" t="s">
        <v>148</v>
      </c>
      <c r="L693" s="30" t="s">
        <v>148</v>
      </c>
    </row>
    <row r="694" customFormat="false" ht="18" hidden="false" customHeight="true" outlineLevel="0" collapsed="false">
      <c r="A694" s="25" t="s">
        <v>84</v>
      </c>
      <c r="B694" s="26" t="s">
        <v>157</v>
      </c>
      <c r="C694" s="27" t="s">
        <v>109</v>
      </c>
      <c r="D694" s="28"/>
      <c r="E694" s="28"/>
      <c r="F694" s="29" t="n">
        <f aca="false">'📋 Matches'!E46</f>
        <v>0</v>
      </c>
      <c r="G694" s="29" t="n">
        <f aca="false">'📋 Matches'!F46</f>
        <v>0</v>
      </c>
      <c r="H694" s="30" t="s">
        <v>148</v>
      </c>
      <c r="I694" s="30" t="s">
        <v>148</v>
      </c>
      <c r="J694" s="30" t="s">
        <v>148</v>
      </c>
      <c r="K694" s="30" t="s">
        <v>148</v>
      </c>
      <c r="L694" s="30" t="s">
        <v>148</v>
      </c>
    </row>
    <row r="695" customFormat="false" ht="18" hidden="false" customHeight="true" outlineLevel="0" collapsed="false">
      <c r="A695" s="25" t="s">
        <v>84</v>
      </c>
      <c r="B695" s="26" t="s">
        <v>157</v>
      </c>
      <c r="C695" s="27" t="s">
        <v>110</v>
      </c>
      <c r="D695" s="28"/>
      <c r="E695" s="28"/>
      <c r="F695" s="29" t="n">
        <f aca="false">'📋 Matches'!E47</f>
        <v>0</v>
      </c>
      <c r="G695" s="29" t="n">
        <f aca="false">'📋 Matches'!F47</f>
        <v>0</v>
      </c>
      <c r="H695" s="30" t="s">
        <v>148</v>
      </c>
      <c r="I695" s="30" t="s">
        <v>148</v>
      </c>
      <c r="J695" s="30" t="s">
        <v>148</v>
      </c>
      <c r="K695" s="30" t="s">
        <v>148</v>
      </c>
      <c r="L695" s="30" t="s">
        <v>148</v>
      </c>
    </row>
    <row r="696" customFormat="false" ht="18" hidden="false" customHeight="true" outlineLevel="0" collapsed="false">
      <c r="A696" s="25" t="s">
        <v>84</v>
      </c>
      <c r="B696" s="26" t="s">
        <v>157</v>
      </c>
      <c r="C696" s="27" t="s">
        <v>111</v>
      </c>
      <c r="D696" s="28"/>
      <c r="E696" s="28"/>
      <c r="F696" s="29" t="n">
        <f aca="false">'📋 Matches'!E48</f>
        <v>0</v>
      </c>
      <c r="G696" s="29" t="n">
        <f aca="false">'📋 Matches'!F48</f>
        <v>0</v>
      </c>
      <c r="H696" s="30" t="s">
        <v>148</v>
      </c>
      <c r="I696" s="30" t="s">
        <v>148</v>
      </c>
      <c r="J696" s="30" t="s">
        <v>148</v>
      </c>
      <c r="K696" s="30" t="s">
        <v>148</v>
      </c>
      <c r="L696" s="30" t="s">
        <v>148</v>
      </c>
    </row>
    <row r="697" customFormat="false" ht="18" hidden="false" customHeight="true" outlineLevel="0" collapsed="false">
      <c r="A697" s="25" t="s">
        <v>84</v>
      </c>
      <c r="B697" s="26" t="s">
        <v>157</v>
      </c>
      <c r="C697" s="27" t="s">
        <v>112</v>
      </c>
      <c r="D697" s="28"/>
      <c r="E697" s="28"/>
      <c r="F697" s="29" t="n">
        <f aca="false">'📋 Matches'!E49</f>
        <v>0</v>
      </c>
      <c r="G697" s="29" t="n">
        <f aca="false">'📋 Matches'!F49</f>
        <v>0</v>
      </c>
      <c r="H697" s="30" t="s">
        <v>148</v>
      </c>
      <c r="I697" s="30" t="s">
        <v>148</v>
      </c>
      <c r="J697" s="30" t="s">
        <v>148</v>
      </c>
      <c r="K697" s="30" t="s">
        <v>148</v>
      </c>
      <c r="L697" s="30" t="s">
        <v>148</v>
      </c>
    </row>
    <row r="698" customFormat="false" ht="18" hidden="false" customHeight="true" outlineLevel="0" collapsed="false">
      <c r="A698" s="25" t="s">
        <v>114</v>
      </c>
      <c r="B698" s="26" t="s">
        <v>157</v>
      </c>
      <c r="C698" s="27" t="s">
        <v>115</v>
      </c>
      <c r="D698" s="28"/>
      <c r="E698" s="28"/>
      <c r="F698" s="29" t="n">
        <f aca="false">'📋 Matches'!E50</f>
        <v>0</v>
      </c>
      <c r="G698" s="29" t="n">
        <f aca="false">'📋 Matches'!F50</f>
        <v>0</v>
      </c>
      <c r="H698" s="30" t="s">
        <v>148</v>
      </c>
      <c r="I698" s="30" t="s">
        <v>148</v>
      </c>
      <c r="J698" s="30" t="s">
        <v>148</v>
      </c>
      <c r="K698" s="30" t="s">
        <v>148</v>
      </c>
      <c r="L698" s="30" t="s">
        <v>148</v>
      </c>
    </row>
    <row r="699" customFormat="false" ht="18" hidden="false" customHeight="true" outlineLevel="0" collapsed="false">
      <c r="A699" s="25" t="s">
        <v>114</v>
      </c>
      <c r="B699" s="26" t="s">
        <v>157</v>
      </c>
      <c r="C699" s="27" t="s">
        <v>116</v>
      </c>
      <c r="D699" s="28"/>
      <c r="E699" s="28"/>
      <c r="F699" s="29" t="n">
        <f aca="false">'📋 Matches'!E51</f>
        <v>0</v>
      </c>
      <c r="G699" s="29" t="n">
        <f aca="false">'📋 Matches'!F51</f>
        <v>0</v>
      </c>
      <c r="H699" s="30" t="s">
        <v>148</v>
      </c>
      <c r="I699" s="30" t="s">
        <v>148</v>
      </c>
      <c r="J699" s="30" t="s">
        <v>148</v>
      </c>
      <c r="K699" s="30" t="s">
        <v>148</v>
      </c>
      <c r="L699" s="30" t="s">
        <v>148</v>
      </c>
    </row>
    <row r="700" customFormat="false" ht="18" hidden="false" customHeight="true" outlineLevel="0" collapsed="false">
      <c r="A700" s="25" t="s">
        <v>114</v>
      </c>
      <c r="B700" s="26" t="s">
        <v>157</v>
      </c>
      <c r="C700" s="27" t="s">
        <v>117</v>
      </c>
      <c r="D700" s="28"/>
      <c r="E700" s="28"/>
      <c r="F700" s="29" t="n">
        <f aca="false">'📋 Matches'!E52</f>
        <v>0</v>
      </c>
      <c r="G700" s="29" t="n">
        <f aca="false">'📋 Matches'!F52</f>
        <v>0</v>
      </c>
      <c r="H700" s="30" t="s">
        <v>148</v>
      </c>
      <c r="I700" s="30" t="s">
        <v>148</v>
      </c>
      <c r="J700" s="30" t="s">
        <v>148</v>
      </c>
      <c r="K700" s="30" t="s">
        <v>148</v>
      </c>
      <c r="L700" s="30" t="s">
        <v>148</v>
      </c>
    </row>
    <row r="701" customFormat="false" ht="18" hidden="false" customHeight="true" outlineLevel="0" collapsed="false">
      <c r="A701" s="25" t="s">
        <v>114</v>
      </c>
      <c r="B701" s="26" t="s">
        <v>157</v>
      </c>
      <c r="C701" s="27" t="s">
        <v>118</v>
      </c>
      <c r="D701" s="28"/>
      <c r="E701" s="28"/>
      <c r="F701" s="29" t="n">
        <f aca="false">'📋 Matches'!E53</f>
        <v>0</v>
      </c>
      <c r="G701" s="29" t="n">
        <f aca="false">'📋 Matches'!F53</f>
        <v>0</v>
      </c>
      <c r="H701" s="30" t="s">
        <v>148</v>
      </c>
      <c r="I701" s="30" t="s">
        <v>148</v>
      </c>
      <c r="J701" s="30" t="s">
        <v>148</v>
      </c>
      <c r="K701" s="30" t="s">
        <v>148</v>
      </c>
      <c r="L701" s="30" t="s">
        <v>148</v>
      </c>
    </row>
    <row r="702" customFormat="false" ht="18" hidden="false" customHeight="true" outlineLevel="0" collapsed="false">
      <c r="A702" s="25" t="s">
        <v>114</v>
      </c>
      <c r="B702" s="26" t="s">
        <v>157</v>
      </c>
      <c r="C702" s="27" t="s">
        <v>119</v>
      </c>
      <c r="D702" s="28"/>
      <c r="E702" s="28"/>
      <c r="F702" s="29" t="n">
        <f aca="false">'📋 Matches'!E54</f>
        <v>0</v>
      </c>
      <c r="G702" s="29" t="n">
        <f aca="false">'📋 Matches'!F54</f>
        <v>0</v>
      </c>
      <c r="H702" s="30" t="s">
        <v>148</v>
      </c>
      <c r="I702" s="30" t="s">
        <v>148</v>
      </c>
      <c r="J702" s="30" t="s">
        <v>148</v>
      </c>
      <c r="K702" s="30" t="s">
        <v>148</v>
      </c>
      <c r="L702" s="30" t="s">
        <v>148</v>
      </c>
    </row>
    <row r="703" customFormat="false" ht="18" hidden="false" customHeight="true" outlineLevel="0" collapsed="false">
      <c r="A703" s="25" t="s">
        <v>114</v>
      </c>
      <c r="B703" s="26" t="s">
        <v>157</v>
      </c>
      <c r="C703" s="27" t="s">
        <v>120</v>
      </c>
      <c r="D703" s="28"/>
      <c r="E703" s="28"/>
      <c r="F703" s="29" t="n">
        <f aca="false">'📋 Matches'!E55</f>
        <v>0</v>
      </c>
      <c r="G703" s="29" t="n">
        <f aca="false">'📋 Matches'!F55</f>
        <v>0</v>
      </c>
      <c r="H703" s="30" t="s">
        <v>148</v>
      </c>
      <c r="I703" s="30" t="s">
        <v>148</v>
      </c>
      <c r="J703" s="30" t="s">
        <v>148</v>
      </c>
      <c r="K703" s="30" t="s">
        <v>148</v>
      </c>
      <c r="L703" s="30" t="s">
        <v>148</v>
      </c>
    </row>
    <row r="704" customFormat="false" ht="18" hidden="false" customHeight="true" outlineLevel="0" collapsed="false">
      <c r="A704" s="25" t="s">
        <v>114</v>
      </c>
      <c r="B704" s="26" t="s">
        <v>157</v>
      </c>
      <c r="C704" s="27" t="s">
        <v>121</v>
      </c>
      <c r="D704" s="28"/>
      <c r="E704" s="28"/>
      <c r="F704" s="29" t="n">
        <f aca="false">'📋 Matches'!E56</f>
        <v>0</v>
      </c>
      <c r="G704" s="29" t="n">
        <f aca="false">'📋 Matches'!F56</f>
        <v>0</v>
      </c>
      <c r="H704" s="30" t="s">
        <v>148</v>
      </c>
      <c r="I704" s="30" t="s">
        <v>148</v>
      </c>
      <c r="J704" s="30" t="s">
        <v>148</v>
      </c>
      <c r="K704" s="30" t="s">
        <v>148</v>
      </c>
      <c r="L704" s="30" t="s">
        <v>148</v>
      </c>
    </row>
    <row r="705" customFormat="false" ht="18" hidden="false" customHeight="true" outlineLevel="0" collapsed="false">
      <c r="A705" s="25" t="s">
        <v>114</v>
      </c>
      <c r="B705" s="26" t="s">
        <v>157</v>
      </c>
      <c r="C705" s="27" t="s">
        <v>122</v>
      </c>
      <c r="D705" s="28"/>
      <c r="E705" s="28"/>
      <c r="F705" s="29" t="n">
        <f aca="false">'📋 Matches'!E57</f>
        <v>0</v>
      </c>
      <c r="G705" s="29" t="n">
        <f aca="false">'📋 Matches'!F57</f>
        <v>0</v>
      </c>
      <c r="H705" s="30" t="s">
        <v>148</v>
      </c>
      <c r="I705" s="30" t="s">
        <v>148</v>
      </c>
      <c r="J705" s="30" t="s">
        <v>148</v>
      </c>
      <c r="K705" s="30" t="s">
        <v>148</v>
      </c>
      <c r="L705" s="30" t="s">
        <v>148</v>
      </c>
    </row>
    <row r="706" customFormat="false" ht="18" hidden="false" customHeight="true" outlineLevel="0" collapsed="false">
      <c r="A706" s="25" t="s">
        <v>114</v>
      </c>
      <c r="B706" s="26" t="s">
        <v>157</v>
      </c>
      <c r="C706" s="27" t="s">
        <v>123</v>
      </c>
      <c r="D706" s="28"/>
      <c r="E706" s="28"/>
      <c r="F706" s="29" t="n">
        <f aca="false">'📋 Matches'!E58</f>
        <v>0</v>
      </c>
      <c r="G706" s="29" t="n">
        <f aca="false">'📋 Matches'!F58</f>
        <v>0</v>
      </c>
      <c r="H706" s="30" t="s">
        <v>148</v>
      </c>
      <c r="I706" s="30" t="s">
        <v>148</v>
      </c>
      <c r="J706" s="30" t="s">
        <v>148</v>
      </c>
      <c r="K706" s="30" t="s">
        <v>148</v>
      </c>
      <c r="L706" s="30" t="s">
        <v>148</v>
      </c>
    </row>
    <row r="707" customFormat="false" ht="18" hidden="false" customHeight="true" outlineLevel="0" collapsed="false">
      <c r="A707" s="25" t="s">
        <v>114</v>
      </c>
      <c r="B707" s="26" t="s">
        <v>157</v>
      </c>
      <c r="C707" s="27" t="s">
        <v>124</v>
      </c>
      <c r="D707" s="28"/>
      <c r="E707" s="28"/>
      <c r="F707" s="29" t="n">
        <f aca="false">'📋 Matches'!E59</f>
        <v>0</v>
      </c>
      <c r="G707" s="29" t="n">
        <f aca="false">'📋 Matches'!F59</f>
        <v>0</v>
      </c>
      <c r="H707" s="30" t="s">
        <v>148</v>
      </c>
      <c r="I707" s="30" t="s">
        <v>148</v>
      </c>
      <c r="J707" s="30" t="s">
        <v>148</v>
      </c>
      <c r="K707" s="30" t="s">
        <v>148</v>
      </c>
      <c r="L707" s="30" t="s">
        <v>148</v>
      </c>
    </row>
    <row r="708" customFormat="false" ht="18" hidden="false" customHeight="true" outlineLevel="0" collapsed="false">
      <c r="A708" s="25" t="s">
        <v>114</v>
      </c>
      <c r="B708" s="26" t="s">
        <v>157</v>
      </c>
      <c r="C708" s="27" t="s">
        <v>125</v>
      </c>
      <c r="D708" s="28"/>
      <c r="E708" s="28"/>
      <c r="F708" s="29" t="n">
        <f aca="false">'📋 Matches'!E60</f>
        <v>0</v>
      </c>
      <c r="G708" s="29" t="n">
        <f aca="false">'📋 Matches'!F60</f>
        <v>0</v>
      </c>
      <c r="H708" s="30" t="s">
        <v>148</v>
      </c>
      <c r="I708" s="30" t="s">
        <v>148</v>
      </c>
      <c r="J708" s="30" t="s">
        <v>148</v>
      </c>
      <c r="K708" s="30" t="s">
        <v>148</v>
      </c>
      <c r="L708" s="30" t="s">
        <v>148</v>
      </c>
    </row>
    <row r="709" customFormat="false" ht="18" hidden="false" customHeight="true" outlineLevel="0" collapsed="false">
      <c r="A709" s="25" t="s">
        <v>114</v>
      </c>
      <c r="B709" s="26" t="s">
        <v>157</v>
      </c>
      <c r="C709" s="27" t="s">
        <v>126</v>
      </c>
      <c r="D709" s="28"/>
      <c r="E709" s="28"/>
      <c r="F709" s="29" t="n">
        <f aca="false">'📋 Matches'!E61</f>
        <v>0</v>
      </c>
      <c r="G709" s="29" t="n">
        <f aca="false">'📋 Matches'!F61</f>
        <v>0</v>
      </c>
      <c r="H709" s="30" t="s">
        <v>148</v>
      </c>
      <c r="I709" s="30" t="s">
        <v>148</v>
      </c>
      <c r="J709" s="30" t="s">
        <v>148</v>
      </c>
      <c r="K709" s="30" t="s">
        <v>148</v>
      </c>
      <c r="L709" s="30" t="s">
        <v>148</v>
      </c>
    </row>
    <row r="710" customFormat="false" ht="18" hidden="false" customHeight="true" outlineLevel="0" collapsed="false">
      <c r="A710" s="25" t="s">
        <v>114</v>
      </c>
      <c r="B710" s="26" t="s">
        <v>157</v>
      </c>
      <c r="C710" s="27" t="s">
        <v>127</v>
      </c>
      <c r="D710" s="28"/>
      <c r="E710" s="28"/>
      <c r="F710" s="29" t="n">
        <f aca="false">'📋 Matches'!E62</f>
        <v>0</v>
      </c>
      <c r="G710" s="29" t="n">
        <f aca="false">'📋 Matches'!F62</f>
        <v>0</v>
      </c>
      <c r="H710" s="30" t="s">
        <v>148</v>
      </c>
      <c r="I710" s="30" t="s">
        <v>148</v>
      </c>
      <c r="J710" s="30" t="s">
        <v>148</v>
      </c>
      <c r="K710" s="30" t="s">
        <v>148</v>
      </c>
      <c r="L710" s="30" t="s">
        <v>148</v>
      </c>
    </row>
    <row r="711" customFormat="false" ht="18" hidden="false" customHeight="true" outlineLevel="0" collapsed="false">
      <c r="A711" s="25" t="s">
        <v>114</v>
      </c>
      <c r="B711" s="26" t="s">
        <v>157</v>
      </c>
      <c r="C711" s="27" t="s">
        <v>128</v>
      </c>
      <c r="D711" s="28"/>
      <c r="E711" s="28"/>
      <c r="F711" s="29" t="n">
        <f aca="false">'📋 Matches'!E63</f>
        <v>0</v>
      </c>
      <c r="G711" s="29" t="n">
        <f aca="false">'📋 Matches'!F63</f>
        <v>0</v>
      </c>
      <c r="H711" s="30" t="s">
        <v>148</v>
      </c>
      <c r="I711" s="30" t="s">
        <v>148</v>
      </c>
      <c r="J711" s="30" t="s">
        <v>148</v>
      </c>
      <c r="K711" s="30" t="s">
        <v>148</v>
      </c>
      <c r="L711" s="30" t="s">
        <v>148</v>
      </c>
    </row>
    <row r="712" customFormat="false" ht="18" hidden="false" customHeight="true" outlineLevel="0" collapsed="false">
      <c r="A712" s="25" t="s">
        <v>114</v>
      </c>
      <c r="B712" s="26" t="s">
        <v>157</v>
      </c>
      <c r="C712" s="27" t="s">
        <v>129</v>
      </c>
      <c r="D712" s="28"/>
      <c r="E712" s="28"/>
      <c r="F712" s="29" t="n">
        <f aca="false">'📋 Matches'!E64</f>
        <v>0</v>
      </c>
      <c r="G712" s="29" t="n">
        <f aca="false">'📋 Matches'!F64</f>
        <v>0</v>
      </c>
      <c r="H712" s="30" t="s">
        <v>148</v>
      </c>
      <c r="I712" s="30" t="s">
        <v>148</v>
      </c>
      <c r="J712" s="30" t="s">
        <v>148</v>
      </c>
      <c r="K712" s="30" t="s">
        <v>148</v>
      </c>
      <c r="L712" s="30" t="s">
        <v>148</v>
      </c>
    </row>
    <row r="713" customFormat="false" ht="18" hidden="false" customHeight="true" outlineLevel="0" collapsed="false">
      <c r="A713" s="25" t="s">
        <v>114</v>
      </c>
      <c r="B713" s="26" t="s">
        <v>157</v>
      </c>
      <c r="C713" s="27" t="s">
        <v>130</v>
      </c>
      <c r="D713" s="28"/>
      <c r="E713" s="28"/>
      <c r="F713" s="29" t="n">
        <f aca="false">'📋 Matches'!E65</f>
        <v>0</v>
      </c>
      <c r="G713" s="29" t="n">
        <f aca="false">'📋 Matches'!F65</f>
        <v>0</v>
      </c>
      <c r="H713" s="30" t="s">
        <v>148</v>
      </c>
      <c r="I713" s="30" t="s">
        <v>148</v>
      </c>
      <c r="J713" s="30" t="s">
        <v>148</v>
      </c>
      <c r="K713" s="30" t="s">
        <v>148</v>
      </c>
      <c r="L713" s="30" t="s">
        <v>148</v>
      </c>
    </row>
    <row r="714" customFormat="false" ht="18" hidden="false" customHeight="true" outlineLevel="0" collapsed="false">
      <c r="A714" s="25" t="s">
        <v>114</v>
      </c>
      <c r="B714" s="26" t="s">
        <v>157</v>
      </c>
      <c r="C714" s="27" t="s">
        <v>131</v>
      </c>
      <c r="D714" s="28"/>
      <c r="E714" s="28"/>
      <c r="F714" s="29" t="n">
        <f aca="false">'📋 Matches'!E66</f>
        <v>0</v>
      </c>
      <c r="G714" s="29" t="n">
        <f aca="false">'📋 Matches'!F66</f>
        <v>0</v>
      </c>
      <c r="H714" s="30" t="s">
        <v>148</v>
      </c>
      <c r="I714" s="30" t="s">
        <v>148</v>
      </c>
      <c r="J714" s="30" t="s">
        <v>148</v>
      </c>
      <c r="K714" s="30" t="s">
        <v>148</v>
      </c>
      <c r="L714" s="30" t="s">
        <v>148</v>
      </c>
    </row>
    <row r="715" customFormat="false" ht="18" hidden="false" customHeight="true" outlineLevel="0" collapsed="false">
      <c r="A715" s="25" t="s">
        <v>114</v>
      </c>
      <c r="B715" s="26" t="s">
        <v>157</v>
      </c>
      <c r="C715" s="27" t="s">
        <v>132</v>
      </c>
      <c r="D715" s="28"/>
      <c r="E715" s="28"/>
      <c r="F715" s="29" t="n">
        <f aca="false">'📋 Matches'!E67</f>
        <v>0</v>
      </c>
      <c r="G715" s="29" t="n">
        <f aca="false">'📋 Matches'!F67</f>
        <v>0</v>
      </c>
      <c r="H715" s="30" t="s">
        <v>148</v>
      </c>
      <c r="I715" s="30" t="s">
        <v>148</v>
      </c>
      <c r="J715" s="30" t="s">
        <v>148</v>
      </c>
      <c r="K715" s="30" t="s">
        <v>148</v>
      </c>
      <c r="L715" s="30" t="s">
        <v>148</v>
      </c>
    </row>
    <row r="716" customFormat="false" ht="18" hidden="false" customHeight="true" outlineLevel="0" collapsed="false">
      <c r="A716" s="25" t="s">
        <v>114</v>
      </c>
      <c r="B716" s="26" t="s">
        <v>157</v>
      </c>
      <c r="C716" s="27" t="s">
        <v>133</v>
      </c>
      <c r="D716" s="28"/>
      <c r="E716" s="28"/>
      <c r="F716" s="29" t="n">
        <f aca="false">'📋 Matches'!E68</f>
        <v>0</v>
      </c>
      <c r="G716" s="29" t="n">
        <f aca="false">'📋 Matches'!F68</f>
        <v>0</v>
      </c>
      <c r="H716" s="30" t="s">
        <v>148</v>
      </c>
      <c r="I716" s="30" t="s">
        <v>148</v>
      </c>
      <c r="J716" s="30" t="s">
        <v>148</v>
      </c>
      <c r="K716" s="30" t="s">
        <v>148</v>
      </c>
      <c r="L716" s="30" t="s">
        <v>148</v>
      </c>
    </row>
    <row r="717" customFormat="false" ht="18" hidden="false" customHeight="true" outlineLevel="0" collapsed="false">
      <c r="A717" s="25" t="s">
        <v>114</v>
      </c>
      <c r="B717" s="26" t="s">
        <v>157</v>
      </c>
      <c r="C717" s="27" t="s">
        <v>134</v>
      </c>
      <c r="D717" s="28"/>
      <c r="E717" s="28"/>
      <c r="F717" s="29" t="n">
        <f aca="false">'📋 Matches'!E69</f>
        <v>0</v>
      </c>
      <c r="G717" s="29" t="n">
        <f aca="false">'📋 Matches'!F69</f>
        <v>0</v>
      </c>
      <c r="H717" s="30" t="s">
        <v>148</v>
      </c>
      <c r="I717" s="30" t="s">
        <v>148</v>
      </c>
      <c r="J717" s="30" t="s">
        <v>148</v>
      </c>
      <c r="K717" s="30" t="s">
        <v>148</v>
      </c>
      <c r="L717" s="30" t="s">
        <v>148</v>
      </c>
    </row>
    <row r="718" customFormat="false" ht="18" hidden="false" customHeight="true" outlineLevel="0" collapsed="false">
      <c r="A718" s="25" t="s">
        <v>114</v>
      </c>
      <c r="B718" s="26" t="s">
        <v>157</v>
      </c>
      <c r="C718" s="27" t="s">
        <v>135</v>
      </c>
      <c r="D718" s="28"/>
      <c r="E718" s="28"/>
      <c r="F718" s="29" t="n">
        <f aca="false">'📋 Matches'!E70</f>
        <v>0</v>
      </c>
      <c r="G718" s="29" t="n">
        <f aca="false">'📋 Matches'!F70</f>
        <v>0</v>
      </c>
      <c r="H718" s="30" t="s">
        <v>148</v>
      </c>
      <c r="I718" s="30" t="s">
        <v>148</v>
      </c>
      <c r="J718" s="30" t="s">
        <v>148</v>
      </c>
      <c r="K718" s="30" t="s">
        <v>148</v>
      </c>
      <c r="L718" s="30" t="s">
        <v>148</v>
      </c>
    </row>
    <row r="719" customFormat="false" ht="18" hidden="false" customHeight="true" outlineLevel="0" collapsed="false">
      <c r="A719" s="25" t="s">
        <v>114</v>
      </c>
      <c r="B719" s="26" t="s">
        <v>157</v>
      </c>
      <c r="C719" s="27" t="s">
        <v>136</v>
      </c>
      <c r="D719" s="28"/>
      <c r="E719" s="28"/>
      <c r="F719" s="29" t="n">
        <f aca="false">'📋 Matches'!E71</f>
        <v>0</v>
      </c>
      <c r="G719" s="29" t="n">
        <f aca="false">'📋 Matches'!F71</f>
        <v>0</v>
      </c>
      <c r="H719" s="30" t="s">
        <v>148</v>
      </c>
      <c r="I719" s="30" t="s">
        <v>148</v>
      </c>
      <c r="J719" s="30" t="s">
        <v>148</v>
      </c>
      <c r="K719" s="30" t="s">
        <v>148</v>
      </c>
      <c r="L719" s="30" t="s">
        <v>148</v>
      </c>
    </row>
    <row r="720" customFormat="false" ht="18" hidden="false" customHeight="true" outlineLevel="0" collapsed="false">
      <c r="A720" s="25" t="s">
        <v>114</v>
      </c>
      <c r="B720" s="26" t="s">
        <v>157</v>
      </c>
      <c r="C720" s="27" t="s">
        <v>137</v>
      </c>
      <c r="D720" s="28"/>
      <c r="E720" s="28"/>
      <c r="F720" s="29" t="n">
        <f aca="false">'📋 Matches'!E72</f>
        <v>0</v>
      </c>
      <c r="G720" s="29" t="n">
        <f aca="false">'📋 Matches'!F72</f>
        <v>0</v>
      </c>
      <c r="H720" s="30" t="s">
        <v>148</v>
      </c>
      <c r="I720" s="30" t="s">
        <v>148</v>
      </c>
      <c r="J720" s="30" t="s">
        <v>148</v>
      </c>
      <c r="K720" s="30" t="s">
        <v>148</v>
      </c>
      <c r="L720" s="30" t="s">
        <v>148</v>
      </c>
    </row>
    <row r="721" customFormat="false" ht="18" hidden="false" customHeight="true" outlineLevel="0" collapsed="false">
      <c r="A721" s="25" t="s">
        <v>114</v>
      </c>
      <c r="B721" s="26" t="s">
        <v>157</v>
      </c>
      <c r="C721" s="27" t="s">
        <v>138</v>
      </c>
      <c r="D721" s="28"/>
      <c r="E721" s="28"/>
      <c r="F721" s="29" t="n">
        <f aca="false">'📋 Matches'!E73</f>
        <v>0</v>
      </c>
      <c r="G721" s="29" t="n">
        <f aca="false">'📋 Matches'!F73</f>
        <v>0</v>
      </c>
      <c r="H721" s="30" t="s">
        <v>148</v>
      </c>
      <c r="I721" s="30" t="s">
        <v>148</v>
      </c>
      <c r="J721" s="30" t="s">
        <v>148</v>
      </c>
      <c r="K721" s="30" t="s">
        <v>148</v>
      </c>
      <c r="L721" s="30" t="s">
        <v>148</v>
      </c>
    </row>
    <row r="722" customFormat="false" ht="18" hidden="false" customHeight="true" outlineLevel="0" collapsed="false">
      <c r="A722" s="17" t="s">
        <v>9</v>
      </c>
      <c r="B722" s="18" t="s">
        <v>158</v>
      </c>
      <c r="C722" s="19" t="s">
        <v>10</v>
      </c>
      <c r="D722" s="20" t="n">
        <v>2</v>
      </c>
      <c r="E722" s="20" t="n">
        <v>1</v>
      </c>
      <c r="F722" s="21" t="n">
        <f aca="false">'📋 Matches'!E2</f>
        <v>2</v>
      </c>
      <c r="G722" s="21" t="n">
        <f aca="false">'📋 Matches'!F2</f>
        <v>0</v>
      </c>
      <c r="H722" s="22" t="n">
        <f aca="false">IF(AND(ISNUMBER(F722),ISNUMBER(G722)),IF(SIGN(D722-E722)=SIGN(F722-G722),48,0),"")</f>
        <v>48</v>
      </c>
      <c r="I722" s="22" t="n">
        <f aca="false">IF(AND(ISNUMBER(F722),ISNUMBER(G722)),IF(D722=F722,15,0),"")</f>
        <v>15</v>
      </c>
      <c r="J722" s="22" t="n">
        <f aca="false">IF(AND(ISNUMBER(F722),ISNUMBER(G722)),IF(E722=G722,15,0),"")</f>
        <v>0</v>
      </c>
      <c r="K722" s="22" t="n">
        <f aca="false">IF(AND(ISNUMBER(F722),ISNUMBER(G722)),IF(ABS(D722-E722)=ABS(F722-G722),12,0),"")</f>
        <v>0</v>
      </c>
      <c r="L722" s="23" t="n">
        <f aca="false">IF(ISNUMBER(H722),H722+I722+J722+K722,"")</f>
        <v>63</v>
      </c>
    </row>
    <row r="723" customFormat="false" ht="18" hidden="false" customHeight="true" outlineLevel="0" collapsed="false">
      <c r="A723" s="17" t="s">
        <v>9</v>
      </c>
      <c r="B723" s="18" t="s">
        <v>158</v>
      </c>
      <c r="C723" s="19" t="s">
        <v>14</v>
      </c>
      <c r="D723" s="20" t="n">
        <v>1</v>
      </c>
      <c r="E723" s="20" t="n">
        <v>1</v>
      </c>
      <c r="F723" s="21" t="n">
        <f aca="false">'📋 Matches'!E3</f>
        <v>2</v>
      </c>
      <c r="G723" s="21" t="n">
        <f aca="false">'📋 Matches'!F3</f>
        <v>1</v>
      </c>
      <c r="H723" s="22" t="n">
        <f aca="false">IF(AND(ISNUMBER(F723),ISNUMBER(G723)),IF(SIGN(D723-E723)=SIGN(F723-G723),48,0),"")</f>
        <v>0</v>
      </c>
      <c r="I723" s="22" t="n">
        <f aca="false">IF(AND(ISNUMBER(F723),ISNUMBER(G723)),IF(D723=F723,15,0),"")</f>
        <v>0</v>
      </c>
      <c r="J723" s="22" t="n">
        <f aca="false">IF(AND(ISNUMBER(F723),ISNUMBER(G723)),IF(E723=G723,15,0),"")</f>
        <v>15</v>
      </c>
      <c r="K723" s="22" t="n">
        <f aca="false">IF(AND(ISNUMBER(F723),ISNUMBER(G723)),IF(ABS(D723-E723)=ABS(F723-G723),12,0),"")</f>
        <v>0</v>
      </c>
      <c r="L723" s="23" t="n">
        <f aca="false">IF(ISNUMBER(H723),H723+I723+J723+K723,"")</f>
        <v>15</v>
      </c>
    </row>
    <row r="724" customFormat="false" ht="18" hidden="false" customHeight="true" outlineLevel="0" collapsed="false">
      <c r="A724" s="17" t="s">
        <v>9</v>
      </c>
      <c r="B724" s="18" t="s">
        <v>158</v>
      </c>
      <c r="C724" s="19" t="s">
        <v>17</v>
      </c>
      <c r="D724" s="20" t="n">
        <v>0</v>
      </c>
      <c r="E724" s="20" t="n">
        <v>1</v>
      </c>
      <c r="F724" s="21" t="n">
        <f aca="false">'📋 Matches'!E4</f>
        <v>1</v>
      </c>
      <c r="G724" s="21" t="n">
        <f aca="false">'📋 Matches'!F4</f>
        <v>1</v>
      </c>
      <c r="H724" s="22" t="n">
        <f aca="false">IF(AND(ISNUMBER(F724),ISNUMBER(G724)),IF(SIGN(D724-E724)=SIGN(F724-G724),48,0),"")</f>
        <v>0</v>
      </c>
      <c r="I724" s="22" t="n">
        <f aca="false">IF(AND(ISNUMBER(F724),ISNUMBER(G724)),IF(D724=F724,15,0),"")</f>
        <v>0</v>
      </c>
      <c r="J724" s="22" t="n">
        <f aca="false">IF(AND(ISNUMBER(F724),ISNUMBER(G724)),IF(E724=G724,15,0),"")</f>
        <v>15</v>
      </c>
      <c r="K724" s="22" t="n">
        <f aca="false">IF(AND(ISNUMBER(F724),ISNUMBER(G724)),IF(ABS(D724-E724)=ABS(F724-G724),12,0),"")</f>
        <v>0</v>
      </c>
      <c r="L724" s="23" t="n">
        <f aca="false">IF(ISNUMBER(H724),H724+I724+J724+K724,"")</f>
        <v>15</v>
      </c>
    </row>
    <row r="725" customFormat="false" ht="18" hidden="false" customHeight="true" outlineLevel="0" collapsed="false">
      <c r="A725" s="17" t="s">
        <v>9</v>
      </c>
      <c r="B725" s="18" t="s">
        <v>158</v>
      </c>
      <c r="C725" s="19" t="s">
        <v>20</v>
      </c>
      <c r="D725" s="20" t="n">
        <v>2</v>
      </c>
      <c r="E725" s="20" t="n">
        <v>2</v>
      </c>
      <c r="F725" s="21" t="n">
        <f aca="false">'📋 Matches'!E5</f>
        <v>4</v>
      </c>
      <c r="G725" s="21" t="n">
        <f aca="false">'📋 Matches'!F5</f>
        <v>1</v>
      </c>
      <c r="H725" s="22" t="n">
        <f aca="false">IF(AND(ISNUMBER(F725),ISNUMBER(G725)),IF(SIGN(D725-E725)=SIGN(F725-G725),48,0),"")</f>
        <v>0</v>
      </c>
      <c r="I725" s="22" t="n">
        <f aca="false">IF(AND(ISNUMBER(F725),ISNUMBER(G725)),IF(D725=F725,15,0),"")</f>
        <v>0</v>
      </c>
      <c r="J725" s="22" t="n">
        <f aca="false">IF(AND(ISNUMBER(F725),ISNUMBER(G725)),IF(E725=G725,15,0),"")</f>
        <v>0</v>
      </c>
      <c r="K725" s="22" t="n">
        <f aca="false">IF(AND(ISNUMBER(F725),ISNUMBER(G725)),IF(ABS(D725-E725)=ABS(F725-G725),12,0),"")</f>
        <v>0</v>
      </c>
      <c r="L725" s="23" t="n">
        <f aca="false">IF(ISNUMBER(H725),H725+I725+J725+K725,"")</f>
        <v>0</v>
      </c>
    </row>
    <row r="726" customFormat="false" ht="18" hidden="false" customHeight="true" outlineLevel="0" collapsed="false">
      <c r="A726" s="17" t="s">
        <v>9</v>
      </c>
      <c r="B726" s="18" t="s">
        <v>158</v>
      </c>
      <c r="C726" s="19" t="s">
        <v>23</v>
      </c>
      <c r="D726" s="20" t="n">
        <v>0</v>
      </c>
      <c r="E726" s="20" t="n">
        <v>3</v>
      </c>
      <c r="F726" s="21" t="n">
        <f aca="false">'📋 Matches'!E6</f>
        <v>0</v>
      </c>
      <c r="G726" s="21" t="n">
        <f aca="false">'📋 Matches'!F6</f>
        <v>0</v>
      </c>
      <c r="H726" s="22" t="str">
        <f aca="false">IF(AND(ISNUMBER(F726),ISNUMBER(G726)),IF(SIGN(D726-E726)=SIGN(F726-G726),48,0),"")</f>
        <v/>
      </c>
      <c r="I726" s="22" t="str">
        <f aca="false">IF(AND(ISNUMBER(F726),ISNUMBER(G726)),IF(D726=F726,15,0),"")</f>
        <v/>
      </c>
      <c r="J726" s="22" t="str">
        <f aca="false">IF(AND(ISNUMBER(F726),ISNUMBER(G726)),IF(E726=G726,15,0),"")</f>
        <v/>
      </c>
      <c r="K726" s="22" t="str">
        <f aca="false">IF(AND(ISNUMBER(F726),ISNUMBER(G726)),IF(ABS(D726-E726)=ABS(F726-G726),12,0),"")</f>
        <v/>
      </c>
      <c r="L726" s="23" t="str">
        <f aca="false">IF(ISNUMBER(H726),H726+I726+J726+K726,"")</f>
        <v/>
      </c>
    </row>
    <row r="727" customFormat="false" ht="18" hidden="false" customHeight="true" outlineLevel="0" collapsed="false">
      <c r="A727" s="17" t="s">
        <v>9</v>
      </c>
      <c r="B727" s="18" t="s">
        <v>158</v>
      </c>
      <c r="C727" s="19" t="s">
        <v>27</v>
      </c>
      <c r="D727" s="20" t="n">
        <v>1</v>
      </c>
      <c r="E727" s="20" t="n">
        <v>2</v>
      </c>
      <c r="F727" s="21" t="n">
        <f aca="false">'📋 Matches'!E7</f>
        <v>0</v>
      </c>
      <c r="G727" s="21" t="n">
        <f aca="false">'📋 Matches'!F7</f>
        <v>0</v>
      </c>
      <c r="H727" s="22" t="str">
        <f aca="false">IF(AND(ISNUMBER(F727),ISNUMBER(G727)),IF(SIGN(D727-E727)=SIGN(F727-G727),48,0),"")</f>
        <v/>
      </c>
      <c r="I727" s="22" t="str">
        <f aca="false">IF(AND(ISNUMBER(F727),ISNUMBER(G727)),IF(D727=F727,15,0),"")</f>
        <v/>
      </c>
      <c r="J727" s="22" t="str">
        <f aca="false">IF(AND(ISNUMBER(F727),ISNUMBER(G727)),IF(E727=G727,15,0),"")</f>
        <v/>
      </c>
      <c r="K727" s="22" t="str">
        <f aca="false">IF(AND(ISNUMBER(F727),ISNUMBER(G727)),IF(ABS(D727-E727)=ABS(F727-G727),12,0),"")</f>
        <v/>
      </c>
      <c r="L727" s="23" t="str">
        <f aca="false">IF(ISNUMBER(H727),H727+I727+J727+K727,"")</f>
        <v/>
      </c>
    </row>
    <row r="728" customFormat="false" ht="18" hidden="false" customHeight="true" outlineLevel="0" collapsed="false">
      <c r="A728" s="17" t="s">
        <v>9</v>
      </c>
      <c r="B728" s="18" t="s">
        <v>158</v>
      </c>
      <c r="C728" s="19" t="s">
        <v>30</v>
      </c>
      <c r="D728" s="20" t="n">
        <v>0</v>
      </c>
      <c r="E728" s="20" t="n">
        <v>2</v>
      </c>
      <c r="F728" s="21" t="n">
        <f aca="false">'📋 Matches'!E8</f>
        <v>0</v>
      </c>
      <c r="G728" s="21" t="n">
        <f aca="false">'📋 Matches'!F8</f>
        <v>0</v>
      </c>
      <c r="H728" s="22" t="str">
        <f aca="false">IF(AND(ISNUMBER(F728),ISNUMBER(G728)),IF(SIGN(D728-E728)=SIGN(F728-G728),48,0),"")</f>
        <v/>
      </c>
      <c r="I728" s="22" t="str">
        <f aca="false">IF(AND(ISNUMBER(F728),ISNUMBER(G728)),IF(D728=F728,15,0),"")</f>
        <v/>
      </c>
      <c r="J728" s="22" t="str">
        <f aca="false">IF(AND(ISNUMBER(F728),ISNUMBER(G728)),IF(E728=G728,15,0),"")</f>
        <v/>
      </c>
      <c r="K728" s="22" t="str">
        <f aca="false">IF(AND(ISNUMBER(F728),ISNUMBER(G728)),IF(ABS(D728-E728)=ABS(F728-G728),12,0),"")</f>
        <v/>
      </c>
      <c r="L728" s="23" t="str">
        <f aca="false">IF(ISNUMBER(H728),H728+I728+J728+K728,"")</f>
        <v/>
      </c>
    </row>
    <row r="729" customFormat="false" ht="18" hidden="false" customHeight="true" outlineLevel="0" collapsed="false">
      <c r="A729" s="17" t="s">
        <v>9</v>
      </c>
      <c r="B729" s="18" t="s">
        <v>158</v>
      </c>
      <c r="C729" s="19" t="s">
        <v>33</v>
      </c>
      <c r="D729" s="20" t="n">
        <v>1</v>
      </c>
      <c r="E729" s="20" t="n">
        <v>2</v>
      </c>
      <c r="F729" s="21" t="n">
        <f aca="false">'📋 Matches'!E9</f>
        <v>0</v>
      </c>
      <c r="G729" s="21" t="n">
        <f aca="false">'📋 Matches'!F9</f>
        <v>0</v>
      </c>
      <c r="H729" s="22" t="str">
        <f aca="false">IF(AND(ISNUMBER(F729),ISNUMBER(G729)),IF(SIGN(D729-E729)=SIGN(F729-G729),48,0),"")</f>
        <v/>
      </c>
      <c r="I729" s="22" t="str">
        <f aca="false">IF(AND(ISNUMBER(F729),ISNUMBER(G729)),IF(D729=F729,15,0),"")</f>
        <v/>
      </c>
      <c r="J729" s="22" t="str">
        <f aca="false">IF(AND(ISNUMBER(F729),ISNUMBER(G729)),IF(E729=G729,15,0),"")</f>
        <v/>
      </c>
      <c r="K729" s="22" t="str">
        <f aca="false">IF(AND(ISNUMBER(F729),ISNUMBER(G729)),IF(ABS(D729-E729)=ABS(F729-G729),12,0),"")</f>
        <v/>
      </c>
      <c r="L729" s="23" t="str">
        <f aca="false">IF(ISNUMBER(H729),H729+I729+J729+K729,"")</f>
        <v/>
      </c>
    </row>
    <row r="730" customFormat="false" ht="18" hidden="false" customHeight="true" outlineLevel="0" collapsed="false">
      <c r="A730" s="17" t="s">
        <v>9</v>
      </c>
      <c r="B730" s="18" t="s">
        <v>158</v>
      </c>
      <c r="C730" s="19" t="s">
        <v>36</v>
      </c>
      <c r="D730" s="20" t="n">
        <v>4</v>
      </c>
      <c r="E730" s="20" t="n">
        <v>0</v>
      </c>
      <c r="F730" s="21" t="n">
        <f aca="false">'📋 Matches'!E10</f>
        <v>0</v>
      </c>
      <c r="G730" s="21" t="n">
        <f aca="false">'📋 Matches'!F10</f>
        <v>0</v>
      </c>
      <c r="H730" s="22" t="str">
        <f aca="false">IF(AND(ISNUMBER(F730),ISNUMBER(G730)),IF(SIGN(D730-E730)=SIGN(F730-G730),48,0),"")</f>
        <v/>
      </c>
      <c r="I730" s="22" t="str">
        <f aca="false">IF(AND(ISNUMBER(F730),ISNUMBER(G730)),IF(D730=F730,15,0),"")</f>
        <v/>
      </c>
      <c r="J730" s="22" t="str">
        <f aca="false">IF(AND(ISNUMBER(F730),ISNUMBER(G730)),IF(E730=G730,15,0),"")</f>
        <v/>
      </c>
      <c r="K730" s="22" t="str">
        <f aca="false">IF(AND(ISNUMBER(F730),ISNUMBER(G730)),IF(ABS(D730-E730)=ABS(F730-G730),12,0),"")</f>
        <v/>
      </c>
      <c r="L730" s="23" t="str">
        <f aca="false">IF(ISNUMBER(H730),H730+I730+J730+K730,"")</f>
        <v/>
      </c>
    </row>
    <row r="731" customFormat="false" ht="18" hidden="false" customHeight="true" outlineLevel="0" collapsed="false">
      <c r="A731" s="17" t="s">
        <v>9</v>
      </c>
      <c r="B731" s="18" t="s">
        <v>158</v>
      </c>
      <c r="C731" s="19" t="s">
        <v>39</v>
      </c>
      <c r="D731" s="20" t="n">
        <v>3</v>
      </c>
      <c r="E731" s="20" t="n">
        <v>2</v>
      </c>
      <c r="F731" s="21" t="n">
        <f aca="false">'📋 Matches'!E11</f>
        <v>0</v>
      </c>
      <c r="G731" s="21" t="n">
        <f aca="false">'📋 Matches'!F11</f>
        <v>0</v>
      </c>
      <c r="H731" s="22" t="str">
        <f aca="false">IF(AND(ISNUMBER(F731),ISNUMBER(G731)),IF(SIGN(D731-E731)=SIGN(F731-G731),48,0),"")</f>
        <v/>
      </c>
      <c r="I731" s="22" t="str">
        <f aca="false">IF(AND(ISNUMBER(F731),ISNUMBER(G731)),IF(D731=F731,15,0),"")</f>
        <v/>
      </c>
      <c r="J731" s="22" t="str">
        <f aca="false">IF(AND(ISNUMBER(F731),ISNUMBER(G731)),IF(E731=G731,15,0),"")</f>
        <v/>
      </c>
      <c r="K731" s="22" t="str">
        <f aca="false">IF(AND(ISNUMBER(F731),ISNUMBER(G731)),IF(ABS(D731-E731)=ABS(F731-G731),12,0),"")</f>
        <v/>
      </c>
      <c r="L731" s="23" t="str">
        <f aca="false">IF(ISNUMBER(H731),H731+I731+J731+K731,"")</f>
        <v/>
      </c>
    </row>
    <row r="732" customFormat="false" ht="18" hidden="false" customHeight="true" outlineLevel="0" collapsed="false">
      <c r="A732" s="17" t="s">
        <v>9</v>
      </c>
      <c r="B732" s="18" t="s">
        <v>158</v>
      </c>
      <c r="C732" s="19" t="s">
        <v>42</v>
      </c>
      <c r="D732" s="20" t="n">
        <v>1</v>
      </c>
      <c r="E732" s="20" t="n">
        <v>1</v>
      </c>
      <c r="F732" s="21" t="n">
        <f aca="false">'📋 Matches'!E12</f>
        <v>0</v>
      </c>
      <c r="G732" s="21" t="n">
        <f aca="false">'📋 Matches'!F12</f>
        <v>0</v>
      </c>
      <c r="H732" s="22" t="str">
        <f aca="false">IF(AND(ISNUMBER(F732),ISNUMBER(G732)),IF(SIGN(D732-E732)=SIGN(F732-G732),48,0),"")</f>
        <v/>
      </c>
      <c r="I732" s="22" t="str">
        <f aca="false">IF(AND(ISNUMBER(F732),ISNUMBER(G732)),IF(D732=F732,15,0),"")</f>
        <v/>
      </c>
      <c r="J732" s="22" t="str">
        <f aca="false">IF(AND(ISNUMBER(F732),ISNUMBER(G732)),IF(E732=G732,15,0),"")</f>
        <v/>
      </c>
      <c r="K732" s="22" t="str">
        <f aca="false">IF(AND(ISNUMBER(F732),ISNUMBER(G732)),IF(ABS(D732-E732)=ABS(F732-G732),12,0),"")</f>
        <v/>
      </c>
      <c r="L732" s="23" t="str">
        <f aca="false">IF(ISNUMBER(H732),H732+I732+J732+K732,"")</f>
        <v/>
      </c>
    </row>
    <row r="733" customFormat="false" ht="18" hidden="false" customHeight="true" outlineLevel="0" collapsed="false">
      <c r="A733" s="17" t="s">
        <v>9</v>
      </c>
      <c r="B733" s="18" t="s">
        <v>158</v>
      </c>
      <c r="C733" s="19" t="s">
        <v>45</v>
      </c>
      <c r="D733" s="20" t="n">
        <v>3</v>
      </c>
      <c r="E733" s="20" t="n">
        <v>0</v>
      </c>
      <c r="F733" s="21" t="n">
        <f aca="false">'📋 Matches'!E13</f>
        <v>0</v>
      </c>
      <c r="G733" s="21" t="n">
        <f aca="false">'📋 Matches'!F13</f>
        <v>0</v>
      </c>
      <c r="H733" s="22" t="str">
        <f aca="false">IF(AND(ISNUMBER(F733),ISNUMBER(G733)),IF(SIGN(D733-E733)=SIGN(F733-G733),48,0),"")</f>
        <v/>
      </c>
      <c r="I733" s="22" t="str">
        <f aca="false">IF(AND(ISNUMBER(F733),ISNUMBER(G733)),IF(D733=F733,15,0),"")</f>
        <v/>
      </c>
      <c r="J733" s="22" t="str">
        <f aca="false">IF(AND(ISNUMBER(F733),ISNUMBER(G733)),IF(E733=G733,15,0),"")</f>
        <v/>
      </c>
      <c r="K733" s="22" t="str">
        <f aca="false">IF(AND(ISNUMBER(F733),ISNUMBER(G733)),IF(ABS(D733-E733)=ABS(F733-G733),12,0),"")</f>
        <v/>
      </c>
      <c r="L733" s="23" t="str">
        <f aca="false">IF(ISNUMBER(H733),H733+I733+J733+K733,"")</f>
        <v/>
      </c>
    </row>
    <row r="734" customFormat="false" ht="18" hidden="false" customHeight="true" outlineLevel="0" collapsed="false">
      <c r="A734" s="17" t="s">
        <v>9</v>
      </c>
      <c r="B734" s="18" t="s">
        <v>158</v>
      </c>
      <c r="C734" s="19" t="s">
        <v>48</v>
      </c>
      <c r="D734" s="20" t="n">
        <v>3</v>
      </c>
      <c r="E734" s="20" t="n">
        <v>1</v>
      </c>
      <c r="F734" s="21" t="n">
        <f aca="false">'📋 Matches'!E14</f>
        <v>0</v>
      </c>
      <c r="G734" s="21" t="n">
        <f aca="false">'📋 Matches'!F14</f>
        <v>0</v>
      </c>
      <c r="H734" s="22" t="str">
        <f aca="false">IF(AND(ISNUMBER(F734),ISNUMBER(G734)),IF(SIGN(D734-E734)=SIGN(F734-G734),48,0),"")</f>
        <v/>
      </c>
      <c r="I734" s="22" t="str">
        <f aca="false">IF(AND(ISNUMBER(F734),ISNUMBER(G734)),IF(D734=F734,15,0),"")</f>
        <v/>
      </c>
      <c r="J734" s="22" t="str">
        <f aca="false">IF(AND(ISNUMBER(F734),ISNUMBER(G734)),IF(E734=G734,15,0),"")</f>
        <v/>
      </c>
      <c r="K734" s="22" t="str">
        <f aca="false">IF(AND(ISNUMBER(F734),ISNUMBER(G734)),IF(ABS(D734-E734)=ABS(F734-G734),12,0),"")</f>
        <v/>
      </c>
      <c r="L734" s="23" t="str">
        <f aca="false">IF(ISNUMBER(H734),H734+I734+J734+K734,"")</f>
        <v/>
      </c>
    </row>
    <row r="735" customFormat="false" ht="18" hidden="false" customHeight="true" outlineLevel="0" collapsed="false">
      <c r="A735" s="17" t="s">
        <v>9</v>
      </c>
      <c r="B735" s="18" t="s">
        <v>158</v>
      </c>
      <c r="C735" s="19" t="s">
        <v>51</v>
      </c>
      <c r="D735" s="20" t="n">
        <v>2</v>
      </c>
      <c r="E735" s="20" t="n">
        <v>1</v>
      </c>
      <c r="F735" s="21" t="n">
        <f aca="false">'📋 Matches'!E15</f>
        <v>0</v>
      </c>
      <c r="G735" s="21" t="n">
        <f aca="false">'📋 Matches'!F15</f>
        <v>0</v>
      </c>
      <c r="H735" s="22" t="str">
        <f aca="false">IF(AND(ISNUMBER(F735),ISNUMBER(G735)),IF(SIGN(D735-E735)=SIGN(F735-G735),48,0),"")</f>
        <v/>
      </c>
      <c r="I735" s="22" t="str">
        <f aca="false">IF(AND(ISNUMBER(F735),ISNUMBER(G735)),IF(D735=F735,15,0),"")</f>
        <v/>
      </c>
      <c r="J735" s="22" t="str">
        <f aca="false">IF(AND(ISNUMBER(F735),ISNUMBER(G735)),IF(E735=G735,15,0),"")</f>
        <v/>
      </c>
      <c r="K735" s="22" t="str">
        <f aca="false">IF(AND(ISNUMBER(F735),ISNUMBER(G735)),IF(ABS(D735-E735)=ABS(F735-G735),12,0),"")</f>
        <v/>
      </c>
      <c r="L735" s="23" t="str">
        <f aca="false">IF(ISNUMBER(H735),H735+I735+J735+K735,"")</f>
        <v/>
      </c>
    </row>
    <row r="736" customFormat="false" ht="18" hidden="false" customHeight="true" outlineLevel="0" collapsed="false">
      <c r="A736" s="17" t="s">
        <v>9</v>
      </c>
      <c r="B736" s="18" t="s">
        <v>158</v>
      </c>
      <c r="C736" s="19" t="s">
        <v>54</v>
      </c>
      <c r="D736" s="20" t="n">
        <v>0</v>
      </c>
      <c r="E736" s="20" t="n">
        <v>1</v>
      </c>
      <c r="F736" s="21" t="n">
        <f aca="false">'📋 Matches'!E16</f>
        <v>0</v>
      </c>
      <c r="G736" s="21" t="n">
        <f aca="false">'📋 Matches'!F16</f>
        <v>0</v>
      </c>
      <c r="H736" s="22" t="str">
        <f aca="false">IF(AND(ISNUMBER(F736),ISNUMBER(G736)),IF(SIGN(D736-E736)=SIGN(F736-G736),48,0),"")</f>
        <v/>
      </c>
      <c r="I736" s="22" t="str">
        <f aca="false">IF(AND(ISNUMBER(F736),ISNUMBER(G736)),IF(D736=F736,15,0),"")</f>
        <v/>
      </c>
      <c r="J736" s="22" t="str">
        <f aca="false">IF(AND(ISNUMBER(F736),ISNUMBER(G736)),IF(E736=G736,15,0),"")</f>
        <v/>
      </c>
      <c r="K736" s="22" t="str">
        <f aca="false">IF(AND(ISNUMBER(F736),ISNUMBER(G736)),IF(ABS(D736-E736)=ABS(F736-G736),12,0),"")</f>
        <v/>
      </c>
      <c r="L736" s="23" t="str">
        <f aca="false">IF(ISNUMBER(H736),H736+I736+J736+K736,"")</f>
        <v/>
      </c>
    </row>
    <row r="737" customFormat="false" ht="18" hidden="false" customHeight="true" outlineLevel="0" collapsed="false">
      <c r="A737" s="17" t="s">
        <v>9</v>
      </c>
      <c r="B737" s="18" t="s">
        <v>158</v>
      </c>
      <c r="C737" s="19" t="s">
        <v>57</v>
      </c>
      <c r="D737" s="20" t="n">
        <v>2</v>
      </c>
      <c r="E737" s="20" t="n">
        <v>0</v>
      </c>
      <c r="F737" s="21" t="n">
        <f aca="false">'📋 Matches'!E17</f>
        <v>0</v>
      </c>
      <c r="G737" s="21" t="n">
        <f aca="false">'📋 Matches'!F17</f>
        <v>0</v>
      </c>
      <c r="H737" s="22" t="str">
        <f aca="false">IF(AND(ISNUMBER(F737),ISNUMBER(G737)),IF(SIGN(D737-E737)=SIGN(F737-G737),48,0),"")</f>
        <v/>
      </c>
      <c r="I737" s="22" t="str">
        <f aca="false">IF(AND(ISNUMBER(F737),ISNUMBER(G737)),IF(D737=F737,15,0),"")</f>
        <v/>
      </c>
      <c r="J737" s="22" t="str">
        <f aca="false">IF(AND(ISNUMBER(F737),ISNUMBER(G737)),IF(E737=G737,15,0),"")</f>
        <v/>
      </c>
      <c r="K737" s="22" t="str">
        <f aca="false">IF(AND(ISNUMBER(F737),ISNUMBER(G737)),IF(ABS(D737-E737)=ABS(F737-G737),12,0),"")</f>
        <v/>
      </c>
      <c r="L737" s="23" t="str">
        <f aca="false">IF(ISNUMBER(H737),H737+I737+J737+K737,"")</f>
        <v/>
      </c>
    </row>
    <row r="738" customFormat="false" ht="18" hidden="false" customHeight="true" outlineLevel="0" collapsed="false">
      <c r="A738" s="17" t="s">
        <v>9</v>
      </c>
      <c r="B738" s="18" t="s">
        <v>158</v>
      </c>
      <c r="C738" s="19" t="s">
        <v>60</v>
      </c>
      <c r="D738" s="20" t="n">
        <v>2</v>
      </c>
      <c r="E738" s="20" t="n">
        <v>1</v>
      </c>
      <c r="F738" s="21" t="n">
        <f aca="false">'📋 Matches'!E18</f>
        <v>0</v>
      </c>
      <c r="G738" s="21" t="n">
        <f aca="false">'📋 Matches'!F18</f>
        <v>0</v>
      </c>
      <c r="H738" s="22" t="str">
        <f aca="false">IF(AND(ISNUMBER(F738),ISNUMBER(G738)),IF(SIGN(D738-E738)=SIGN(F738-G738),48,0),"")</f>
        <v/>
      </c>
      <c r="I738" s="22" t="str">
        <f aca="false">IF(AND(ISNUMBER(F738),ISNUMBER(G738)),IF(D738=F738,15,0),"")</f>
        <v/>
      </c>
      <c r="J738" s="22" t="str">
        <f aca="false">IF(AND(ISNUMBER(F738),ISNUMBER(G738)),IF(E738=G738,15,0),"")</f>
        <v/>
      </c>
      <c r="K738" s="22" t="str">
        <f aca="false">IF(AND(ISNUMBER(F738),ISNUMBER(G738)),IF(ABS(D738-E738)=ABS(F738-G738),12,0),"")</f>
        <v/>
      </c>
      <c r="L738" s="23" t="str">
        <f aca="false">IF(ISNUMBER(H738),H738+I738+J738+K738,"")</f>
        <v/>
      </c>
    </row>
    <row r="739" customFormat="false" ht="18" hidden="false" customHeight="true" outlineLevel="0" collapsed="false">
      <c r="A739" s="17" t="s">
        <v>9</v>
      </c>
      <c r="B739" s="18" t="s">
        <v>158</v>
      </c>
      <c r="C739" s="19" t="s">
        <v>63</v>
      </c>
      <c r="D739" s="20" t="n">
        <v>0</v>
      </c>
      <c r="E739" s="20" t="n">
        <v>4</v>
      </c>
      <c r="F739" s="21" t="n">
        <f aca="false">'📋 Matches'!E19</f>
        <v>0</v>
      </c>
      <c r="G739" s="21" t="n">
        <f aca="false">'📋 Matches'!F19</f>
        <v>0</v>
      </c>
      <c r="H739" s="22" t="str">
        <f aca="false">IF(AND(ISNUMBER(F739),ISNUMBER(G739)),IF(SIGN(D739-E739)=SIGN(F739-G739),48,0),"")</f>
        <v/>
      </c>
      <c r="I739" s="22" t="str">
        <f aca="false">IF(AND(ISNUMBER(F739),ISNUMBER(G739)),IF(D739=F739,15,0),"")</f>
        <v/>
      </c>
      <c r="J739" s="22" t="str">
        <f aca="false">IF(AND(ISNUMBER(F739),ISNUMBER(G739)),IF(E739=G739,15,0),"")</f>
        <v/>
      </c>
      <c r="K739" s="22" t="str">
        <f aca="false">IF(AND(ISNUMBER(F739),ISNUMBER(G739)),IF(ABS(D739-E739)=ABS(F739-G739),12,0),"")</f>
        <v/>
      </c>
      <c r="L739" s="23" t="str">
        <f aca="false">IF(ISNUMBER(H739),H739+I739+J739+K739,"")</f>
        <v/>
      </c>
    </row>
    <row r="740" customFormat="false" ht="18" hidden="false" customHeight="true" outlineLevel="0" collapsed="false">
      <c r="A740" s="17" t="s">
        <v>9</v>
      </c>
      <c r="B740" s="18" t="s">
        <v>158</v>
      </c>
      <c r="C740" s="19" t="s">
        <v>66</v>
      </c>
      <c r="D740" s="20" t="n">
        <v>5</v>
      </c>
      <c r="E740" s="20" t="n">
        <v>1</v>
      </c>
      <c r="F740" s="21" t="n">
        <f aca="false">'📋 Matches'!E20</f>
        <v>0</v>
      </c>
      <c r="G740" s="21" t="n">
        <f aca="false">'📋 Matches'!F20</f>
        <v>0</v>
      </c>
      <c r="H740" s="22" t="str">
        <f aca="false">IF(AND(ISNUMBER(F740),ISNUMBER(G740)),IF(SIGN(D740-E740)=SIGN(F740-G740),48,0),"")</f>
        <v/>
      </c>
      <c r="I740" s="22" t="str">
        <f aca="false">IF(AND(ISNUMBER(F740),ISNUMBER(G740)),IF(D740=F740,15,0),"")</f>
        <v/>
      </c>
      <c r="J740" s="22" t="str">
        <f aca="false">IF(AND(ISNUMBER(F740),ISNUMBER(G740)),IF(E740=G740,15,0),"")</f>
        <v/>
      </c>
      <c r="K740" s="22" t="str">
        <f aca="false">IF(AND(ISNUMBER(F740),ISNUMBER(G740)),IF(ABS(D740-E740)=ABS(F740-G740),12,0),"")</f>
        <v/>
      </c>
      <c r="L740" s="23" t="str">
        <f aca="false">IF(ISNUMBER(H740),H740+I740+J740+K740,"")</f>
        <v/>
      </c>
    </row>
    <row r="741" customFormat="false" ht="18" hidden="false" customHeight="true" outlineLevel="0" collapsed="false">
      <c r="A741" s="17" t="s">
        <v>9</v>
      </c>
      <c r="B741" s="18" t="s">
        <v>158</v>
      </c>
      <c r="C741" s="19" t="s">
        <v>69</v>
      </c>
      <c r="D741" s="20" t="n">
        <v>6</v>
      </c>
      <c r="E741" s="20" t="n">
        <v>0</v>
      </c>
      <c r="F741" s="21" t="n">
        <f aca="false">'📋 Matches'!E21</f>
        <v>0</v>
      </c>
      <c r="G741" s="21" t="n">
        <f aca="false">'📋 Matches'!F21</f>
        <v>0</v>
      </c>
      <c r="H741" s="22" t="str">
        <f aca="false">IF(AND(ISNUMBER(F741),ISNUMBER(G741)),IF(SIGN(D741-E741)=SIGN(F741-G741),48,0),"")</f>
        <v/>
      </c>
      <c r="I741" s="22" t="str">
        <f aca="false">IF(AND(ISNUMBER(F741),ISNUMBER(G741)),IF(D741=F741,15,0),"")</f>
        <v/>
      </c>
      <c r="J741" s="22" t="str">
        <f aca="false">IF(AND(ISNUMBER(F741),ISNUMBER(G741)),IF(E741=G741,15,0),"")</f>
        <v/>
      </c>
      <c r="K741" s="22" t="str">
        <f aca="false">IF(AND(ISNUMBER(F741),ISNUMBER(G741)),IF(ABS(D741-E741)=ABS(F741-G741),12,0),"")</f>
        <v/>
      </c>
      <c r="L741" s="23" t="str">
        <f aca="false">IF(ISNUMBER(H741),H741+I741+J741+K741,"")</f>
        <v/>
      </c>
    </row>
    <row r="742" customFormat="false" ht="18" hidden="false" customHeight="true" outlineLevel="0" collapsed="false">
      <c r="A742" s="17" t="s">
        <v>9</v>
      </c>
      <c r="B742" s="18" t="s">
        <v>158</v>
      </c>
      <c r="C742" s="19" t="s">
        <v>72</v>
      </c>
      <c r="D742" s="20" t="n">
        <v>2</v>
      </c>
      <c r="E742" s="20" t="n">
        <v>1</v>
      </c>
      <c r="F742" s="21" t="n">
        <f aca="false">'📋 Matches'!E22</f>
        <v>0</v>
      </c>
      <c r="G742" s="21" t="n">
        <f aca="false">'📋 Matches'!F22</f>
        <v>0</v>
      </c>
      <c r="H742" s="22" t="str">
        <f aca="false">IF(AND(ISNUMBER(F742),ISNUMBER(G742)),IF(SIGN(D742-E742)=SIGN(F742-G742),48,0),"")</f>
        <v/>
      </c>
      <c r="I742" s="22" t="str">
        <f aca="false">IF(AND(ISNUMBER(F742),ISNUMBER(G742)),IF(D742=F742,15,0),"")</f>
        <v/>
      </c>
      <c r="J742" s="22" t="str">
        <f aca="false">IF(AND(ISNUMBER(F742),ISNUMBER(G742)),IF(E742=G742,15,0),"")</f>
        <v/>
      </c>
      <c r="K742" s="22" t="str">
        <f aca="false">IF(AND(ISNUMBER(F742),ISNUMBER(G742)),IF(ABS(D742-E742)=ABS(F742-G742),12,0),"")</f>
        <v/>
      </c>
      <c r="L742" s="23" t="str">
        <f aca="false">IF(ISNUMBER(H742),H742+I742+J742+K742,"")</f>
        <v/>
      </c>
    </row>
    <row r="743" customFormat="false" ht="18" hidden="false" customHeight="true" outlineLevel="0" collapsed="false">
      <c r="A743" s="17" t="s">
        <v>9</v>
      </c>
      <c r="B743" s="18" t="s">
        <v>158</v>
      </c>
      <c r="C743" s="19" t="s">
        <v>75</v>
      </c>
      <c r="D743" s="20" t="n">
        <v>0</v>
      </c>
      <c r="E743" s="20" t="n">
        <v>0</v>
      </c>
      <c r="F743" s="21" t="n">
        <f aca="false">'📋 Matches'!E23</f>
        <v>0</v>
      </c>
      <c r="G743" s="21" t="n">
        <f aca="false">'📋 Matches'!F23</f>
        <v>0</v>
      </c>
      <c r="H743" s="22" t="str">
        <f aca="false">IF(AND(ISNUMBER(F743),ISNUMBER(G743)),IF(SIGN(D743-E743)=SIGN(F743-G743),48,0),"")</f>
        <v/>
      </c>
      <c r="I743" s="22" t="str">
        <f aca="false">IF(AND(ISNUMBER(F743),ISNUMBER(G743)),IF(D743=F743,15,0),"")</f>
        <v/>
      </c>
      <c r="J743" s="22" t="str">
        <f aca="false">IF(AND(ISNUMBER(F743),ISNUMBER(G743)),IF(E743=G743,15,0),"")</f>
        <v/>
      </c>
      <c r="K743" s="22" t="str">
        <f aca="false">IF(AND(ISNUMBER(F743),ISNUMBER(G743)),IF(ABS(D743-E743)=ABS(F743-G743),12,0),"")</f>
        <v/>
      </c>
      <c r="L743" s="23" t="str">
        <f aca="false">IF(ISNUMBER(H743),H743+I743+J743+K743,"")</f>
        <v/>
      </c>
    </row>
    <row r="744" customFormat="false" ht="18" hidden="false" customHeight="true" outlineLevel="0" collapsed="false">
      <c r="A744" s="17" t="s">
        <v>9</v>
      </c>
      <c r="B744" s="18" t="s">
        <v>158</v>
      </c>
      <c r="C744" s="19" t="s">
        <v>78</v>
      </c>
      <c r="D744" s="20" t="n">
        <v>1</v>
      </c>
      <c r="E744" s="20" t="n">
        <v>0</v>
      </c>
      <c r="F744" s="21" t="n">
        <f aca="false">'📋 Matches'!E24</f>
        <v>0</v>
      </c>
      <c r="G744" s="21" t="n">
        <f aca="false">'📋 Matches'!F24</f>
        <v>0</v>
      </c>
      <c r="H744" s="22" t="str">
        <f aca="false">IF(AND(ISNUMBER(F744),ISNUMBER(G744)),IF(SIGN(D744-E744)=SIGN(F744-G744),48,0),"")</f>
        <v/>
      </c>
      <c r="I744" s="22" t="str">
        <f aca="false">IF(AND(ISNUMBER(F744),ISNUMBER(G744)),IF(D744=F744,15,0),"")</f>
        <v/>
      </c>
      <c r="J744" s="22" t="str">
        <f aca="false">IF(AND(ISNUMBER(F744),ISNUMBER(G744)),IF(E744=G744,15,0),"")</f>
        <v/>
      </c>
      <c r="K744" s="22" t="str">
        <f aca="false">IF(AND(ISNUMBER(F744),ISNUMBER(G744)),IF(ABS(D744-E744)=ABS(F744-G744),12,0),"")</f>
        <v/>
      </c>
      <c r="L744" s="23" t="str">
        <f aca="false">IF(ISNUMBER(H744),H744+I744+J744+K744,"")</f>
        <v/>
      </c>
    </row>
    <row r="745" customFormat="false" ht="18" hidden="false" customHeight="true" outlineLevel="0" collapsed="false">
      <c r="A745" s="17" t="s">
        <v>9</v>
      </c>
      <c r="B745" s="18" t="s">
        <v>158</v>
      </c>
      <c r="C745" s="19" t="s">
        <v>81</v>
      </c>
      <c r="D745" s="20" t="n">
        <v>1</v>
      </c>
      <c r="E745" s="20" t="n">
        <v>2</v>
      </c>
      <c r="F745" s="21" t="n">
        <f aca="false">'📋 Matches'!E25</f>
        <v>0</v>
      </c>
      <c r="G745" s="21" t="n">
        <f aca="false">'📋 Matches'!F25</f>
        <v>0</v>
      </c>
      <c r="H745" s="22" t="str">
        <f aca="false">IF(AND(ISNUMBER(F745),ISNUMBER(G745)),IF(SIGN(D745-E745)=SIGN(F745-G745),48,0),"")</f>
        <v/>
      </c>
      <c r="I745" s="22" t="str">
        <f aca="false">IF(AND(ISNUMBER(F745),ISNUMBER(G745)),IF(D745=F745,15,0),"")</f>
        <v/>
      </c>
      <c r="J745" s="22" t="str">
        <f aca="false">IF(AND(ISNUMBER(F745),ISNUMBER(G745)),IF(E745=G745,15,0),"")</f>
        <v/>
      </c>
      <c r="K745" s="22" t="str">
        <f aca="false">IF(AND(ISNUMBER(F745),ISNUMBER(G745)),IF(ABS(D745-E745)=ABS(F745-G745),12,0),"")</f>
        <v/>
      </c>
      <c r="L745" s="23" t="str">
        <f aca="false">IF(ISNUMBER(H745),H745+I745+J745+K745,"")</f>
        <v/>
      </c>
    </row>
    <row r="746" customFormat="false" ht="18" hidden="false" customHeight="true" outlineLevel="0" collapsed="false">
      <c r="A746" s="17" t="s">
        <v>84</v>
      </c>
      <c r="B746" s="18" t="s">
        <v>158</v>
      </c>
      <c r="C746" s="19" t="s">
        <v>85</v>
      </c>
      <c r="D746" s="20"/>
      <c r="E746" s="20"/>
      <c r="F746" s="21" t="n">
        <f aca="false">'📋 Matches'!E26</f>
        <v>0</v>
      </c>
      <c r="G746" s="21" t="n">
        <f aca="false">'📋 Matches'!F26</f>
        <v>0</v>
      </c>
      <c r="H746" s="24" t="s">
        <v>148</v>
      </c>
      <c r="I746" s="24" t="s">
        <v>148</v>
      </c>
      <c r="J746" s="24" t="s">
        <v>148</v>
      </c>
      <c r="K746" s="24" t="s">
        <v>148</v>
      </c>
      <c r="L746" s="24" t="s">
        <v>148</v>
      </c>
    </row>
    <row r="747" customFormat="false" ht="18" hidden="false" customHeight="true" outlineLevel="0" collapsed="false">
      <c r="A747" s="17" t="s">
        <v>84</v>
      </c>
      <c r="B747" s="18" t="s">
        <v>158</v>
      </c>
      <c r="C747" s="19" t="s">
        <v>87</v>
      </c>
      <c r="D747" s="20"/>
      <c r="E747" s="20"/>
      <c r="F747" s="21" t="n">
        <f aca="false">'📋 Matches'!E27</f>
        <v>0</v>
      </c>
      <c r="G747" s="21" t="n">
        <f aca="false">'📋 Matches'!F27</f>
        <v>0</v>
      </c>
      <c r="H747" s="24" t="s">
        <v>148</v>
      </c>
      <c r="I747" s="24" t="s">
        <v>148</v>
      </c>
      <c r="J747" s="24" t="s">
        <v>148</v>
      </c>
      <c r="K747" s="24" t="s">
        <v>148</v>
      </c>
      <c r="L747" s="24" t="s">
        <v>148</v>
      </c>
    </row>
    <row r="748" customFormat="false" ht="18" hidden="false" customHeight="true" outlineLevel="0" collapsed="false">
      <c r="A748" s="17" t="s">
        <v>84</v>
      </c>
      <c r="B748" s="18" t="s">
        <v>158</v>
      </c>
      <c r="C748" s="19" t="s">
        <v>89</v>
      </c>
      <c r="D748" s="20"/>
      <c r="E748" s="20"/>
      <c r="F748" s="21" t="n">
        <f aca="false">'📋 Matches'!E28</f>
        <v>0</v>
      </c>
      <c r="G748" s="21" t="n">
        <f aca="false">'📋 Matches'!F28</f>
        <v>0</v>
      </c>
      <c r="H748" s="24" t="s">
        <v>148</v>
      </c>
      <c r="I748" s="24" t="s">
        <v>148</v>
      </c>
      <c r="J748" s="24" t="s">
        <v>148</v>
      </c>
      <c r="K748" s="24" t="s">
        <v>148</v>
      </c>
      <c r="L748" s="24" t="s">
        <v>148</v>
      </c>
    </row>
    <row r="749" customFormat="false" ht="18" hidden="false" customHeight="true" outlineLevel="0" collapsed="false">
      <c r="A749" s="17" t="s">
        <v>84</v>
      </c>
      <c r="B749" s="18" t="s">
        <v>158</v>
      </c>
      <c r="C749" s="19" t="s">
        <v>90</v>
      </c>
      <c r="D749" s="20"/>
      <c r="E749" s="20"/>
      <c r="F749" s="21" t="n">
        <f aca="false">'📋 Matches'!E29</f>
        <v>0</v>
      </c>
      <c r="G749" s="21" t="n">
        <f aca="false">'📋 Matches'!F29</f>
        <v>0</v>
      </c>
      <c r="H749" s="24" t="s">
        <v>148</v>
      </c>
      <c r="I749" s="24" t="s">
        <v>148</v>
      </c>
      <c r="J749" s="24" t="s">
        <v>148</v>
      </c>
      <c r="K749" s="24" t="s">
        <v>148</v>
      </c>
      <c r="L749" s="24" t="s">
        <v>148</v>
      </c>
    </row>
    <row r="750" customFormat="false" ht="18" hidden="false" customHeight="true" outlineLevel="0" collapsed="false">
      <c r="A750" s="17" t="s">
        <v>84</v>
      </c>
      <c r="B750" s="18" t="s">
        <v>158</v>
      </c>
      <c r="C750" s="19" t="s">
        <v>91</v>
      </c>
      <c r="D750" s="20"/>
      <c r="E750" s="20"/>
      <c r="F750" s="21" t="n">
        <f aca="false">'📋 Matches'!E30</f>
        <v>0</v>
      </c>
      <c r="G750" s="21" t="n">
        <f aca="false">'📋 Matches'!F30</f>
        <v>0</v>
      </c>
      <c r="H750" s="24" t="s">
        <v>148</v>
      </c>
      <c r="I750" s="24" t="s">
        <v>148</v>
      </c>
      <c r="J750" s="24" t="s">
        <v>148</v>
      </c>
      <c r="K750" s="24" t="s">
        <v>148</v>
      </c>
      <c r="L750" s="24" t="s">
        <v>148</v>
      </c>
    </row>
    <row r="751" customFormat="false" ht="18" hidden="false" customHeight="true" outlineLevel="0" collapsed="false">
      <c r="A751" s="17" t="s">
        <v>84</v>
      </c>
      <c r="B751" s="18" t="s">
        <v>158</v>
      </c>
      <c r="C751" s="19" t="s">
        <v>92</v>
      </c>
      <c r="D751" s="20"/>
      <c r="E751" s="20"/>
      <c r="F751" s="21" t="n">
        <f aca="false">'📋 Matches'!E31</f>
        <v>0</v>
      </c>
      <c r="G751" s="21" t="n">
        <f aca="false">'📋 Matches'!F31</f>
        <v>0</v>
      </c>
      <c r="H751" s="24" t="s">
        <v>148</v>
      </c>
      <c r="I751" s="24" t="s">
        <v>148</v>
      </c>
      <c r="J751" s="24" t="s">
        <v>148</v>
      </c>
      <c r="K751" s="24" t="s">
        <v>148</v>
      </c>
      <c r="L751" s="24" t="s">
        <v>148</v>
      </c>
    </row>
    <row r="752" customFormat="false" ht="18" hidden="false" customHeight="true" outlineLevel="0" collapsed="false">
      <c r="A752" s="17" t="s">
        <v>84</v>
      </c>
      <c r="B752" s="18" t="s">
        <v>158</v>
      </c>
      <c r="C752" s="19" t="s">
        <v>93</v>
      </c>
      <c r="D752" s="20"/>
      <c r="E752" s="20"/>
      <c r="F752" s="21" t="n">
        <f aca="false">'📋 Matches'!E32</f>
        <v>0</v>
      </c>
      <c r="G752" s="21" t="n">
        <f aca="false">'📋 Matches'!F32</f>
        <v>0</v>
      </c>
      <c r="H752" s="24" t="s">
        <v>148</v>
      </c>
      <c r="I752" s="24" t="s">
        <v>148</v>
      </c>
      <c r="J752" s="24" t="s">
        <v>148</v>
      </c>
      <c r="K752" s="24" t="s">
        <v>148</v>
      </c>
      <c r="L752" s="24" t="s">
        <v>148</v>
      </c>
    </row>
    <row r="753" customFormat="false" ht="18" hidden="false" customHeight="true" outlineLevel="0" collapsed="false">
      <c r="A753" s="17" t="s">
        <v>84</v>
      </c>
      <c r="B753" s="18" t="s">
        <v>158</v>
      </c>
      <c r="C753" s="19" t="s">
        <v>94</v>
      </c>
      <c r="D753" s="20"/>
      <c r="E753" s="20"/>
      <c r="F753" s="21" t="n">
        <f aca="false">'📋 Matches'!E33</f>
        <v>0</v>
      </c>
      <c r="G753" s="21" t="n">
        <f aca="false">'📋 Matches'!F33</f>
        <v>0</v>
      </c>
      <c r="H753" s="24" t="s">
        <v>148</v>
      </c>
      <c r="I753" s="24" t="s">
        <v>148</v>
      </c>
      <c r="J753" s="24" t="s">
        <v>148</v>
      </c>
      <c r="K753" s="24" t="s">
        <v>148</v>
      </c>
      <c r="L753" s="24" t="s">
        <v>148</v>
      </c>
    </row>
    <row r="754" customFormat="false" ht="18" hidden="false" customHeight="true" outlineLevel="0" collapsed="false">
      <c r="A754" s="17" t="s">
        <v>84</v>
      </c>
      <c r="B754" s="18" t="s">
        <v>158</v>
      </c>
      <c r="C754" s="19" t="s">
        <v>96</v>
      </c>
      <c r="D754" s="20"/>
      <c r="E754" s="20"/>
      <c r="F754" s="21" t="n">
        <f aca="false">'📋 Matches'!E34</f>
        <v>0</v>
      </c>
      <c r="G754" s="21" t="n">
        <f aca="false">'📋 Matches'!F34</f>
        <v>0</v>
      </c>
      <c r="H754" s="24" t="s">
        <v>148</v>
      </c>
      <c r="I754" s="24" t="s">
        <v>148</v>
      </c>
      <c r="J754" s="24" t="s">
        <v>148</v>
      </c>
      <c r="K754" s="24" t="s">
        <v>148</v>
      </c>
      <c r="L754" s="24" t="s">
        <v>148</v>
      </c>
    </row>
    <row r="755" customFormat="false" ht="18" hidden="false" customHeight="true" outlineLevel="0" collapsed="false">
      <c r="A755" s="17" t="s">
        <v>84</v>
      </c>
      <c r="B755" s="18" t="s">
        <v>158</v>
      </c>
      <c r="C755" s="19" t="s">
        <v>97</v>
      </c>
      <c r="D755" s="20"/>
      <c r="E755" s="20"/>
      <c r="F755" s="21" t="n">
        <f aca="false">'📋 Matches'!E35</f>
        <v>0</v>
      </c>
      <c r="G755" s="21" t="n">
        <f aca="false">'📋 Matches'!F35</f>
        <v>0</v>
      </c>
      <c r="H755" s="24" t="s">
        <v>148</v>
      </c>
      <c r="I755" s="24" t="s">
        <v>148</v>
      </c>
      <c r="J755" s="24" t="s">
        <v>148</v>
      </c>
      <c r="K755" s="24" t="s">
        <v>148</v>
      </c>
      <c r="L755" s="24" t="s">
        <v>148</v>
      </c>
    </row>
    <row r="756" customFormat="false" ht="18" hidden="false" customHeight="true" outlineLevel="0" collapsed="false">
      <c r="A756" s="17" t="s">
        <v>84</v>
      </c>
      <c r="B756" s="18" t="s">
        <v>158</v>
      </c>
      <c r="C756" s="19" t="s">
        <v>98</v>
      </c>
      <c r="D756" s="20"/>
      <c r="E756" s="20"/>
      <c r="F756" s="21" t="n">
        <f aca="false">'📋 Matches'!E36</f>
        <v>0</v>
      </c>
      <c r="G756" s="21" t="n">
        <f aca="false">'📋 Matches'!F36</f>
        <v>0</v>
      </c>
      <c r="H756" s="24" t="s">
        <v>148</v>
      </c>
      <c r="I756" s="24" t="s">
        <v>148</v>
      </c>
      <c r="J756" s="24" t="s">
        <v>148</v>
      </c>
      <c r="K756" s="24" t="s">
        <v>148</v>
      </c>
      <c r="L756" s="24" t="s">
        <v>148</v>
      </c>
    </row>
    <row r="757" customFormat="false" ht="18" hidden="false" customHeight="true" outlineLevel="0" collapsed="false">
      <c r="A757" s="17" t="s">
        <v>84</v>
      </c>
      <c r="B757" s="18" t="s">
        <v>158</v>
      </c>
      <c r="C757" s="19" t="s">
        <v>100</v>
      </c>
      <c r="D757" s="20"/>
      <c r="E757" s="20"/>
      <c r="F757" s="21" t="n">
        <f aca="false">'📋 Matches'!E37</f>
        <v>0</v>
      </c>
      <c r="G757" s="21" t="n">
        <f aca="false">'📋 Matches'!F37</f>
        <v>0</v>
      </c>
      <c r="H757" s="24" t="s">
        <v>148</v>
      </c>
      <c r="I757" s="24" t="s">
        <v>148</v>
      </c>
      <c r="J757" s="24" t="s">
        <v>148</v>
      </c>
      <c r="K757" s="24" t="s">
        <v>148</v>
      </c>
      <c r="L757" s="24" t="s">
        <v>148</v>
      </c>
    </row>
    <row r="758" customFormat="false" ht="18" hidden="false" customHeight="true" outlineLevel="0" collapsed="false">
      <c r="A758" s="17" t="s">
        <v>84</v>
      </c>
      <c r="B758" s="18" t="s">
        <v>158</v>
      </c>
      <c r="C758" s="19" t="s">
        <v>101</v>
      </c>
      <c r="D758" s="20"/>
      <c r="E758" s="20"/>
      <c r="F758" s="21" t="n">
        <f aca="false">'📋 Matches'!E38</f>
        <v>0</v>
      </c>
      <c r="G758" s="21" t="n">
        <f aca="false">'📋 Matches'!F38</f>
        <v>0</v>
      </c>
      <c r="H758" s="24" t="s">
        <v>148</v>
      </c>
      <c r="I758" s="24" t="s">
        <v>148</v>
      </c>
      <c r="J758" s="24" t="s">
        <v>148</v>
      </c>
      <c r="K758" s="24" t="s">
        <v>148</v>
      </c>
      <c r="L758" s="24" t="s">
        <v>148</v>
      </c>
    </row>
    <row r="759" customFormat="false" ht="18" hidden="false" customHeight="true" outlineLevel="0" collapsed="false">
      <c r="A759" s="17" t="s">
        <v>84</v>
      </c>
      <c r="B759" s="18" t="s">
        <v>158</v>
      </c>
      <c r="C759" s="19" t="s">
        <v>102</v>
      </c>
      <c r="D759" s="20"/>
      <c r="E759" s="20"/>
      <c r="F759" s="21" t="n">
        <f aca="false">'📋 Matches'!E39</f>
        <v>0</v>
      </c>
      <c r="G759" s="21" t="n">
        <f aca="false">'📋 Matches'!F39</f>
        <v>0</v>
      </c>
      <c r="H759" s="24" t="s">
        <v>148</v>
      </c>
      <c r="I759" s="24" t="s">
        <v>148</v>
      </c>
      <c r="J759" s="24" t="s">
        <v>148</v>
      </c>
      <c r="K759" s="24" t="s">
        <v>148</v>
      </c>
      <c r="L759" s="24" t="s">
        <v>148</v>
      </c>
    </row>
    <row r="760" customFormat="false" ht="18" hidden="false" customHeight="true" outlineLevel="0" collapsed="false">
      <c r="A760" s="17" t="s">
        <v>84</v>
      </c>
      <c r="B760" s="18" t="s">
        <v>158</v>
      </c>
      <c r="C760" s="19" t="s">
        <v>103</v>
      </c>
      <c r="D760" s="20"/>
      <c r="E760" s="20"/>
      <c r="F760" s="21" t="n">
        <f aca="false">'📋 Matches'!E40</f>
        <v>0</v>
      </c>
      <c r="G760" s="21" t="n">
        <f aca="false">'📋 Matches'!F40</f>
        <v>0</v>
      </c>
      <c r="H760" s="24" t="s">
        <v>148</v>
      </c>
      <c r="I760" s="24" t="s">
        <v>148</v>
      </c>
      <c r="J760" s="24" t="s">
        <v>148</v>
      </c>
      <c r="K760" s="24" t="s">
        <v>148</v>
      </c>
      <c r="L760" s="24" t="s">
        <v>148</v>
      </c>
    </row>
    <row r="761" customFormat="false" ht="18" hidden="false" customHeight="true" outlineLevel="0" collapsed="false">
      <c r="A761" s="17" t="s">
        <v>84</v>
      </c>
      <c r="B761" s="18" t="s">
        <v>158</v>
      </c>
      <c r="C761" s="19" t="s">
        <v>104</v>
      </c>
      <c r="D761" s="20"/>
      <c r="E761" s="20"/>
      <c r="F761" s="21" t="n">
        <f aca="false">'📋 Matches'!E41</f>
        <v>0</v>
      </c>
      <c r="G761" s="21" t="n">
        <f aca="false">'📋 Matches'!F41</f>
        <v>0</v>
      </c>
      <c r="H761" s="24" t="s">
        <v>148</v>
      </c>
      <c r="I761" s="24" t="s">
        <v>148</v>
      </c>
      <c r="J761" s="24" t="s">
        <v>148</v>
      </c>
      <c r="K761" s="24" t="s">
        <v>148</v>
      </c>
      <c r="L761" s="24" t="s">
        <v>148</v>
      </c>
    </row>
    <row r="762" customFormat="false" ht="18" hidden="false" customHeight="true" outlineLevel="0" collapsed="false">
      <c r="A762" s="17" t="s">
        <v>84</v>
      </c>
      <c r="B762" s="18" t="s">
        <v>158</v>
      </c>
      <c r="C762" s="19" t="s">
        <v>105</v>
      </c>
      <c r="D762" s="20"/>
      <c r="E762" s="20"/>
      <c r="F762" s="21" t="n">
        <f aca="false">'📋 Matches'!E42</f>
        <v>0</v>
      </c>
      <c r="G762" s="21" t="n">
        <f aca="false">'📋 Matches'!F42</f>
        <v>0</v>
      </c>
      <c r="H762" s="24" t="s">
        <v>148</v>
      </c>
      <c r="I762" s="24" t="s">
        <v>148</v>
      </c>
      <c r="J762" s="24" t="s">
        <v>148</v>
      </c>
      <c r="K762" s="24" t="s">
        <v>148</v>
      </c>
      <c r="L762" s="24" t="s">
        <v>148</v>
      </c>
    </row>
    <row r="763" customFormat="false" ht="18" hidden="false" customHeight="true" outlineLevel="0" collapsed="false">
      <c r="A763" s="17" t="s">
        <v>84</v>
      </c>
      <c r="B763" s="18" t="s">
        <v>158</v>
      </c>
      <c r="C763" s="19" t="s">
        <v>106</v>
      </c>
      <c r="D763" s="20"/>
      <c r="E763" s="20"/>
      <c r="F763" s="21" t="n">
        <f aca="false">'📋 Matches'!E43</f>
        <v>0</v>
      </c>
      <c r="G763" s="21" t="n">
        <f aca="false">'📋 Matches'!F43</f>
        <v>0</v>
      </c>
      <c r="H763" s="24" t="s">
        <v>148</v>
      </c>
      <c r="I763" s="24" t="s">
        <v>148</v>
      </c>
      <c r="J763" s="24" t="s">
        <v>148</v>
      </c>
      <c r="K763" s="24" t="s">
        <v>148</v>
      </c>
      <c r="L763" s="24" t="s">
        <v>148</v>
      </c>
    </row>
    <row r="764" customFormat="false" ht="18" hidden="false" customHeight="true" outlineLevel="0" collapsed="false">
      <c r="A764" s="17" t="s">
        <v>84</v>
      </c>
      <c r="B764" s="18" t="s">
        <v>158</v>
      </c>
      <c r="C764" s="19" t="s">
        <v>107</v>
      </c>
      <c r="D764" s="20"/>
      <c r="E764" s="20"/>
      <c r="F764" s="21" t="n">
        <f aca="false">'📋 Matches'!E44</f>
        <v>0</v>
      </c>
      <c r="G764" s="21" t="n">
        <f aca="false">'📋 Matches'!F44</f>
        <v>0</v>
      </c>
      <c r="H764" s="24" t="s">
        <v>148</v>
      </c>
      <c r="I764" s="24" t="s">
        <v>148</v>
      </c>
      <c r="J764" s="24" t="s">
        <v>148</v>
      </c>
      <c r="K764" s="24" t="s">
        <v>148</v>
      </c>
      <c r="L764" s="24" t="s">
        <v>148</v>
      </c>
    </row>
    <row r="765" customFormat="false" ht="18" hidden="false" customHeight="true" outlineLevel="0" collapsed="false">
      <c r="A765" s="17" t="s">
        <v>84</v>
      </c>
      <c r="B765" s="18" t="s">
        <v>158</v>
      </c>
      <c r="C765" s="19" t="s">
        <v>108</v>
      </c>
      <c r="D765" s="20"/>
      <c r="E765" s="20"/>
      <c r="F765" s="21" t="n">
        <f aca="false">'📋 Matches'!E45</f>
        <v>0</v>
      </c>
      <c r="G765" s="21" t="n">
        <f aca="false">'📋 Matches'!F45</f>
        <v>0</v>
      </c>
      <c r="H765" s="24" t="s">
        <v>148</v>
      </c>
      <c r="I765" s="24" t="s">
        <v>148</v>
      </c>
      <c r="J765" s="24" t="s">
        <v>148</v>
      </c>
      <c r="K765" s="24" t="s">
        <v>148</v>
      </c>
      <c r="L765" s="24" t="s">
        <v>148</v>
      </c>
    </row>
    <row r="766" customFormat="false" ht="18" hidden="false" customHeight="true" outlineLevel="0" collapsed="false">
      <c r="A766" s="17" t="s">
        <v>84</v>
      </c>
      <c r="B766" s="18" t="s">
        <v>158</v>
      </c>
      <c r="C766" s="19" t="s">
        <v>109</v>
      </c>
      <c r="D766" s="20"/>
      <c r="E766" s="20"/>
      <c r="F766" s="21" t="n">
        <f aca="false">'📋 Matches'!E46</f>
        <v>0</v>
      </c>
      <c r="G766" s="21" t="n">
        <f aca="false">'📋 Matches'!F46</f>
        <v>0</v>
      </c>
      <c r="H766" s="24" t="s">
        <v>148</v>
      </c>
      <c r="I766" s="24" t="s">
        <v>148</v>
      </c>
      <c r="J766" s="24" t="s">
        <v>148</v>
      </c>
      <c r="K766" s="24" t="s">
        <v>148</v>
      </c>
      <c r="L766" s="24" t="s">
        <v>148</v>
      </c>
    </row>
    <row r="767" customFormat="false" ht="18" hidden="false" customHeight="true" outlineLevel="0" collapsed="false">
      <c r="A767" s="17" t="s">
        <v>84</v>
      </c>
      <c r="B767" s="18" t="s">
        <v>158</v>
      </c>
      <c r="C767" s="19" t="s">
        <v>110</v>
      </c>
      <c r="D767" s="20"/>
      <c r="E767" s="20"/>
      <c r="F767" s="21" t="n">
        <f aca="false">'📋 Matches'!E47</f>
        <v>0</v>
      </c>
      <c r="G767" s="21" t="n">
        <f aca="false">'📋 Matches'!F47</f>
        <v>0</v>
      </c>
      <c r="H767" s="24" t="s">
        <v>148</v>
      </c>
      <c r="I767" s="24" t="s">
        <v>148</v>
      </c>
      <c r="J767" s="24" t="s">
        <v>148</v>
      </c>
      <c r="K767" s="24" t="s">
        <v>148</v>
      </c>
      <c r="L767" s="24" t="s">
        <v>148</v>
      </c>
    </row>
    <row r="768" customFormat="false" ht="18" hidden="false" customHeight="true" outlineLevel="0" collapsed="false">
      <c r="A768" s="17" t="s">
        <v>84</v>
      </c>
      <c r="B768" s="18" t="s">
        <v>158</v>
      </c>
      <c r="C768" s="19" t="s">
        <v>111</v>
      </c>
      <c r="D768" s="20"/>
      <c r="E768" s="20"/>
      <c r="F768" s="21" t="n">
        <f aca="false">'📋 Matches'!E48</f>
        <v>0</v>
      </c>
      <c r="G768" s="21" t="n">
        <f aca="false">'📋 Matches'!F48</f>
        <v>0</v>
      </c>
      <c r="H768" s="24" t="s">
        <v>148</v>
      </c>
      <c r="I768" s="24" t="s">
        <v>148</v>
      </c>
      <c r="J768" s="24" t="s">
        <v>148</v>
      </c>
      <c r="K768" s="24" t="s">
        <v>148</v>
      </c>
      <c r="L768" s="24" t="s">
        <v>148</v>
      </c>
    </row>
    <row r="769" customFormat="false" ht="18" hidden="false" customHeight="true" outlineLevel="0" collapsed="false">
      <c r="A769" s="17" t="s">
        <v>84</v>
      </c>
      <c r="B769" s="18" t="s">
        <v>158</v>
      </c>
      <c r="C769" s="19" t="s">
        <v>112</v>
      </c>
      <c r="D769" s="20"/>
      <c r="E769" s="20"/>
      <c r="F769" s="21" t="n">
        <f aca="false">'📋 Matches'!E49</f>
        <v>0</v>
      </c>
      <c r="G769" s="21" t="n">
        <f aca="false">'📋 Matches'!F49</f>
        <v>0</v>
      </c>
      <c r="H769" s="24" t="s">
        <v>148</v>
      </c>
      <c r="I769" s="24" t="s">
        <v>148</v>
      </c>
      <c r="J769" s="24" t="s">
        <v>148</v>
      </c>
      <c r="K769" s="24" t="s">
        <v>148</v>
      </c>
      <c r="L769" s="24" t="s">
        <v>148</v>
      </c>
    </row>
    <row r="770" customFormat="false" ht="18" hidden="false" customHeight="true" outlineLevel="0" collapsed="false">
      <c r="A770" s="17" t="s">
        <v>114</v>
      </c>
      <c r="B770" s="18" t="s">
        <v>158</v>
      </c>
      <c r="C770" s="19" t="s">
        <v>115</v>
      </c>
      <c r="D770" s="20"/>
      <c r="E770" s="20"/>
      <c r="F770" s="21" t="n">
        <f aca="false">'📋 Matches'!E50</f>
        <v>0</v>
      </c>
      <c r="G770" s="21" t="n">
        <f aca="false">'📋 Matches'!F50</f>
        <v>0</v>
      </c>
      <c r="H770" s="24" t="s">
        <v>148</v>
      </c>
      <c r="I770" s="24" t="s">
        <v>148</v>
      </c>
      <c r="J770" s="24" t="s">
        <v>148</v>
      </c>
      <c r="K770" s="24" t="s">
        <v>148</v>
      </c>
      <c r="L770" s="24" t="s">
        <v>148</v>
      </c>
    </row>
    <row r="771" customFormat="false" ht="18" hidden="false" customHeight="true" outlineLevel="0" collapsed="false">
      <c r="A771" s="17" t="s">
        <v>114</v>
      </c>
      <c r="B771" s="18" t="s">
        <v>158</v>
      </c>
      <c r="C771" s="19" t="s">
        <v>116</v>
      </c>
      <c r="D771" s="20"/>
      <c r="E771" s="20"/>
      <c r="F771" s="21" t="n">
        <f aca="false">'📋 Matches'!E51</f>
        <v>0</v>
      </c>
      <c r="G771" s="21" t="n">
        <f aca="false">'📋 Matches'!F51</f>
        <v>0</v>
      </c>
      <c r="H771" s="24" t="s">
        <v>148</v>
      </c>
      <c r="I771" s="24" t="s">
        <v>148</v>
      </c>
      <c r="J771" s="24" t="s">
        <v>148</v>
      </c>
      <c r="K771" s="24" t="s">
        <v>148</v>
      </c>
      <c r="L771" s="24" t="s">
        <v>148</v>
      </c>
    </row>
    <row r="772" customFormat="false" ht="18" hidden="false" customHeight="true" outlineLevel="0" collapsed="false">
      <c r="A772" s="17" t="s">
        <v>114</v>
      </c>
      <c r="B772" s="18" t="s">
        <v>158</v>
      </c>
      <c r="C772" s="19" t="s">
        <v>117</v>
      </c>
      <c r="D772" s="20"/>
      <c r="E772" s="20"/>
      <c r="F772" s="21" t="n">
        <f aca="false">'📋 Matches'!E52</f>
        <v>0</v>
      </c>
      <c r="G772" s="21" t="n">
        <f aca="false">'📋 Matches'!F52</f>
        <v>0</v>
      </c>
      <c r="H772" s="24" t="s">
        <v>148</v>
      </c>
      <c r="I772" s="24" t="s">
        <v>148</v>
      </c>
      <c r="J772" s="24" t="s">
        <v>148</v>
      </c>
      <c r="K772" s="24" t="s">
        <v>148</v>
      </c>
      <c r="L772" s="24" t="s">
        <v>148</v>
      </c>
    </row>
    <row r="773" customFormat="false" ht="18" hidden="false" customHeight="true" outlineLevel="0" collapsed="false">
      <c r="A773" s="17" t="s">
        <v>114</v>
      </c>
      <c r="B773" s="18" t="s">
        <v>158</v>
      </c>
      <c r="C773" s="19" t="s">
        <v>118</v>
      </c>
      <c r="D773" s="20"/>
      <c r="E773" s="20"/>
      <c r="F773" s="21" t="n">
        <f aca="false">'📋 Matches'!E53</f>
        <v>0</v>
      </c>
      <c r="G773" s="21" t="n">
        <f aca="false">'📋 Matches'!F53</f>
        <v>0</v>
      </c>
      <c r="H773" s="24" t="s">
        <v>148</v>
      </c>
      <c r="I773" s="24" t="s">
        <v>148</v>
      </c>
      <c r="J773" s="24" t="s">
        <v>148</v>
      </c>
      <c r="K773" s="24" t="s">
        <v>148</v>
      </c>
      <c r="L773" s="24" t="s">
        <v>148</v>
      </c>
    </row>
    <row r="774" customFormat="false" ht="18" hidden="false" customHeight="true" outlineLevel="0" collapsed="false">
      <c r="A774" s="17" t="s">
        <v>114</v>
      </c>
      <c r="B774" s="18" t="s">
        <v>158</v>
      </c>
      <c r="C774" s="19" t="s">
        <v>119</v>
      </c>
      <c r="D774" s="20"/>
      <c r="E774" s="20"/>
      <c r="F774" s="21" t="n">
        <f aca="false">'📋 Matches'!E54</f>
        <v>0</v>
      </c>
      <c r="G774" s="21" t="n">
        <f aca="false">'📋 Matches'!F54</f>
        <v>0</v>
      </c>
      <c r="H774" s="24" t="s">
        <v>148</v>
      </c>
      <c r="I774" s="24" t="s">
        <v>148</v>
      </c>
      <c r="J774" s="24" t="s">
        <v>148</v>
      </c>
      <c r="K774" s="24" t="s">
        <v>148</v>
      </c>
      <c r="L774" s="24" t="s">
        <v>148</v>
      </c>
    </row>
    <row r="775" customFormat="false" ht="18" hidden="false" customHeight="true" outlineLevel="0" collapsed="false">
      <c r="A775" s="17" t="s">
        <v>114</v>
      </c>
      <c r="B775" s="18" t="s">
        <v>158</v>
      </c>
      <c r="C775" s="19" t="s">
        <v>120</v>
      </c>
      <c r="D775" s="20"/>
      <c r="E775" s="20"/>
      <c r="F775" s="21" t="n">
        <f aca="false">'📋 Matches'!E55</f>
        <v>0</v>
      </c>
      <c r="G775" s="21" t="n">
        <f aca="false">'📋 Matches'!F55</f>
        <v>0</v>
      </c>
      <c r="H775" s="24" t="s">
        <v>148</v>
      </c>
      <c r="I775" s="24" t="s">
        <v>148</v>
      </c>
      <c r="J775" s="24" t="s">
        <v>148</v>
      </c>
      <c r="K775" s="24" t="s">
        <v>148</v>
      </c>
      <c r="L775" s="24" t="s">
        <v>148</v>
      </c>
    </row>
    <row r="776" customFormat="false" ht="18" hidden="false" customHeight="true" outlineLevel="0" collapsed="false">
      <c r="A776" s="17" t="s">
        <v>114</v>
      </c>
      <c r="B776" s="18" t="s">
        <v>158</v>
      </c>
      <c r="C776" s="19" t="s">
        <v>121</v>
      </c>
      <c r="D776" s="20"/>
      <c r="E776" s="20"/>
      <c r="F776" s="21" t="n">
        <f aca="false">'📋 Matches'!E56</f>
        <v>0</v>
      </c>
      <c r="G776" s="21" t="n">
        <f aca="false">'📋 Matches'!F56</f>
        <v>0</v>
      </c>
      <c r="H776" s="24" t="s">
        <v>148</v>
      </c>
      <c r="I776" s="24" t="s">
        <v>148</v>
      </c>
      <c r="J776" s="24" t="s">
        <v>148</v>
      </c>
      <c r="K776" s="24" t="s">
        <v>148</v>
      </c>
      <c r="L776" s="24" t="s">
        <v>148</v>
      </c>
    </row>
    <row r="777" customFormat="false" ht="18" hidden="false" customHeight="true" outlineLevel="0" collapsed="false">
      <c r="A777" s="17" t="s">
        <v>114</v>
      </c>
      <c r="B777" s="18" t="s">
        <v>158</v>
      </c>
      <c r="C777" s="19" t="s">
        <v>122</v>
      </c>
      <c r="D777" s="20"/>
      <c r="E777" s="20"/>
      <c r="F777" s="21" t="n">
        <f aca="false">'📋 Matches'!E57</f>
        <v>0</v>
      </c>
      <c r="G777" s="21" t="n">
        <f aca="false">'📋 Matches'!F57</f>
        <v>0</v>
      </c>
      <c r="H777" s="24" t="s">
        <v>148</v>
      </c>
      <c r="I777" s="24" t="s">
        <v>148</v>
      </c>
      <c r="J777" s="24" t="s">
        <v>148</v>
      </c>
      <c r="K777" s="24" t="s">
        <v>148</v>
      </c>
      <c r="L777" s="24" t="s">
        <v>148</v>
      </c>
    </row>
    <row r="778" customFormat="false" ht="18" hidden="false" customHeight="true" outlineLevel="0" collapsed="false">
      <c r="A778" s="17" t="s">
        <v>114</v>
      </c>
      <c r="B778" s="18" t="s">
        <v>158</v>
      </c>
      <c r="C778" s="19" t="s">
        <v>123</v>
      </c>
      <c r="D778" s="20"/>
      <c r="E778" s="20"/>
      <c r="F778" s="21" t="n">
        <f aca="false">'📋 Matches'!E58</f>
        <v>0</v>
      </c>
      <c r="G778" s="21" t="n">
        <f aca="false">'📋 Matches'!F58</f>
        <v>0</v>
      </c>
      <c r="H778" s="24" t="s">
        <v>148</v>
      </c>
      <c r="I778" s="24" t="s">
        <v>148</v>
      </c>
      <c r="J778" s="24" t="s">
        <v>148</v>
      </c>
      <c r="K778" s="24" t="s">
        <v>148</v>
      </c>
      <c r="L778" s="24" t="s">
        <v>148</v>
      </c>
    </row>
    <row r="779" customFormat="false" ht="18" hidden="false" customHeight="true" outlineLevel="0" collapsed="false">
      <c r="A779" s="17" t="s">
        <v>114</v>
      </c>
      <c r="B779" s="18" t="s">
        <v>158</v>
      </c>
      <c r="C779" s="19" t="s">
        <v>124</v>
      </c>
      <c r="D779" s="20"/>
      <c r="E779" s="20"/>
      <c r="F779" s="21" t="n">
        <f aca="false">'📋 Matches'!E59</f>
        <v>0</v>
      </c>
      <c r="G779" s="21" t="n">
        <f aca="false">'📋 Matches'!F59</f>
        <v>0</v>
      </c>
      <c r="H779" s="24" t="s">
        <v>148</v>
      </c>
      <c r="I779" s="24" t="s">
        <v>148</v>
      </c>
      <c r="J779" s="24" t="s">
        <v>148</v>
      </c>
      <c r="K779" s="24" t="s">
        <v>148</v>
      </c>
      <c r="L779" s="24" t="s">
        <v>148</v>
      </c>
    </row>
    <row r="780" customFormat="false" ht="18" hidden="false" customHeight="true" outlineLevel="0" collapsed="false">
      <c r="A780" s="17" t="s">
        <v>114</v>
      </c>
      <c r="B780" s="18" t="s">
        <v>158</v>
      </c>
      <c r="C780" s="19" t="s">
        <v>125</v>
      </c>
      <c r="D780" s="20"/>
      <c r="E780" s="20"/>
      <c r="F780" s="21" t="n">
        <f aca="false">'📋 Matches'!E60</f>
        <v>0</v>
      </c>
      <c r="G780" s="21" t="n">
        <f aca="false">'📋 Matches'!F60</f>
        <v>0</v>
      </c>
      <c r="H780" s="24" t="s">
        <v>148</v>
      </c>
      <c r="I780" s="24" t="s">
        <v>148</v>
      </c>
      <c r="J780" s="24" t="s">
        <v>148</v>
      </c>
      <c r="K780" s="24" t="s">
        <v>148</v>
      </c>
      <c r="L780" s="24" t="s">
        <v>148</v>
      </c>
    </row>
    <row r="781" customFormat="false" ht="18" hidden="false" customHeight="true" outlineLevel="0" collapsed="false">
      <c r="A781" s="17" t="s">
        <v>114</v>
      </c>
      <c r="B781" s="18" t="s">
        <v>158</v>
      </c>
      <c r="C781" s="19" t="s">
        <v>126</v>
      </c>
      <c r="D781" s="20"/>
      <c r="E781" s="20"/>
      <c r="F781" s="21" t="n">
        <f aca="false">'📋 Matches'!E61</f>
        <v>0</v>
      </c>
      <c r="G781" s="21" t="n">
        <f aca="false">'📋 Matches'!F61</f>
        <v>0</v>
      </c>
      <c r="H781" s="24" t="s">
        <v>148</v>
      </c>
      <c r="I781" s="24" t="s">
        <v>148</v>
      </c>
      <c r="J781" s="24" t="s">
        <v>148</v>
      </c>
      <c r="K781" s="24" t="s">
        <v>148</v>
      </c>
      <c r="L781" s="24" t="s">
        <v>148</v>
      </c>
    </row>
    <row r="782" customFormat="false" ht="18" hidden="false" customHeight="true" outlineLevel="0" collapsed="false">
      <c r="A782" s="17" t="s">
        <v>114</v>
      </c>
      <c r="B782" s="18" t="s">
        <v>158</v>
      </c>
      <c r="C782" s="19" t="s">
        <v>127</v>
      </c>
      <c r="D782" s="20"/>
      <c r="E782" s="20"/>
      <c r="F782" s="21" t="n">
        <f aca="false">'📋 Matches'!E62</f>
        <v>0</v>
      </c>
      <c r="G782" s="21" t="n">
        <f aca="false">'📋 Matches'!F62</f>
        <v>0</v>
      </c>
      <c r="H782" s="24" t="s">
        <v>148</v>
      </c>
      <c r="I782" s="24" t="s">
        <v>148</v>
      </c>
      <c r="J782" s="24" t="s">
        <v>148</v>
      </c>
      <c r="K782" s="24" t="s">
        <v>148</v>
      </c>
      <c r="L782" s="24" t="s">
        <v>148</v>
      </c>
    </row>
    <row r="783" customFormat="false" ht="18" hidden="false" customHeight="true" outlineLevel="0" collapsed="false">
      <c r="A783" s="17" t="s">
        <v>114</v>
      </c>
      <c r="B783" s="18" t="s">
        <v>158</v>
      </c>
      <c r="C783" s="19" t="s">
        <v>128</v>
      </c>
      <c r="D783" s="20"/>
      <c r="E783" s="20"/>
      <c r="F783" s="21" t="n">
        <f aca="false">'📋 Matches'!E63</f>
        <v>0</v>
      </c>
      <c r="G783" s="21" t="n">
        <f aca="false">'📋 Matches'!F63</f>
        <v>0</v>
      </c>
      <c r="H783" s="24" t="s">
        <v>148</v>
      </c>
      <c r="I783" s="24" t="s">
        <v>148</v>
      </c>
      <c r="J783" s="24" t="s">
        <v>148</v>
      </c>
      <c r="K783" s="24" t="s">
        <v>148</v>
      </c>
      <c r="L783" s="24" t="s">
        <v>148</v>
      </c>
    </row>
    <row r="784" customFormat="false" ht="18" hidden="false" customHeight="true" outlineLevel="0" collapsed="false">
      <c r="A784" s="17" t="s">
        <v>114</v>
      </c>
      <c r="B784" s="18" t="s">
        <v>158</v>
      </c>
      <c r="C784" s="19" t="s">
        <v>129</v>
      </c>
      <c r="D784" s="20"/>
      <c r="E784" s="20"/>
      <c r="F784" s="21" t="n">
        <f aca="false">'📋 Matches'!E64</f>
        <v>0</v>
      </c>
      <c r="G784" s="21" t="n">
        <f aca="false">'📋 Matches'!F64</f>
        <v>0</v>
      </c>
      <c r="H784" s="24" t="s">
        <v>148</v>
      </c>
      <c r="I784" s="24" t="s">
        <v>148</v>
      </c>
      <c r="J784" s="24" t="s">
        <v>148</v>
      </c>
      <c r="K784" s="24" t="s">
        <v>148</v>
      </c>
      <c r="L784" s="24" t="s">
        <v>148</v>
      </c>
    </row>
    <row r="785" customFormat="false" ht="18" hidden="false" customHeight="true" outlineLevel="0" collapsed="false">
      <c r="A785" s="17" t="s">
        <v>114</v>
      </c>
      <c r="B785" s="18" t="s">
        <v>158</v>
      </c>
      <c r="C785" s="19" t="s">
        <v>130</v>
      </c>
      <c r="D785" s="20"/>
      <c r="E785" s="20"/>
      <c r="F785" s="21" t="n">
        <f aca="false">'📋 Matches'!E65</f>
        <v>0</v>
      </c>
      <c r="G785" s="21" t="n">
        <f aca="false">'📋 Matches'!F65</f>
        <v>0</v>
      </c>
      <c r="H785" s="24" t="s">
        <v>148</v>
      </c>
      <c r="I785" s="24" t="s">
        <v>148</v>
      </c>
      <c r="J785" s="24" t="s">
        <v>148</v>
      </c>
      <c r="K785" s="24" t="s">
        <v>148</v>
      </c>
      <c r="L785" s="24" t="s">
        <v>148</v>
      </c>
    </row>
    <row r="786" customFormat="false" ht="18" hidden="false" customHeight="true" outlineLevel="0" collapsed="false">
      <c r="A786" s="17" t="s">
        <v>114</v>
      </c>
      <c r="B786" s="18" t="s">
        <v>158</v>
      </c>
      <c r="C786" s="19" t="s">
        <v>131</v>
      </c>
      <c r="D786" s="20"/>
      <c r="E786" s="20"/>
      <c r="F786" s="21" t="n">
        <f aca="false">'📋 Matches'!E66</f>
        <v>0</v>
      </c>
      <c r="G786" s="21" t="n">
        <f aca="false">'📋 Matches'!F66</f>
        <v>0</v>
      </c>
      <c r="H786" s="24" t="s">
        <v>148</v>
      </c>
      <c r="I786" s="24" t="s">
        <v>148</v>
      </c>
      <c r="J786" s="24" t="s">
        <v>148</v>
      </c>
      <c r="K786" s="24" t="s">
        <v>148</v>
      </c>
      <c r="L786" s="24" t="s">
        <v>148</v>
      </c>
    </row>
    <row r="787" customFormat="false" ht="18" hidden="false" customHeight="true" outlineLevel="0" collapsed="false">
      <c r="A787" s="17" t="s">
        <v>114</v>
      </c>
      <c r="B787" s="18" t="s">
        <v>158</v>
      </c>
      <c r="C787" s="19" t="s">
        <v>132</v>
      </c>
      <c r="D787" s="20"/>
      <c r="E787" s="20"/>
      <c r="F787" s="21" t="n">
        <f aca="false">'📋 Matches'!E67</f>
        <v>0</v>
      </c>
      <c r="G787" s="21" t="n">
        <f aca="false">'📋 Matches'!F67</f>
        <v>0</v>
      </c>
      <c r="H787" s="24" t="s">
        <v>148</v>
      </c>
      <c r="I787" s="24" t="s">
        <v>148</v>
      </c>
      <c r="J787" s="24" t="s">
        <v>148</v>
      </c>
      <c r="K787" s="24" t="s">
        <v>148</v>
      </c>
      <c r="L787" s="24" t="s">
        <v>148</v>
      </c>
    </row>
    <row r="788" customFormat="false" ht="18" hidden="false" customHeight="true" outlineLevel="0" collapsed="false">
      <c r="A788" s="17" t="s">
        <v>114</v>
      </c>
      <c r="B788" s="18" t="s">
        <v>158</v>
      </c>
      <c r="C788" s="19" t="s">
        <v>133</v>
      </c>
      <c r="D788" s="20"/>
      <c r="E788" s="20"/>
      <c r="F788" s="21" t="n">
        <f aca="false">'📋 Matches'!E68</f>
        <v>0</v>
      </c>
      <c r="G788" s="21" t="n">
        <f aca="false">'📋 Matches'!F68</f>
        <v>0</v>
      </c>
      <c r="H788" s="24" t="s">
        <v>148</v>
      </c>
      <c r="I788" s="24" t="s">
        <v>148</v>
      </c>
      <c r="J788" s="24" t="s">
        <v>148</v>
      </c>
      <c r="K788" s="24" t="s">
        <v>148</v>
      </c>
      <c r="L788" s="24" t="s">
        <v>148</v>
      </c>
    </row>
    <row r="789" customFormat="false" ht="18" hidden="false" customHeight="true" outlineLevel="0" collapsed="false">
      <c r="A789" s="17" t="s">
        <v>114</v>
      </c>
      <c r="B789" s="18" t="s">
        <v>158</v>
      </c>
      <c r="C789" s="19" t="s">
        <v>134</v>
      </c>
      <c r="D789" s="20"/>
      <c r="E789" s="20"/>
      <c r="F789" s="21" t="n">
        <f aca="false">'📋 Matches'!E69</f>
        <v>0</v>
      </c>
      <c r="G789" s="21" t="n">
        <f aca="false">'📋 Matches'!F69</f>
        <v>0</v>
      </c>
      <c r="H789" s="24" t="s">
        <v>148</v>
      </c>
      <c r="I789" s="24" t="s">
        <v>148</v>
      </c>
      <c r="J789" s="24" t="s">
        <v>148</v>
      </c>
      <c r="K789" s="24" t="s">
        <v>148</v>
      </c>
      <c r="L789" s="24" t="s">
        <v>148</v>
      </c>
    </row>
    <row r="790" customFormat="false" ht="18" hidden="false" customHeight="true" outlineLevel="0" collapsed="false">
      <c r="A790" s="17" t="s">
        <v>114</v>
      </c>
      <c r="B790" s="18" t="s">
        <v>158</v>
      </c>
      <c r="C790" s="19" t="s">
        <v>135</v>
      </c>
      <c r="D790" s="20"/>
      <c r="E790" s="20"/>
      <c r="F790" s="21" t="n">
        <f aca="false">'📋 Matches'!E70</f>
        <v>0</v>
      </c>
      <c r="G790" s="21" t="n">
        <f aca="false">'📋 Matches'!F70</f>
        <v>0</v>
      </c>
      <c r="H790" s="24" t="s">
        <v>148</v>
      </c>
      <c r="I790" s="24" t="s">
        <v>148</v>
      </c>
      <c r="J790" s="24" t="s">
        <v>148</v>
      </c>
      <c r="K790" s="24" t="s">
        <v>148</v>
      </c>
      <c r="L790" s="24" t="s">
        <v>148</v>
      </c>
    </row>
    <row r="791" customFormat="false" ht="18" hidden="false" customHeight="true" outlineLevel="0" collapsed="false">
      <c r="A791" s="17" t="s">
        <v>114</v>
      </c>
      <c r="B791" s="18" t="s">
        <v>158</v>
      </c>
      <c r="C791" s="19" t="s">
        <v>136</v>
      </c>
      <c r="D791" s="20"/>
      <c r="E791" s="20"/>
      <c r="F791" s="21" t="n">
        <f aca="false">'📋 Matches'!E71</f>
        <v>0</v>
      </c>
      <c r="G791" s="21" t="n">
        <f aca="false">'📋 Matches'!F71</f>
        <v>0</v>
      </c>
      <c r="H791" s="24" t="s">
        <v>148</v>
      </c>
      <c r="I791" s="24" t="s">
        <v>148</v>
      </c>
      <c r="J791" s="24" t="s">
        <v>148</v>
      </c>
      <c r="K791" s="24" t="s">
        <v>148</v>
      </c>
      <c r="L791" s="24" t="s">
        <v>148</v>
      </c>
    </row>
    <row r="792" customFormat="false" ht="18" hidden="false" customHeight="true" outlineLevel="0" collapsed="false">
      <c r="A792" s="17" t="s">
        <v>114</v>
      </c>
      <c r="B792" s="18" t="s">
        <v>158</v>
      </c>
      <c r="C792" s="19" t="s">
        <v>137</v>
      </c>
      <c r="D792" s="20"/>
      <c r="E792" s="20"/>
      <c r="F792" s="21" t="n">
        <f aca="false">'📋 Matches'!E72</f>
        <v>0</v>
      </c>
      <c r="G792" s="21" t="n">
        <f aca="false">'📋 Matches'!F72</f>
        <v>0</v>
      </c>
      <c r="H792" s="24" t="s">
        <v>148</v>
      </c>
      <c r="I792" s="24" t="s">
        <v>148</v>
      </c>
      <c r="J792" s="24" t="s">
        <v>148</v>
      </c>
      <c r="K792" s="24" t="s">
        <v>148</v>
      </c>
      <c r="L792" s="24" t="s">
        <v>148</v>
      </c>
    </row>
    <row r="793" customFormat="false" ht="18" hidden="false" customHeight="true" outlineLevel="0" collapsed="false">
      <c r="A793" s="17" t="s">
        <v>114</v>
      </c>
      <c r="B793" s="18" t="s">
        <v>158</v>
      </c>
      <c r="C793" s="19" t="s">
        <v>138</v>
      </c>
      <c r="D793" s="20"/>
      <c r="E793" s="20"/>
      <c r="F793" s="21" t="n">
        <f aca="false">'📋 Matches'!E73</f>
        <v>0</v>
      </c>
      <c r="G793" s="21" t="n">
        <f aca="false">'📋 Matches'!F73</f>
        <v>0</v>
      </c>
      <c r="H793" s="24" t="s">
        <v>148</v>
      </c>
      <c r="I793" s="24" t="s">
        <v>148</v>
      </c>
      <c r="J793" s="24" t="s">
        <v>148</v>
      </c>
      <c r="K793" s="24" t="s">
        <v>148</v>
      </c>
      <c r="L793" s="24" t="s">
        <v>148</v>
      </c>
    </row>
    <row r="794" customFormat="false" ht="18" hidden="false" customHeight="true" outlineLevel="0" collapsed="false">
      <c r="A794" s="25" t="s">
        <v>9</v>
      </c>
      <c r="B794" s="26" t="s">
        <v>159</v>
      </c>
      <c r="C794" s="27" t="s">
        <v>10</v>
      </c>
      <c r="D794" s="28" t="n">
        <v>2</v>
      </c>
      <c r="E794" s="28" t="n">
        <v>0</v>
      </c>
      <c r="F794" s="29" t="n">
        <f aca="false">'📋 Matches'!E2</f>
        <v>2</v>
      </c>
      <c r="G794" s="29" t="n">
        <f aca="false">'📋 Matches'!F2</f>
        <v>0</v>
      </c>
      <c r="H794" s="22" t="n">
        <f aca="false">IF(AND(ISNUMBER(F794),ISNUMBER(G794)),IF(SIGN(D794-E794)=SIGN(F794-G794),48,0),"")</f>
        <v>48</v>
      </c>
      <c r="I794" s="22" t="n">
        <f aca="false">IF(AND(ISNUMBER(F794),ISNUMBER(G794)),IF(D794=F794,15,0),"")</f>
        <v>15</v>
      </c>
      <c r="J794" s="22" t="n">
        <f aca="false">IF(AND(ISNUMBER(F794),ISNUMBER(G794)),IF(E794=G794,15,0),"")</f>
        <v>15</v>
      </c>
      <c r="K794" s="22" t="n">
        <f aca="false">IF(AND(ISNUMBER(F794),ISNUMBER(G794)),IF(ABS(D794-E794)=ABS(F794-G794),12,0),"")</f>
        <v>12</v>
      </c>
      <c r="L794" s="23" t="n">
        <f aca="false">IF(ISNUMBER(H794),H794+I794+J794+K794,"")</f>
        <v>90</v>
      </c>
    </row>
    <row r="795" customFormat="false" ht="18" hidden="false" customHeight="true" outlineLevel="0" collapsed="false">
      <c r="A795" s="25" t="s">
        <v>9</v>
      </c>
      <c r="B795" s="26" t="s">
        <v>159</v>
      </c>
      <c r="C795" s="27" t="s">
        <v>14</v>
      </c>
      <c r="D795" s="28" t="n">
        <v>1</v>
      </c>
      <c r="E795" s="28" t="n">
        <v>1</v>
      </c>
      <c r="F795" s="29" t="n">
        <f aca="false">'📋 Matches'!E3</f>
        <v>2</v>
      </c>
      <c r="G795" s="29" t="n">
        <f aca="false">'📋 Matches'!F3</f>
        <v>1</v>
      </c>
      <c r="H795" s="22" t="n">
        <f aca="false">IF(AND(ISNUMBER(F795),ISNUMBER(G795)),IF(SIGN(D795-E795)=SIGN(F795-G795),48,0),"")</f>
        <v>0</v>
      </c>
      <c r="I795" s="22" t="n">
        <f aca="false">IF(AND(ISNUMBER(F795),ISNUMBER(G795)),IF(D795=F795,15,0),"")</f>
        <v>0</v>
      </c>
      <c r="J795" s="22" t="n">
        <f aca="false">IF(AND(ISNUMBER(F795),ISNUMBER(G795)),IF(E795=G795,15,0),"")</f>
        <v>15</v>
      </c>
      <c r="K795" s="22" t="n">
        <f aca="false">IF(AND(ISNUMBER(F795),ISNUMBER(G795)),IF(ABS(D795-E795)=ABS(F795-G795),12,0),"")</f>
        <v>0</v>
      </c>
      <c r="L795" s="23" t="n">
        <f aca="false">IF(ISNUMBER(H795),H795+I795+J795+K795,"")</f>
        <v>15</v>
      </c>
    </row>
    <row r="796" customFormat="false" ht="18" hidden="false" customHeight="true" outlineLevel="0" collapsed="false">
      <c r="A796" s="25" t="s">
        <v>9</v>
      </c>
      <c r="B796" s="26" t="s">
        <v>159</v>
      </c>
      <c r="C796" s="27" t="s">
        <v>17</v>
      </c>
      <c r="D796" s="28" t="n">
        <v>1</v>
      </c>
      <c r="E796" s="28" t="n">
        <v>3</v>
      </c>
      <c r="F796" s="29" t="n">
        <f aca="false">'📋 Matches'!E4</f>
        <v>1</v>
      </c>
      <c r="G796" s="29" t="n">
        <f aca="false">'📋 Matches'!F4</f>
        <v>1</v>
      </c>
      <c r="H796" s="22" t="n">
        <f aca="false">IF(AND(ISNUMBER(F796),ISNUMBER(G796)),IF(SIGN(D796-E796)=SIGN(F796-G796),48,0),"")</f>
        <v>0</v>
      </c>
      <c r="I796" s="22" t="n">
        <f aca="false">IF(AND(ISNUMBER(F796),ISNUMBER(G796)),IF(D796=F796,15,0),"")</f>
        <v>15</v>
      </c>
      <c r="J796" s="22" t="n">
        <f aca="false">IF(AND(ISNUMBER(F796),ISNUMBER(G796)),IF(E796=G796,15,0),"")</f>
        <v>0</v>
      </c>
      <c r="K796" s="22" t="n">
        <f aca="false">IF(AND(ISNUMBER(F796),ISNUMBER(G796)),IF(ABS(D796-E796)=ABS(F796-G796),12,0),"")</f>
        <v>0</v>
      </c>
      <c r="L796" s="23" t="n">
        <f aca="false">IF(ISNUMBER(H796),H796+I796+J796+K796,"")</f>
        <v>15</v>
      </c>
    </row>
    <row r="797" customFormat="false" ht="18" hidden="false" customHeight="true" outlineLevel="0" collapsed="false">
      <c r="A797" s="25" t="s">
        <v>9</v>
      </c>
      <c r="B797" s="26" t="s">
        <v>159</v>
      </c>
      <c r="C797" s="27" t="s">
        <v>20</v>
      </c>
      <c r="D797" s="28" t="n">
        <v>2</v>
      </c>
      <c r="E797" s="28" t="n">
        <v>1</v>
      </c>
      <c r="F797" s="29" t="n">
        <f aca="false">'📋 Matches'!E5</f>
        <v>4</v>
      </c>
      <c r="G797" s="29" t="n">
        <f aca="false">'📋 Matches'!F5</f>
        <v>1</v>
      </c>
      <c r="H797" s="22" t="n">
        <f aca="false">IF(AND(ISNUMBER(F797),ISNUMBER(G797)),IF(SIGN(D797-E797)=SIGN(F797-G797),48,0),"")</f>
        <v>48</v>
      </c>
      <c r="I797" s="22" t="n">
        <f aca="false">IF(AND(ISNUMBER(F797),ISNUMBER(G797)),IF(D797=F797,15,0),"")</f>
        <v>0</v>
      </c>
      <c r="J797" s="22" t="n">
        <f aca="false">IF(AND(ISNUMBER(F797),ISNUMBER(G797)),IF(E797=G797,15,0),"")</f>
        <v>15</v>
      </c>
      <c r="K797" s="22" t="n">
        <f aca="false">IF(AND(ISNUMBER(F797),ISNUMBER(G797)),IF(ABS(D797-E797)=ABS(F797-G797),12,0),"")</f>
        <v>0</v>
      </c>
      <c r="L797" s="23" t="n">
        <f aca="false">IF(ISNUMBER(H797),H797+I797+J797+K797,"")</f>
        <v>63</v>
      </c>
    </row>
    <row r="798" customFormat="false" ht="18" hidden="false" customHeight="true" outlineLevel="0" collapsed="false">
      <c r="A798" s="25" t="s">
        <v>9</v>
      </c>
      <c r="B798" s="26" t="s">
        <v>159</v>
      </c>
      <c r="C798" s="27" t="s">
        <v>23</v>
      </c>
      <c r="D798" s="28" t="n">
        <v>0</v>
      </c>
      <c r="E798" s="28" t="n">
        <v>3</v>
      </c>
      <c r="F798" s="29" t="n">
        <f aca="false">'📋 Matches'!E6</f>
        <v>0</v>
      </c>
      <c r="G798" s="29" t="n">
        <f aca="false">'📋 Matches'!F6</f>
        <v>0</v>
      </c>
      <c r="H798" s="22" t="str">
        <f aca="false">IF(AND(ISNUMBER(F798),ISNUMBER(G798)),IF(SIGN(D798-E798)=SIGN(F798-G798),48,0),"")</f>
        <v/>
      </c>
      <c r="I798" s="22" t="str">
        <f aca="false">IF(AND(ISNUMBER(F798),ISNUMBER(G798)),IF(D798=F798,15,0),"")</f>
        <v/>
      </c>
      <c r="J798" s="22" t="str">
        <f aca="false">IF(AND(ISNUMBER(F798),ISNUMBER(G798)),IF(E798=G798,15,0),"")</f>
        <v/>
      </c>
      <c r="K798" s="22" t="str">
        <f aca="false">IF(AND(ISNUMBER(F798),ISNUMBER(G798)),IF(ABS(D798-E798)=ABS(F798-G798),12,0),"")</f>
        <v/>
      </c>
      <c r="L798" s="23" t="str">
        <f aca="false">IF(ISNUMBER(H798),H798+I798+J798+K798,"")</f>
        <v/>
      </c>
    </row>
    <row r="799" customFormat="false" ht="18" hidden="false" customHeight="true" outlineLevel="0" collapsed="false">
      <c r="A799" s="25" t="s">
        <v>9</v>
      </c>
      <c r="B799" s="26" t="s">
        <v>159</v>
      </c>
      <c r="C799" s="27" t="s">
        <v>27</v>
      </c>
      <c r="D799" s="28" t="n">
        <v>2</v>
      </c>
      <c r="E799" s="28" t="n">
        <v>1</v>
      </c>
      <c r="F799" s="29" t="n">
        <f aca="false">'📋 Matches'!E7</f>
        <v>0</v>
      </c>
      <c r="G799" s="29" t="n">
        <f aca="false">'📋 Matches'!F7</f>
        <v>0</v>
      </c>
      <c r="H799" s="22" t="str">
        <f aca="false">IF(AND(ISNUMBER(F799),ISNUMBER(G799)),IF(SIGN(D799-E799)=SIGN(F799-G799),48,0),"")</f>
        <v/>
      </c>
      <c r="I799" s="22" t="str">
        <f aca="false">IF(AND(ISNUMBER(F799),ISNUMBER(G799)),IF(D799=F799,15,0),"")</f>
        <v/>
      </c>
      <c r="J799" s="22" t="str">
        <f aca="false">IF(AND(ISNUMBER(F799),ISNUMBER(G799)),IF(E799=G799,15,0),"")</f>
        <v/>
      </c>
      <c r="K799" s="22" t="str">
        <f aca="false">IF(AND(ISNUMBER(F799),ISNUMBER(G799)),IF(ABS(D799-E799)=ABS(F799-G799),12,0),"")</f>
        <v/>
      </c>
      <c r="L799" s="23" t="str">
        <f aca="false">IF(ISNUMBER(H799),H799+I799+J799+K799,"")</f>
        <v/>
      </c>
    </row>
    <row r="800" customFormat="false" ht="18" hidden="false" customHeight="true" outlineLevel="0" collapsed="false">
      <c r="A800" s="25" t="s">
        <v>9</v>
      </c>
      <c r="B800" s="26" t="s">
        <v>159</v>
      </c>
      <c r="C800" s="27" t="s">
        <v>30</v>
      </c>
      <c r="D800" s="28" t="n">
        <v>0</v>
      </c>
      <c r="E800" s="28" t="n">
        <v>2</v>
      </c>
      <c r="F800" s="29" t="n">
        <f aca="false">'📋 Matches'!E8</f>
        <v>0</v>
      </c>
      <c r="G800" s="29" t="n">
        <f aca="false">'📋 Matches'!F8</f>
        <v>0</v>
      </c>
      <c r="H800" s="22" t="str">
        <f aca="false">IF(AND(ISNUMBER(F800),ISNUMBER(G800)),IF(SIGN(D800-E800)=SIGN(F800-G800),48,0),"")</f>
        <v/>
      </c>
      <c r="I800" s="22" t="str">
        <f aca="false">IF(AND(ISNUMBER(F800),ISNUMBER(G800)),IF(D800=F800,15,0),"")</f>
        <v/>
      </c>
      <c r="J800" s="22" t="str">
        <f aca="false">IF(AND(ISNUMBER(F800),ISNUMBER(G800)),IF(E800=G800,15,0),"")</f>
        <v/>
      </c>
      <c r="K800" s="22" t="str">
        <f aca="false">IF(AND(ISNUMBER(F800),ISNUMBER(G800)),IF(ABS(D800-E800)=ABS(F800-G800),12,0),"")</f>
        <v/>
      </c>
      <c r="L800" s="23" t="str">
        <f aca="false">IF(ISNUMBER(H800),H800+I800+J800+K800,"")</f>
        <v/>
      </c>
    </row>
    <row r="801" customFormat="false" ht="18" hidden="false" customHeight="true" outlineLevel="0" collapsed="false">
      <c r="A801" s="25" t="s">
        <v>9</v>
      </c>
      <c r="B801" s="26" t="s">
        <v>159</v>
      </c>
      <c r="C801" s="27" t="s">
        <v>33</v>
      </c>
      <c r="D801" s="28" t="n">
        <v>1</v>
      </c>
      <c r="E801" s="28" t="n">
        <v>2</v>
      </c>
      <c r="F801" s="29" t="n">
        <f aca="false">'📋 Matches'!E9</f>
        <v>0</v>
      </c>
      <c r="G801" s="29" t="n">
        <f aca="false">'📋 Matches'!F9</f>
        <v>0</v>
      </c>
      <c r="H801" s="22" t="str">
        <f aca="false">IF(AND(ISNUMBER(F801),ISNUMBER(G801)),IF(SIGN(D801-E801)=SIGN(F801-G801),48,0),"")</f>
        <v/>
      </c>
      <c r="I801" s="22" t="str">
        <f aca="false">IF(AND(ISNUMBER(F801),ISNUMBER(G801)),IF(D801=F801,15,0),"")</f>
        <v/>
      </c>
      <c r="J801" s="22" t="str">
        <f aca="false">IF(AND(ISNUMBER(F801),ISNUMBER(G801)),IF(E801=G801,15,0),"")</f>
        <v/>
      </c>
      <c r="K801" s="22" t="str">
        <f aca="false">IF(AND(ISNUMBER(F801),ISNUMBER(G801)),IF(ABS(D801-E801)=ABS(F801-G801),12,0),"")</f>
        <v/>
      </c>
      <c r="L801" s="23" t="str">
        <f aca="false">IF(ISNUMBER(H801),H801+I801+J801+K801,"")</f>
        <v/>
      </c>
    </row>
    <row r="802" customFormat="false" ht="18" hidden="false" customHeight="true" outlineLevel="0" collapsed="false">
      <c r="A802" s="25" t="s">
        <v>9</v>
      </c>
      <c r="B802" s="26" t="s">
        <v>159</v>
      </c>
      <c r="C802" s="27" t="s">
        <v>36</v>
      </c>
      <c r="D802" s="28" t="n">
        <v>5</v>
      </c>
      <c r="E802" s="28" t="n">
        <v>0</v>
      </c>
      <c r="F802" s="29" t="n">
        <f aca="false">'📋 Matches'!E10</f>
        <v>0</v>
      </c>
      <c r="G802" s="29" t="n">
        <f aca="false">'📋 Matches'!F10</f>
        <v>0</v>
      </c>
      <c r="H802" s="22" t="str">
        <f aca="false">IF(AND(ISNUMBER(F802),ISNUMBER(G802)),IF(SIGN(D802-E802)=SIGN(F802-G802),48,0),"")</f>
        <v/>
      </c>
      <c r="I802" s="22" t="str">
        <f aca="false">IF(AND(ISNUMBER(F802),ISNUMBER(G802)),IF(D802=F802,15,0),"")</f>
        <v/>
      </c>
      <c r="J802" s="22" t="str">
        <f aca="false">IF(AND(ISNUMBER(F802),ISNUMBER(G802)),IF(E802=G802,15,0),"")</f>
        <v/>
      </c>
      <c r="K802" s="22" t="str">
        <f aca="false">IF(AND(ISNUMBER(F802),ISNUMBER(G802)),IF(ABS(D802-E802)=ABS(F802-G802),12,0),"")</f>
        <v/>
      </c>
      <c r="L802" s="23" t="str">
        <f aca="false">IF(ISNUMBER(H802),H802+I802+J802+K802,"")</f>
        <v/>
      </c>
    </row>
    <row r="803" customFormat="false" ht="18" hidden="false" customHeight="true" outlineLevel="0" collapsed="false">
      <c r="A803" s="25" t="s">
        <v>9</v>
      </c>
      <c r="B803" s="26" t="s">
        <v>159</v>
      </c>
      <c r="C803" s="27" t="s">
        <v>39</v>
      </c>
      <c r="D803" s="28" t="n">
        <v>2</v>
      </c>
      <c r="E803" s="28" t="n">
        <v>2</v>
      </c>
      <c r="F803" s="29" t="n">
        <f aca="false">'📋 Matches'!E11</f>
        <v>0</v>
      </c>
      <c r="G803" s="29" t="n">
        <f aca="false">'📋 Matches'!F11</f>
        <v>0</v>
      </c>
      <c r="H803" s="22" t="str">
        <f aca="false">IF(AND(ISNUMBER(F803),ISNUMBER(G803)),IF(SIGN(D803-E803)=SIGN(F803-G803),48,0),"")</f>
        <v/>
      </c>
      <c r="I803" s="22" t="str">
        <f aca="false">IF(AND(ISNUMBER(F803),ISNUMBER(G803)),IF(D803=F803,15,0),"")</f>
        <v/>
      </c>
      <c r="J803" s="22" t="str">
        <f aca="false">IF(AND(ISNUMBER(F803),ISNUMBER(G803)),IF(E803=G803,15,0),"")</f>
        <v/>
      </c>
      <c r="K803" s="22" t="str">
        <f aca="false">IF(AND(ISNUMBER(F803),ISNUMBER(G803)),IF(ABS(D803-E803)=ABS(F803-G803),12,0),"")</f>
        <v/>
      </c>
      <c r="L803" s="23" t="str">
        <f aca="false">IF(ISNUMBER(H803),H803+I803+J803+K803,"")</f>
        <v/>
      </c>
    </row>
    <row r="804" customFormat="false" ht="18" hidden="false" customHeight="true" outlineLevel="0" collapsed="false">
      <c r="A804" s="25" t="s">
        <v>9</v>
      </c>
      <c r="B804" s="26" t="s">
        <v>159</v>
      </c>
      <c r="C804" s="27" t="s">
        <v>42</v>
      </c>
      <c r="D804" s="28" t="n">
        <v>0</v>
      </c>
      <c r="E804" s="28" t="n">
        <v>0</v>
      </c>
      <c r="F804" s="29" t="n">
        <f aca="false">'📋 Matches'!E12</f>
        <v>0</v>
      </c>
      <c r="G804" s="29" t="n">
        <f aca="false">'📋 Matches'!F12</f>
        <v>0</v>
      </c>
      <c r="H804" s="22" t="str">
        <f aca="false">IF(AND(ISNUMBER(F804),ISNUMBER(G804)),IF(SIGN(D804-E804)=SIGN(F804-G804),48,0),"")</f>
        <v/>
      </c>
      <c r="I804" s="22" t="str">
        <f aca="false">IF(AND(ISNUMBER(F804),ISNUMBER(G804)),IF(D804=F804,15,0),"")</f>
        <v/>
      </c>
      <c r="J804" s="22" t="str">
        <f aca="false">IF(AND(ISNUMBER(F804),ISNUMBER(G804)),IF(E804=G804,15,0),"")</f>
        <v/>
      </c>
      <c r="K804" s="22" t="str">
        <f aca="false">IF(AND(ISNUMBER(F804),ISNUMBER(G804)),IF(ABS(D804-E804)=ABS(F804-G804),12,0),"")</f>
        <v/>
      </c>
      <c r="L804" s="23" t="str">
        <f aca="false">IF(ISNUMBER(H804),H804+I804+J804+K804,"")</f>
        <v/>
      </c>
    </row>
    <row r="805" customFormat="false" ht="18" hidden="false" customHeight="true" outlineLevel="0" collapsed="false">
      <c r="A805" s="25" t="s">
        <v>9</v>
      </c>
      <c r="B805" s="26" t="s">
        <v>159</v>
      </c>
      <c r="C805" s="27" t="s">
        <v>45</v>
      </c>
      <c r="D805" s="28" t="n">
        <v>2</v>
      </c>
      <c r="E805" s="28" t="n">
        <v>0</v>
      </c>
      <c r="F805" s="29" t="n">
        <f aca="false">'📋 Matches'!E13</f>
        <v>0</v>
      </c>
      <c r="G805" s="29" t="n">
        <f aca="false">'📋 Matches'!F13</f>
        <v>0</v>
      </c>
      <c r="H805" s="22" t="str">
        <f aca="false">IF(AND(ISNUMBER(F805),ISNUMBER(G805)),IF(SIGN(D805-E805)=SIGN(F805-G805),48,0),"")</f>
        <v/>
      </c>
      <c r="I805" s="22" t="str">
        <f aca="false">IF(AND(ISNUMBER(F805),ISNUMBER(G805)),IF(D805=F805,15,0),"")</f>
        <v/>
      </c>
      <c r="J805" s="22" t="str">
        <f aca="false">IF(AND(ISNUMBER(F805),ISNUMBER(G805)),IF(E805=G805,15,0),"")</f>
        <v/>
      </c>
      <c r="K805" s="22" t="str">
        <f aca="false">IF(AND(ISNUMBER(F805),ISNUMBER(G805)),IF(ABS(D805-E805)=ABS(F805-G805),12,0),"")</f>
        <v/>
      </c>
      <c r="L805" s="23" t="str">
        <f aca="false">IF(ISNUMBER(H805),H805+I805+J805+K805,"")</f>
        <v/>
      </c>
    </row>
    <row r="806" customFormat="false" ht="18" hidden="false" customHeight="true" outlineLevel="0" collapsed="false">
      <c r="A806" s="25" t="s">
        <v>9</v>
      </c>
      <c r="B806" s="26" t="s">
        <v>159</v>
      </c>
      <c r="C806" s="27" t="s">
        <v>48</v>
      </c>
      <c r="D806" s="28" t="n">
        <v>5</v>
      </c>
      <c r="E806" s="28" t="n">
        <v>0</v>
      </c>
      <c r="F806" s="29" t="n">
        <f aca="false">'📋 Matches'!E14</f>
        <v>0</v>
      </c>
      <c r="G806" s="29" t="n">
        <f aca="false">'📋 Matches'!F14</f>
        <v>0</v>
      </c>
      <c r="H806" s="22" t="str">
        <f aca="false">IF(AND(ISNUMBER(F806),ISNUMBER(G806)),IF(SIGN(D806-E806)=SIGN(F806-G806),48,0),"")</f>
        <v/>
      </c>
      <c r="I806" s="22" t="str">
        <f aca="false">IF(AND(ISNUMBER(F806),ISNUMBER(G806)),IF(D806=F806,15,0),"")</f>
        <v/>
      </c>
      <c r="J806" s="22" t="str">
        <f aca="false">IF(AND(ISNUMBER(F806),ISNUMBER(G806)),IF(E806=G806,15,0),"")</f>
        <v/>
      </c>
      <c r="K806" s="22" t="str">
        <f aca="false">IF(AND(ISNUMBER(F806),ISNUMBER(G806)),IF(ABS(D806-E806)=ABS(F806-G806),12,0),"")</f>
        <v/>
      </c>
      <c r="L806" s="23" t="str">
        <f aca="false">IF(ISNUMBER(H806),H806+I806+J806+K806,"")</f>
        <v/>
      </c>
    </row>
    <row r="807" customFormat="false" ht="18" hidden="false" customHeight="true" outlineLevel="0" collapsed="false">
      <c r="A807" s="25" t="s">
        <v>9</v>
      </c>
      <c r="B807" s="26" t="s">
        <v>159</v>
      </c>
      <c r="C807" s="27" t="s">
        <v>51</v>
      </c>
      <c r="D807" s="28" t="n">
        <v>2</v>
      </c>
      <c r="E807" s="28" t="n">
        <v>1</v>
      </c>
      <c r="F807" s="29" t="n">
        <f aca="false">'📋 Matches'!E15</f>
        <v>0</v>
      </c>
      <c r="G807" s="29" t="n">
        <f aca="false">'📋 Matches'!F15</f>
        <v>0</v>
      </c>
      <c r="H807" s="22" t="str">
        <f aca="false">IF(AND(ISNUMBER(F807),ISNUMBER(G807)),IF(SIGN(D807-E807)=SIGN(F807-G807),48,0),"")</f>
        <v/>
      </c>
      <c r="I807" s="22" t="str">
        <f aca="false">IF(AND(ISNUMBER(F807),ISNUMBER(G807)),IF(D807=F807,15,0),"")</f>
        <v/>
      </c>
      <c r="J807" s="22" t="str">
        <f aca="false">IF(AND(ISNUMBER(F807),ISNUMBER(G807)),IF(E807=G807,15,0),"")</f>
        <v/>
      </c>
      <c r="K807" s="22" t="str">
        <f aca="false">IF(AND(ISNUMBER(F807),ISNUMBER(G807)),IF(ABS(D807-E807)=ABS(F807-G807),12,0),"")</f>
        <v/>
      </c>
      <c r="L807" s="23" t="str">
        <f aca="false">IF(ISNUMBER(H807),H807+I807+J807+K807,"")</f>
        <v/>
      </c>
    </row>
    <row r="808" customFormat="false" ht="18" hidden="false" customHeight="true" outlineLevel="0" collapsed="false">
      <c r="A808" s="25" t="s">
        <v>9</v>
      </c>
      <c r="B808" s="26" t="s">
        <v>159</v>
      </c>
      <c r="C808" s="27" t="s">
        <v>54</v>
      </c>
      <c r="D808" s="28" t="n">
        <v>0</v>
      </c>
      <c r="E808" s="28" t="n">
        <v>2</v>
      </c>
      <c r="F808" s="29" t="n">
        <f aca="false">'📋 Matches'!E16</f>
        <v>0</v>
      </c>
      <c r="G808" s="29" t="n">
        <f aca="false">'📋 Matches'!F16</f>
        <v>0</v>
      </c>
      <c r="H808" s="22" t="str">
        <f aca="false">IF(AND(ISNUMBER(F808),ISNUMBER(G808)),IF(SIGN(D808-E808)=SIGN(F808-G808),48,0),"")</f>
        <v/>
      </c>
      <c r="I808" s="22" t="str">
        <f aca="false">IF(AND(ISNUMBER(F808),ISNUMBER(G808)),IF(D808=F808,15,0),"")</f>
        <v/>
      </c>
      <c r="J808" s="22" t="str">
        <f aca="false">IF(AND(ISNUMBER(F808),ISNUMBER(G808)),IF(E808=G808,15,0),"")</f>
        <v/>
      </c>
      <c r="K808" s="22" t="str">
        <f aca="false">IF(AND(ISNUMBER(F808),ISNUMBER(G808)),IF(ABS(D808-E808)=ABS(F808-G808),12,0),"")</f>
        <v/>
      </c>
      <c r="L808" s="23" t="str">
        <f aca="false">IF(ISNUMBER(H808),H808+I808+J808+K808,"")</f>
        <v/>
      </c>
    </row>
    <row r="809" customFormat="false" ht="18" hidden="false" customHeight="true" outlineLevel="0" collapsed="false">
      <c r="A809" s="25" t="s">
        <v>9</v>
      </c>
      <c r="B809" s="26" t="s">
        <v>159</v>
      </c>
      <c r="C809" s="27" t="s">
        <v>57</v>
      </c>
      <c r="D809" s="28" t="n">
        <v>1</v>
      </c>
      <c r="E809" s="28" t="n">
        <v>1</v>
      </c>
      <c r="F809" s="29" t="n">
        <f aca="false">'📋 Matches'!E17</f>
        <v>0</v>
      </c>
      <c r="G809" s="29" t="n">
        <f aca="false">'📋 Matches'!F17</f>
        <v>0</v>
      </c>
      <c r="H809" s="22" t="str">
        <f aca="false">IF(AND(ISNUMBER(F809),ISNUMBER(G809)),IF(SIGN(D809-E809)=SIGN(F809-G809),48,0),"")</f>
        <v/>
      </c>
      <c r="I809" s="22" t="str">
        <f aca="false">IF(AND(ISNUMBER(F809),ISNUMBER(G809)),IF(D809=F809,15,0),"")</f>
        <v/>
      </c>
      <c r="J809" s="22" t="str">
        <f aca="false">IF(AND(ISNUMBER(F809),ISNUMBER(G809)),IF(E809=G809,15,0),"")</f>
        <v/>
      </c>
      <c r="K809" s="22" t="str">
        <f aca="false">IF(AND(ISNUMBER(F809),ISNUMBER(G809)),IF(ABS(D809-E809)=ABS(F809-G809),12,0),"")</f>
        <v/>
      </c>
      <c r="L809" s="23" t="str">
        <f aca="false">IF(ISNUMBER(H809),H809+I809+J809+K809,"")</f>
        <v/>
      </c>
    </row>
    <row r="810" customFormat="false" ht="18" hidden="false" customHeight="true" outlineLevel="0" collapsed="false">
      <c r="A810" s="25" t="s">
        <v>9</v>
      </c>
      <c r="B810" s="26" t="s">
        <v>159</v>
      </c>
      <c r="C810" s="27" t="s">
        <v>60</v>
      </c>
      <c r="D810" s="28" t="n">
        <v>3</v>
      </c>
      <c r="E810" s="28" t="n">
        <v>1</v>
      </c>
      <c r="F810" s="29" t="n">
        <f aca="false">'📋 Matches'!E18</f>
        <v>0</v>
      </c>
      <c r="G810" s="29" t="n">
        <f aca="false">'📋 Matches'!F18</f>
        <v>0</v>
      </c>
      <c r="H810" s="22" t="str">
        <f aca="false">IF(AND(ISNUMBER(F810),ISNUMBER(G810)),IF(SIGN(D810-E810)=SIGN(F810-G810),48,0),"")</f>
        <v/>
      </c>
      <c r="I810" s="22" t="str">
        <f aca="false">IF(AND(ISNUMBER(F810),ISNUMBER(G810)),IF(D810=F810,15,0),"")</f>
        <v/>
      </c>
      <c r="J810" s="22" t="str">
        <f aca="false">IF(AND(ISNUMBER(F810),ISNUMBER(G810)),IF(E810=G810,15,0),"")</f>
        <v/>
      </c>
      <c r="K810" s="22" t="str">
        <f aca="false">IF(AND(ISNUMBER(F810),ISNUMBER(G810)),IF(ABS(D810-E810)=ABS(F810-G810),12,0),"")</f>
        <v/>
      </c>
      <c r="L810" s="23" t="str">
        <f aca="false">IF(ISNUMBER(H810),H810+I810+J810+K810,"")</f>
        <v/>
      </c>
    </row>
    <row r="811" customFormat="false" ht="18" hidden="false" customHeight="true" outlineLevel="0" collapsed="false">
      <c r="A811" s="25" t="s">
        <v>9</v>
      </c>
      <c r="B811" s="26" t="s">
        <v>159</v>
      </c>
      <c r="C811" s="27" t="s">
        <v>63</v>
      </c>
      <c r="D811" s="28" t="n">
        <v>0</v>
      </c>
      <c r="E811" s="28" t="n">
        <v>4</v>
      </c>
      <c r="F811" s="29" t="n">
        <f aca="false">'📋 Matches'!E19</f>
        <v>0</v>
      </c>
      <c r="G811" s="29" t="n">
        <f aca="false">'📋 Matches'!F19</f>
        <v>0</v>
      </c>
      <c r="H811" s="22" t="str">
        <f aca="false">IF(AND(ISNUMBER(F811),ISNUMBER(G811)),IF(SIGN(D811-E811)=SIGN(F811-G811),48,0),"")</f>
        <v/>
      </c>
      <c r="I811" s="22" t="str">
        <f aca="false">IF(AND(ISNUMBER(F811),ISNUMBER(G811)),IF(D811=F811,15,0),"")</f>
        <v/>
      </c>
      <c r="J811" s="22" t="str">
        <f aca="false">IF(AND(ISNUMBER(F811),ISNUMBER(G811)),IF(E811=G811,15,0),"")</f>
        <v/>
      </c>
      <c r="K811" s="22" t="str">
        <f aca="false">IF(AND(ISNUMBER(F811),ISNUMBER(G811)),IF(ABS(D811-E811)=ABS(F811-G811),12,0),"")</f>
        <v/>
      </c>
      <c r="L811" s="23" t="str">
        <f aca="false">IF(ISNUMBER(H811),H811+I811+J811+K811,"")</f>
        <v/>
      </c>
    </row>
    <row r="812" customFormat="false" ht="18" hidden="false" customHeight="true" outlineLevel="0" collapsed="false">
      <c r="A812" s="25" t="s">
        <v>9</v>
      </c>
      <c r="B812" s="26" t="s">
        <v>159</v>
      </c>
      <c r="C812" s="27" t="s">
        <v>66</v>
      </c>
      <c r="D812" s="28" t="n">
        <v>3</v>
      </c>
      <c r="E812" s="28" t="n">
        <v>1</v>
      </c>
      <c r="F812" s="29" t="n">
        <f aca="false">'📋 Matches'!E20</f>
        <v>0</v>
      </c>
      <c r="G812" s="29" t="n">
        <f aca="false">'📋 Matches'!F20</f>
        <v>0</v>
      </c>
      <c r="H812" s="22" t="str">
        <f aca="false">IF(AND(ISNUMBER(F812),ISNUMBER(G812)),IF(SIGN(D812-E812)=SIGN(F812-G812),48,0),"")</f>
        <v/>
      </c>
      <c r="I812" s="22" t="str">
        <f aca="false">IF(AND(ISNUMBER(F812),ISNUMBER(G812)),IF(D812=F812,15,0),"")</f>
        <v/>
      </c>
      <c r="J812" s="22" t="str">
        <f aca="false">IF(AND(ISNUMBER(F812),ISNUMBER(G812)),IF(E812=G812,15,0),"")</f>
        <v/>
      </c>
      <c r="K812" s="22" t="str">
        <f aca="false">IF(AND(ISNUMBER(F812),ISNUMBER(G812)),IF(ABS(D812-E812)=ABS(F812-G812),12,0),"")</f>
        <v/>
      </c>
      <c r="L812" s="23" t="str">
        <f aca="false">IF(ISNUMBER(H812),H812+I812+J812+K812,"")</f>
        <v/>
      </c>
    </row>
    <row r="813" customFormat="false" ht="18" hidden="false" customHeight="true" outlineLevel="0" collapsed="false">
      <c r="A813" s="25" t="s">
        <v>9</v>
      </c>
      <c r="B813" s="26" t="s">
        <v>159</v>
      </c>
      <c r="C813" s="27" t="s">
        <v>69</v>
      </c>
      <c r="D813" s="28" t="n">
        <v>3</v>
      </c>
      <c r="E813" s="28" t="n">
        <v>0</v>
      </c>
      <c r="F813" s="29" t="n">
        <f aca="false">'📋 Matches'!E21</f>
        <v>0</v>
      </c>
      <c r="G813" s="29" t="n">
        <f aca="false">'📋 Matches'!F21</f>
        <v>0</v>
      </c>
      <c r="H813" s="22" t="str">
        <f aca="false">IF(AND(ISNUMBER(F813),ISNUMBER(G813)),IF(SIGN(D813-E813)=SIGN(F813-G813),48,0),"")</f>
        <v/>
      </c>
      <c r="I813" s="22" t="str">
        <f aca="false">IF(AND(ISNUMBER(F813),ISNUMBER(G813)),IF(D813=F813,15,0),"")</f>
        <v/>
      </c>
      <c r="J813" s="22" t="str">
        <f aca="false">IF(AND(ISNUMBER(F813),ISNUMBER(G813)),IF(E813=G813,15,0),"")</f>
        <v/>
      </c>
      <c r="K813" s="22" t="str">
        <f aca="false">IF(AND(ISNUMBER(F813),ISNUMBER(G813)),IF(ABS(D813-E813)=ABS(F813-G813),12,0),"")</f>
        <v/>
      </c>
      <c r="L813" s="23" t="str">
        <f aca="false">IF(ISNUMBER(H813),H813+I813+J813+K813,"")</f>
        <v/>
      </c>
    </row>
    <row r="814" customFormat="false" ht="18" hidden="false" customHeight="true" outlineLevel="0" collapsed="false">
      <c r="A814" s="25" t="s">
        <v>9</v>
      </c>
      <c r="B814" s="26" t="s">
        <v>159</v>
      </c>
      <c r="C814" s="27" t="s">
        <v>72</v>
      </c>
      <c r="D814" s="28" t="n">
        <v>3</v>
      </c>
      <c r="E814" s="28" t="n">
        <v>0</v>
      </c>
      <c r="F814" s="29" t="n">
        <f aca="false">'📋 Matches'!E22</f>
        <v>0</v>
      </c>
      <c r="G814" s="29" t="n">
        <f aca="false">'📋 Matches'!F22</f>
        <v>0</v>
      </c>
      <c r="H814" s="22" t="str">
        <f aca="false">IF(AND(ISNUMBER(F814),ISNUMBER(G814)),IF(SIGN(D814-E814)=SIGN(F814-G814),48,0),"")</f>
        <v/>
      </c>
      <c r="I814" s="22" t="str">
        <f aca="false">IF(AND(ISNUMBER(F814),ISNUMBER(G814)),IF(D814=F814,15,0),"")</f>
        <v/>
      </c>
      <c r="J814" s="22" t="str">
        <f aca="false">IF(AND(ISNUMBER(F814),ISNUMBER(G814)),IF(E814=G814,15,0),"")</f>
        <v/>
      </c>
      <c r="K814" s="22" t="str">
        <f aca="false">IF(AND(ISNUMBER(F814),ISNUMBER(G814)),IF(ABS(D814-E814)=ABS(F814-G814),12,0),"")</f>
        <v/>
      </c>
      <c r="L814" s="23" t="str">
        <f aca="false">IF(ISNUMBER(H814),H814+I814+J814+K814,"")</f>
        <v/>
      </c>
    </row>
    <row r="815" customFormat="false" ht="18" hidden="false" customHeight="true" outlineLevel="0" collapsed="false">
      <c r="A815" s="25" t="s">
        <v>9</v>
      </c>
      <c r="B815" s="26" t="s">
        <v>159</v>
      </c>
      <c r="C815" s="27" t="s">
        <v>75</v>
      </c>
      <c r="D815" s="28" t="n">
        <v>3</v>
      </c>
      <c r="E815" s="28" t="n">
        <v>1</v>
      </c>
      <c r="F815" s="29" t="n">
        <f aca="false">'📋 Matches'!E23</f>
        <v>0</v>
      </c>
      <c r="G815" s="29" t="n">
        <f aca="false">'📋 Matches'!F23</f>
        <v>0</v>
      </c>
      <c r="H815" s="22" t="str">
        <f aca="false">IF(AND(ISNUMBER(F815),ISNUMBER(G815)),IF(SIGN(D815-E815)=SIGN(F815-G815),48,0),"")</f>
        <v/>
      </c>
      <c r="I815" s="22" t="str">
        <f aca="false">IF(AND(ISNUMBER(F815),ISNUMBER(G815)),IF(D815=F815,15,0),"")</f>
        <v/>
      </c>
      <c r="J815" s="22" t="str">
        <f aca="false">IF(AND(ISNUMBER(F815),ISNUMBER(G815)),IF(E815=G815,15,0),"")</f>
        <v/>
      </c>
      <c r="K815" s="22" t="str">
        <f aca="false">IF(AND(ISNUMBER(F815),ISNUMBER(G815)),IF(ABS(D815-E815)=ABS(F815-G815),12,0),"")</f>
        <v/>
      </c>
      <c r="L815" s="23" t="str">
        <f aca="false">IF(ISNUMBER(H815),H815+I815+J815+K815,"")</f>
        <v/>
      </c>
    </row>
    <row r="816" customFormat="false" ht="18" hidden="false" customHeight="true" outlineLevel="0" collapsed="false">
      <c r="A816" s="25" t="s">
        <v>9</v>
      </c>
      <c r="B816" s="26" t="s">
        <v>159</v>
      </c>
      <c r="C816" s="27" t="s">
        <v>78</v>
      </c>
      <c r="D816" s="28" t="n">
        <v>2</v>
      </c>
      <c r="E816" s="28" t="n">
        <v>0</v>
      </c>
      <c r="F816" s="29" t="n">
        <f aca="false">'📋 Matches'!E24</f>
        <v>0</v>
      </c>
      <c r="G816" s="29" t="n">
        <f aca="false">'📋 Matches'!F24</f>
        <v>0</v>
      </c>
      <c r="H816" s="22" t="str">
        <f aca="false">IF(AND(ISNUMBER(F816),ISNUMBER(G816)),IF(SIGN(D816-E816)=SIGN(F816-G816),48,0),"")</f>
        <v/>
      </c>
      <c r="I816" s="22" t="str">
        <f aca="false">IF(AND(ISNUMBER(F816),ISNUMBER(G816)),IF(D816=F816,15,0),"")</f>
        <v/>
      </c>
      <c r="J816" s="22" t="str">
        <f aca="false">IF(AND(ISNUMBER(F816),ISNUMBER(G816)),IF(E816=G816,15,0),"")</f>
        <v/>
      </c>
      <c r="K816" s="22" t="str">
        <f aca="false">IF(AND(ISNUMBER(F816),ISNUMBER(G816)),IF(ABS(D816-E816)=ABS(F816-G816),12,0),"")</f>
        <v/>
      </c>
      <c r="L816" s="23" t="str">
        <f aca="false">IF(ISNUMBER(H816),H816+I816+J816+K816,"")</f>
        <v/>
      </c>
    </row>
    <row r="817" customFormat="false" ht="18" hidden="false" customHeight="true" outlineLevel="0" collapsed="false">
      <c r="A817" s="25" t="s">
        <v>9</v>
      </c>
      <c r="B817" s="26" t="s">
        <v>159</v>
      </c>
      <c r="C817" s="27" t="s">
        <v>81</v>
      </c>
      <c r="D817" s="28" t="n">
        <v>1</v>
      </c>
      <c r="E817" s="28" t="n">
        <v>3</v>
      </c>
      <c r="F817" s="29" t="n">
        <f aca="false">'📋 Matches'!E25</f>
        <v>0</v>
      </c>
      <c r="G817" s="29" t="n">
        <f aca="false">'📋 Matches'!F25</f>
        <v>0</v>
      </c>
      <c r="H817" s="22" t="str">
        <f aca="false">IF(AND(ISNUMBER(F817),ISNUMBER(G817)),IF(SIGN(D817-E817)=SIGN(F817-G817),48,0),"")</f>
        <v/>
      </c>
      <c r="I817" s="22" t="str">
        <f aca="false">IF(AND(ISNUMBER(F817),ISNUMBER(G817)),IF(D817=F817,15,0),"")</f>
        <v/>
      </c>
      <c r="J817" s="22" t="str">
        <f aca="false">IF(AND(ISNUMBER(F817),ISNUMBER(G817)),IF(E817=G817,15,0),"")</f>
        <v/>
      </c>
      <c r="K817" s="22" t="str">
        <f aca="false">IF(AND(ISNUMBER(F817),ISNUMBER(G817)),IF(ABS(D817-E817)=ABS(F817-G817),12,0),"")</f>
        <v/>
      </c>
      <c r="L817" s="23" t="str">
        <f aca="false">IF(ISNUMBER(H817),H817+I817+J817+K817,"")</f>
        <v/>
      </c>
    </row>
    <row r="818" customFormat="false" ht="18" hidden="false" customHeight="true" outlineLevel="0" collapsed="false">
      <c r="A818" s="25" t="s">
        <v>84</v>
      </c>
      <c r="B818" s="26" t="s">
        <v>159</v>
      </c>
      <c r="C818" s="27" t="s">
        <v>85</v>
      </c>
      <c r="D818" s="28"/>
      <c r="E818" s="28"/>
      <c r="F818" s="29" t="n">
        <f aca="false">'📋 Matches'!E26</f>
        <v>0</v>
      </c>
      <c r="G818" s="29" t="n">
        <f aca="false">'📋 Matches'!F26</f>
        <v>0</v>
      </c>
      <c r="H818" s="30" t="s">
        <v>148</v>
      </c>
      <c r="I818" s="30" t="s">
        <v>148</v>
      </c>
      <c r="J818" s="30" t="s">
        <v>148</v>
      </c>
      <c r="K818" s="30" t="s">
        <v>148</v>
      </c>
      <c r="L818" s="30" t="s">
        <v>148</v>
      </c>
    </row>
    <row r="819" customFormat="false" ht="18" hidden="false" customHeight="true" outlineLevel="0" collapsed="false">
      <c r="A819" s="25" t="s">
        <v>84</v>
      </c>
      <c r="B819" s="26" t="s">
        <v>159</v>
      </c>
      <c r="C819" s="27" t="s">
        <v>87</v>
      </c>
      <c r="D819" s="28"/>
      <c r="E819" s="28"/>
      <c r="F819" s="29" t="n">
        <f aca="false">'📋 Matches'!E27</f>
        <v>0</v>
      </c>
      <c r="G819" s="29" t="n">
        <f aca="false">'📋 Matches'!F27</f>
        <v>0</v>
      </c>
      <c r="H819" s="30" t="s">
        <v>148</v>
      </c>
      <c r="I819" s="30" t="s">
        <v>148</v>
      </c>
      <c r="J819" s="30" t="s">
        <v>148</v>
      </c>
      <c r="K819" s="30" t="s">
        <v>148</v>
      </c>
      <c r="L819" s="30" t="s">
        <v>148</v>
      </c>
    </row>
    <row r="820" customFormat="false" ht="18" hidden="false" customHeight="true" outlineLevel="0" collapsed="false">
      <c r="A820" s="25" t="s">
        <v>84</v>
      </c>
      <c r="B820" s="26" t="s">
        <v>159</v>
      </c>
      <c r="C820" s="27" t="s">
        <v>89</v>
      </c>
      <c r="D820" s="28"/>
      <c r="E820" s="28"/>
      <c r="F820" s="29" t="n">
        <f aca="false">'📋 Matches'!E28</f>
        <v>0</v>
      </c>
      <c r="G820" s="29" t="n">
        <f aca="false">'📋 Matches'!F28</f>
        <v>0</v>
      </c>
      <c r="H820" s="30" t="s">
        <v>148</v>
      </c>
      <c r="I820" s="30" t="s">
        <v>148</v>
      </c>
      <c r="J820" s="30" t="s">
        <v>148</v>
      </c>
      <c r="K820" s="30" t="s">
        <v>148</v>
      </c>
      <c r="L820" s="30" t="s">
        <v>148</v>
      </c>
    </row>
    <row r="821" customFormat="false" ht="18" hidden="false" customHeight="true" outlineLevel="0" collapsed="false">
      <c r="A821" s="25" t="s">
        <v>84</v>
      </c>
      <c r="B821" s="26" t="s">
        <v>159</v>
      </c>
      <c r="C821" s="27" t="s">
        <v>90</v>
      </c>
      <c r="D821" s="28"/>
      <c r="E821" s="28"/>
      <c r="F821" s="29" t="n">
        <f aca="false">'📋 Matches'!E29</f>
        <v>0</v>
      </c>
      <c r="G821" s="29" t="n">
        <f aca="false">'📋 Matches'!F29</f>
        <v>0</v>
      </c>
      <c r="H821" s="30" t="s">
        <v>148</v>
      </c>
      <c r="I821" s="30" t="s">
        <v>148</v>
      </c>
      <c r="J821" s="30" t="s">
        <v>148</v>
      </c>
      <c r="K821" s="30" t="s">
        <v>148</v>
      </c>
      <c r="L821" s="30" t="s">
        <v>148</v>
      </c>
    </row>
    <row r="822" customFormat="false" ht="18" hidden="false" customHeight="true" outlineLevel="0" collapsed="false">
      <c r="A822" s="25" t="s">
        <v>84</v>
      </c>
      <c r="B822" s="26" t="s">
        <v>159</v>
      </c>
      <c r="C822" s="27" t="s">
        <v>91</v>
      </c>
      <c r="D822" s="28"/>
      <c r="E822" s="28"/>
      <c r="F822" s="29" t="n">
        <f aca="false">'📋 Matches'!E30</f>
        <v>0</v>
      </c>
      <c r="G822" s="29" t="n">
        <f aca="false">'📋 Matches'!F30</f>
        <v>0</v>
      </c>
      <c r="H822" s="30" t="s">
        <v>148</v>
      </c>
      <c r="I822" s="30" t="s">
        <v>148</v>
      </c>
      <c r="J822" s="30" t="s">
        <v>148</v>
      </c>
      <c r="K822" s="30" t="s">
        <v>148</v>
      </c>
      <c r="L822" s="30" t="s">
        <v>148</v>
      </c>
    </row>
    <row r="823" customFormat="false" ht="18" hidden="false" customHeight="true" outlineLevel="0" collapsed="false">
      <c r="A823" s="25" t="s">
        <v>84</v>
      </c>
      <c r="B823" s="26" t="s">
        <v>159</v>
      </c>
      <c r="C823" s="27" t="s">
        <v>92</v>
      </c>
      <c r="D823" s="28"/>
      <c r="E823" s="28"/>
      <c r="F823" s="29" t="n">
        <f aca="false">'📋 Matches'!E31</f>
        <v>0</v>
      </c>
      <c r="G823" s="29" t="n">
        <f aca="false">'📋 Matches'!F31</f>
        <v>0</v>
      </c>
      <c r="H823" s="30" t="s">
        <v>148</v>
      </c>
      <c r="I823" s="30" t="s">
        <v>148</v>
      </c>
      <c r="J823" s="30" t="s">
        <v>148</v>
      </c>
      <c r="K823" s="30" t="s">
        <v>148</v>
      </c>
      <c r="L823" s="30" t="s">
        <v>148</v>
      </c>
    </row>
    <row r="824" customFormat="false" ht="18" hidden="false" customHeight="true" outlineLevel="0" collapsed="false">
      <c r="A824" s="25" t="s">
        <v>84</v>
      </c>
      <c r="B824" s="26" t="s">
        <v>159</v>
      </c>
      <c r="C824" s="27" t="s">
        <v>93</v>
      </c>
      <c r="D824" s="28"/>
      <c r="E824" s="28"/>
      <c r="F824" s="29" t="n">
        <f aca="false">'📋 Matches'!E32</f>
        <v>0</v>
      </c>
      <c r="G824" s="29" t="n">
        <f aca="false">'📋 Matches'!F32</f>
        <v>0</v>
      </c>
      <c r="H824" s="30" t="s">
        <v>148</v>
      </c>
      <c r="I824" s="30" t="s">
        <v>148</v>
      </c>
      <c r="J824" s="30" t="s">
        <v>148</v>
      </c>
      <c r="K824" s="30" t="s">
        <v>148</v>
      </c>
      <c r="L824" s="30" t="s">
        <v>148</v>
      </c>
    </row>
    <row r="825" customFormat="false" ht="18" hidden="false" customHeight="true" outlineLevel="0" collapsed="false">
      <c r="A825" s="25" t="s">
        <v>84</v>
      </c>
      <c r="B825" s="26" t="s">
        <v>159</v>
      </c>
      <c r="C825" s="27" t="s">
        <v>94</v>
      </c>
      <c r="D825" s="28"/>
      <c r="E825" s="28"/>
      <c r="F825" s="29" t="n">
        <f aca="false">'📋 Matches'!E33</f>
        <v>0</v>
      </c>
      <c r="G825" s="29" t="n">
        <f aca="false">'📋 Matches'!F33</f>
        <v>0</v>
      </c>
      <c r="H825" s="30" t="s">
        <v>148</v>
      </c>
      <c r="I825" s="30" t="s">
        <v>148</v>
      </c>
      <c r="J825" s="30" t="s">
        <v>148</v>
      </c>
      <c r="K825" s="30" t="s">
        <v>148</v>
      </c>
      <c r="L825" s="30" t="s">
        <v>148</v>
      </c>
    </row>
    <row r="826" customFormat="false" ht="18" hidden="false" customHeight="true" outlineLevel="0" collapsed="false">
      <c r="A826" s="25" t="s">
        <v>84</v>
      </c>
      <c r="B826" s="26" t="s">
        <v>159</v>
      </c>
      <c r="C826" s="27" t="s">
        <v>96</v>
      </c>
      <c r="D826" s="28"/>
      <c r="E826" s="28"/>
      <c r="F826" s="29" t="n">
        <f aca="false">'📋 Matches'!E34</f>
        <v>0</v>
      </c>
      <c r="G826" s="29" t="n">
        <f aca="false">'📋 Matches'!F34</f>
        <v>0</v>
      </c>
      <c r="H826" s="30" t="s">
        <v>148</v>
      </c>
      <c r="I826" s="30" t="s">
        <v>148</v>
      </c>
      <c r="J826" s="30" t="s">
        <v>148</v>
      </c>
      <c r="K826" s="30" t="s">
        <v>148</v>
      </c>
      <c r="L826" s="30" t="s">
        <v>148</v>
      </c>
    </row>
    <row r="827" customFormat="false" ht="18" hidden="false" customHeight="true" outlineLevel="0" collapsed="false">
      <c r="A827" s="25" t="s">
        <v>84</v>
      </c>
      <c r="B827" s="26" t="s">
        <v>159</v>
      </c>
      <c r="C827" s="27" t="s">
        <v>97</v>
      </c>
      <c r="D827" s="28"/>
      <c r="E827" s="28"/>
      <c r="F827" s="29" t="n">
        <f aca="false">'📋 Matches'!E35</f>
        <v>0</v>
      </c>
      <c r="G827" s="29" t="n">
        <f aca="false">'📋 Matches'!F35</f>
        <v>0</v>
      </c>
      <c r="H827" s="30" t="s">
        <v>148</v>
      </c>
      <c r="I827" s="30" t="s">
        <v>148</v>
      </c>
      <c r="J827" s="30" t="s">
        <v>148</v>
      </c>
      <c r="K827" s="30" t="s">
        <v>148</v>
      </c>
      <c r="L827" s="30" t="s">
        <v>148</v>
      </c>
    </row>
    <row r="828" customFormat="false" ht="18" hidden="false" customHeight="true" outlineLevel="0" collapsed="false">
      <c r="A828" s="25" t="s">
        <v>84</v>
      </c>
      <c r="B828" s="26" t="s">
        <v>159</v>
      </c>
      <c r="C828" s="27" t="s">
        <v>98</v>
      </c>
      <c r="D828" s="28"/>
      <c r="E828" s="28"/>
      <c r="F828" s="29" t="n">
        <f aca="false">'📋 Matches'!E36</f>
        <v>0</v>
      </c>
      <c r="G828" s="29" t="n">
        <f aca="false">'📋 Matches'!F36</f>
        <v>0</v>
      </c>
      <c r="H828" s="30" t="s">
        <v>148</v>
      </c>
      <c r="I828" s="30" t="s">
        <v>148</v>
      </c>
      <c r="J828" s="30" t="s">
        <v>148</v>
      </c>
      <c r="K828" s="30" t="s">
        <v>148</v>
      </c>
      <c r="L828" s="30" t="s">
        <v>148</v>
      </c>
    </row>
    <row r="829" customFormat="false" ht="18" hidden="false" customHeight="true" outlineLevel="0" collapsed="false">
      <c r="A829" s="25" t="s">
        <v>84</v>
      </c>
      <c r="B829" s="26" t="s">
        <v>159</v>
      </c>
      <c r="C829" s="27" t="s">
        <v>100</v>
      </c>
      <c r="D829" s="28"/>
      <c r="E829" s="28"/>
      <c r="F829" s="29" t="n">
        <f aca="false">'📋 Matches'!E37</f>
        <v>0</v>
      </c>
      <c r="G829" s="29" t="n">
        <f aca="false">'📋 Matches'!F37</f>
        <v>0</v>
      </c>
      <c r="H829" s="30" t="s">
        <v>148</v>
      </c>
      <c r="I829" s="30" t="s">
        <v>148</v>
      </c>
      <c r="J829" s="30" t="s">
        <v>148</v>
      </c>
      <c r="K829" s="30" t="s">
        <v>148</v>
      </c>
      <c r="L829" s="30" t="s">
        <v>148</v>
      </c>
    </row>
    <row r="830" customFormat="false" ht="18" hidden="false" customHeight="true" outlineLevel="0" collapsed="false">
      <c r="A830" s="25" t="s">
        <v>84</v>
      </c>
      <c r="B830" s="26" t="s">
        <v>159</v>
      </c>
      <c r="C830" s="27" t="s">
        <v>101</v>
      </c>
      <c r="D830" s="28"/>
      <c r="E830" s="28"/>
      <c r="F830" s="29" t="n">
        <f aca="false">'📋 Matches'!E38</f>
        <v>0</v>
      </c>
      <c r="G830" s="29" t="n">
        <f aca="false">'📋 Matches'!F38</f>
        <v>0</v>
      </c>
      <c r="H830" s="30" t="s">
        <v>148</v>
      </c>
      <c r="I830" s="30" t="s">
        <v>148</v>
      </c>
      <c r="J830" s="30" t="s">
        <v>148</v>
      </c>
      <c r="K830" s="30" t="s">
        <v>148</v>
      </c>
      <c r="L830" s="30" t="s">
        <v>148</v>
      </c>
    </row>
    <row r="831" customFormat="false" ht="18" hidden="false" customHeight="true" outlineLevel="0" collapsed="false">
      <c r="A831" s="25" t="s">
        <v>84</v>
      </c>
      <c r="B831" s="26" t="s">
        <v>159</v>
      </c>
      <c r="C831" s="27" t="s">
        <v>102</v>
      </c>
      <c r="D831" s="28"/>
      <c r="E831" s="28"/>
      <c r="F831" s="29" t="n">
        <f aca="false">'📋 Matches'!E39</f>
        <v>0</v>
      </c>
      <c r="G831" s="29" t="n">
        <f aca="false">'📋 Matches'!F39</f>
        <v>0</v>
      </c>
      <c r="H831" s="30" t="s">
        <v>148</v>
      </c>
      <c r="I831" s="30" t="s">
        <v>148</v>
      </c>
      <c r="J831" s="30" t="s">
        <v>148</v>
      </c>
      <c r="K831" s="30" t="s">
        <v>148</v>
      </c>
      <c r="L831" s="30" t="s">
        <v>148</v>
      </c>
    </row>
    <row r="832" customFormat="false" ht="18" hidden="false" customHeight="true" outlineLevel="0" collapsed="false">
      <c r="A832" s="25" t="s">
        <v>84</v>
      </c>
      <c r="B832" s="26" t="s">
        <v>159</v>
      </c>
      <c r="C832" s="27" t="s">
        <v>103</v>
      </c>
      <c r="D832" s="28"/>
      <c r="E832" s="28"/>
      <c r="F832" s="29" t="n">
        <f aca="false">'📋 Matches'!E40</f>
        <v>0</v>
      </c>
      <c r="G832" s="29" t="n">
        <f aca="false">'📋 Matches'!F40</f>
        <v>0</v>
      </c>
      <c r="H832" s="30" t="s">
        <v>148</v>
      </c>
      <c r="I832" s="30" t="s">
        <v>148</v>
      </c>
      <c r="J832" s="30" t="s">
        <v>148</v>
      </c>
      <c r="K832" s="30" t="s">
        <v>148</v>
      </c>
      <c r="L832" s="30" t="s">
        <v>148</v>
      </c>
    </row>
    <row r="833" customFormat="false" ht="18" hidden="false" customHeight="true" outlineLevel="0" collapsed="false">
      <c r="A833" s="25" t="s">
        <v>84</v>
      </c>
      <c r="B833" s="26" t="s">
        <v>159</v>
      </c>
      <c r="C833" s="27" t="s">
        <v>104</v>
      </c>
      <c r="D833" s="28"/>
      <c r="E833" s="28"/>
      <c r="F833" s="29" t="n">
        <f aca="false">'📋 Matches'!E41</f>
        <v>0</v>
      </c>
      <c r="G833" s="29" t="n">
        <f aca="false">'📋 Matches'!F41</f>
        <v>0</v>
      </c>
      <c r="H833" s="30" t="s">
        <v>148</v>
      </c>
      <c r="I833" s="30" t="s">
        <v>148</v>
      </c>
      <c r="J833" s="30" t="s">
        <v>148</v>
      </c>
      <c r="K833" s="30" t="s">
        <v>148</v>
      </c>
      <c r="L833" s="30" t="s">
        <v>148</v>
      </c>
    </row>
    <row r="834" customFormat="false" ht="18" hidden="false" customHeight="true" outlineLevel="0" collapsed="false">
      <c r="A834" s="25" t="s">
        <v>84</v>
      </c>
      <c r="B834" s="26" t="s">
        <v>159</v>
      </c>
      <c r="C834" s="27" t="s">
        <v>105</v>
      </c>
      <c r="D834" s="28"/>
      <c r="E834" s="28"/>
      <c r="F834" s="29" t="n">
        <f aca="false">'📋 Matches'!E42</f>
        <v>0</v>
      </c>
      <c r="G834" s="29" t="n">
        <f aca="false">'📋 Matches'!F42</f>
        <v>0</v>
      </c>
      <c r="H834" s="30" t="s">
        <v>148</v>
      </c>
      <c r="I834" s="30" t="s">
        <v>148</v>
      </c>
      <c r="J834" s="30" t="s">
        <v>148</v>
      </c>
      <c r="K834" s="30" t="s">
        <v>148</v>
      </c>
      <c r="L834" s="30" t="s">
        <v>148</v>
      </c>
    </row>
    <row r="835" customFormat="false" ht="18" hidden="false" customHeight="true" outlineLevel="0" collapsed="false">
      <c r="A835" s="25" t="s">
        <v>84</v>
      </c>
      <c r="B835" s="26" t="s">
        <v>159</v>
      </c>
      <c r="C835" s="27" t="s">
        <v>106</v>
      </c>
      <c r="D835" s="28"/>
      <c r="E835" s="28"/>
      <c r="F835" s="29" t="n">
        <f aca="false">'📋 Matches'!E43</f>
        <v>0</v>
      </c>
      <c r="G835" s="29" t="n">
        <f aca="false">'📋 Matches'!F43</f>
        <v>0</v>
      </c>
      <c r="H835" s="30" t="s">
        <v>148</v>
      </c>
      <c r="I835" s="30" t="s">
        <v>148</v>
      </c>
      <c r="J835" s="30" t="s">
        <v>148</v>
      </c>
      <c r="K835" s="30" t="s">
        <v>148</v>
      </c>
      <c r="L835" s="30" t="s">
        <v>148</v>
      </c>
    </row>
    <row r="836" customFormat="false" ht="18" hidden="false" customHeight="true" outlineLevel="0" collapsed="false">
      <c r="A836" s="25" t="s">
        <v>84</v>
      </c>
      <c r="B836" s="26" t="s">
        <v>159</v>
      </c>
      <c r="C836" s="27" t="s">
        <v>107</v>
      </c>
      <c r="D836" s="28"/>
      <c r="E836" s="28"/>
      <c r="F836" s="29" t="n">
        <f aca="false">'📋 Matches'!E44</f>
        <v>0</v>
      </c>
      <c r="G836" s="29" t="n">
        <f aca="false">'📋 Matches'!F44</f>
        <v>0</v>
      </c>
      <c r="H836" s="30" t="s">
        <v>148</v>
      </c>
      <c r="I836" s="30" t="s">
        <v>148</v>
      </c>
      <c r="J836" s="30" t="s">
        <v>148</v>
      </c>
      <c r="K836" s="30" t="s">
        <v>148</v>
      </c>
      <c r="L836" s="30" t="s">
        <v>148</v>
      </c>
    </row>
    <row r="837" customFormat="false" ht="18" hidden="false" customHeight="true" outlineLevel="0" collapsed="false">
      <c r="A837" s="25" t="s">
        <v>84</v>
      </c>
      <c r="B837" s="26" t="s">
        <v>159</v>
      </c>
      <c r="C837" s="27" t="s">
        <v>108</v>
      </c>
      <c r="D837" s="28"/>
      <c r="E837" s="28"/>
      <c r="F837" s="29" t="n">
        <f aca="false">'📋 Matches'!E45</f>
        <v>0</v>
      </c>
      <c r="G837" s="29" t="n">
        <f aca="false">'📋 Matches'!F45</f>
        <v>0</v>
      </c>
      <c r="H837" s="30" t="s">
        <v>148</v>
      </c>
      <c r="I837" s="30" t="s">
        <v>148</v>
      </c>
      <c r="J837" s="30" t="s">
        <v>148</v>
      </c>
      <c r="K837" s="30" t="s">
        <v>148</v>
      </c>
      <c r="L837" s="30" t="s">
        <v>148</v>
      </c>
    </row>
    <row r="838" customFormat="false" ht="18" hidden="false" customHeight="true" outlineLevel="0" collapsed="false">
      <c r="A838" s="25" t="s">
        <v>84</v>
      </c>
      <c r="B838" s="26" t="s">
        <v>159</v>
      </c>
      <c r="C838" s="27" t="s">
        <v>109</v>
      </c>
      <c r="D838" s="28"/>
      <c r="E838" s="28"/>
      <c r="F838" s="29" t="n">
        <f aca="false">'📋 Matches'!E46</f>
        <v>0</v>
      </c>
      <c r="G838" s="29" t="n">
        <f aca="false">'📋 Matches'!F46</f>
        <v>0</v>
      </c>
      <c r="H838" s="30" t="s">
        <v>148</v>
      </c>
      <c r="I838" s="30" t="s">
        <v>148</v>
      </c>
      <c r="J838" s="30" t="s">
        <v>148</v>
      </c>
      <c r="K838" s="30" t="s">
        <v>148</v>
      </c>
      <c r="L838" s="30" t="s">
        <v>148</v>
      </c>
    </row>
    <row r="839" customFormat="false" ht="18" hidden="false" customHeight="true" outlineLevel="0" collapsed="false">
      <c r="A839" s="25" t="s">
        <v>84</v>
      </c>
      <c r="B839" s="26" t="s">
        <v>159</v>
      </c>
      <c r="C839" s="27" t="s">
        <v>110</v>
      </c>
      <c r="D839" s="28"/>
      <c r="E839" s="28"/>
      <c r="F839" s="29" t="n">
        <f aca="false">'📋 Matches'!E47</f>
        <v>0</v>
      </c>
      <c r="G839" s="29" t="n">
        <f aca="false">'📋 Matches'!F47</f>
        <v>0</v>
      </c>
      <c r="H839" s="30" t="s">
        <v>148</v>
      </c>
      <c r="I839" s="30" t="s">
        <v>148</v>
      </c>
      <c r="J839" s="30" t="s">
        <v>148</v>
      </c>
      <c r="K839" s="30" t="s">
        <v>148</v>
      </c>
      <c r="L839" s="30" t="s">
        <v>148</v>
      </c>
    </row>
    <row r="840" customFormat="false" ht="18" hidden="false" customHeight="true" outlineLevel="0" collapsed="false">
      <c r="A840" s="25" t="s">
        <v>84</v>
      </c>
      <c r="B840" s="26" t="s">
        <v>159</v>
      </c>
      <c r="C840" s="27" t="s">
        <v>111</v>
      </c>
      <c r="D840" s="28"/>
      <c r="E840" s="28"/>
      <c r="F840" s="29" t="n">
        <f aca="false">'📋 Matches'!E48</f>
        <v>0</v>
      </c>
      <c r="G840" s="29" t="n">
        <f aca="false">'📋 Matches'!F48</f>
        <v>0</v>
      </c>
      <c r="H840" s="30" t="s">
        <v>148</v>
      </c>
      <c r="I840" s="30" t="s">
        <v>148</v>
      </c>
      <c r="J840" s="30" t="s">
        <v>148</v>
      </c>
      <c r="K840" s="30" t="s">
        <v>148</v>
      </c>
      <c r="L840" s="30" t="s">
        <v>148</v>
      </c>
    </row>
    <row r="841" customFormat="false" ht="18" hidden="false" customHeight="true" outlineLevel="0" collapsed="false">
      <c r="A841" s="25" t="s">
        <v>84</v>
      </c>
      <c r="B841" s="26" t="s">
        <v>159</v>
      </c>
      <c r="C841" s="27" t="s">
        <v>112</v>
      </c>
      <c r="D841" s="28"/>
      <c r="E841" s="28"/>
      <c r="F841" s="29" t="n">
        <f aca="false">'📋 Matches'!E49</f>
        <v>0</v>
      </c>
      <c r="G841" s="29" t="n">
        <f aca="false">'📋 Matches'!F49</f>
        <v>0</v>
      </c>
      <c r="H841" s="30" t="s">
        <v>148</v>
      </c>
      <c r="I841" s="30" t="s">
        <v>148</v>
      </c>
      <c r="J841" s="30" t="s">
        <v>148</v>
      </c>
      <c r="K841" s="30" t="s">
        <v>148</v>
      </c>
      <c r="L841" s="30" t="s">
        <v>148</v>
      </c>
    </row>
    <row r="842" customFormat="false" ht="18" hidden="false" customHeight="true" outlineLevel="0" collapsed="false">
      <c r="A842" s="25" t="s">
        <v>114</v>
      </c>
      <c r="B842" s="26" t="s">
        <v>159</v>
      </c>
      <c r="C842" s="27" t="s">
        <v>115</v>
      </c>
      <c r="D842" s="28"/>
      <c r="E842" s="28"/>
      <c r="F842" s="29" t="n">
        <f aca="false">'📋 Matches'!E50</f>
        <v>0</v>
      </c>
      <c r="G842" s="29" t="n">
        <f aca="false">'📋 Matches'!F50</f>
        <v>0</v>
      </c>
      <c r="H842" s="30" t="s">
        <v>148</v>
      </c>
      <c r="I842" s="30" t="s">
        <v>148</v>
      </c>
      <c r="J842" s="30" t="s">
        <v>148</v>
      </c>
      <c r="K842" s="30" t="s">
        <v>148</v>
      </c>
      <c r="L842" s="30" t="s">
        <v>148</v>
      </c>
    </row>
    <row r="843" customFormat="false" ht="18" hidden="false" customHeight="true" outlineLevel="0" collapsed="false">
      <c r="A843" s="25" t="s">
        <v>114</v>
      </c>
      <c r="B843" s="26" t="s">
        <v>159</v>
      </c>
      <c r="C843" s="27" t="s">
        <v>116</v>
      </c>
      <c r="D843" s="28"/>
      <c r="E843" s="28"/>
      <c r="F843" s="29" t="n">
        <f aca="false">'📋 Matches'!E51</f>
        <v>0</v>
      </c>
      <c r="G843" s="29" t="n">
        <f aca="false">'📋 Matches'!F51</f>
        <v>0</v>
      </c>
      <c r="H843" s="30" t="s">
        <v>148</v>
      </c>
      <c r="I843" s="30" t="s">
        <v>148</v>
      </c>
      <c r="J843" s="30" t="s">
        <v>148</v>
      </c>
      <c r="K843" s="30" t="s">
        <v>148</v>
      </c>
      <c r="L843" s="30" t="s">
        <v>148</v>
      </c>
    </row>
    <row r="844" customFormat="false" ht="18" hidden="false" customHeight="true" outlineLevel="0" collapsed="false">
      <c r="A844" s="25" t="s">
        <v>114</v>
      </c>
      <c r="B844" s="26" t="s">
        <v>159</v>
      </c>
      <c r="C844" s="27" t="s">
        <v>117</v>
      </c>
      <c r="D844" s="28"/>
      <c r="E844" s="28"/>
      <c r="F844" s="29" t="n">
        <f aca="false">'📋 Matches'!E52</f>
        <v>0</v>
      </c>
      <c r="G844" s="29" t="n">
        <f aca="false">'📋 Matches'!F52</f>
        <v>0</v>
      </c>
      <c r="H844" s="30" t="s">
        <v>148</v>
      </c>
      <c r="I844" s="30" t="s">
        <v>148</v>
      </c>
      <c r="J844" s="30" t="s">
        <v>148</v>
      </c>
      <c r="K844" s="30" t="s">
        <v>148</v>
      </c>
      <c r="L844" s="30" t="s">
        <v>148</v>
      </c>
    </row>
    <row r="845" customFormat="false" ht="18" hidden="false" customHeight="true" outlineLevel="0" collapsed="false">
      <c r="A845" s="25" t="s">
        <v>114</v>
      </c>
      <c r="B845" s="26" t="s">
        <v>159</v>
      </c>
      <c r="C845" s="27" t="s">
        <v>118</v>
      </c>
      <c r="D845" s="28"/>
      <c r="E845" s="28"/>
      <c r="F845" s="29" t="n">
        <f aca="false">'📋 Matches'!E53</f>
        <v>0</v>
      </c>
      <c r="G845" s="29" t="n">
        <f aca="false">'📋 Matches'!F53</f>
        <v>0</v>
      </c>
      <c r="H845" s="30" t="s">
        <v>148</v>
      </c>
      <c r="I845" s="30" t="s">
        <v>148</v>
      </c>
      <c r="J845" s="30" t="s">
        <v>148</v>
      </c>
      <c r="K845" s="30" t="s">
        <v>148</v>
      </c>
      <c r="L845" s="30" t="s">
        <v>148</v>
      </c>
    </row>
    <row r="846" customFormat="false" ht="18" hidden="false" customHeight="true" outlineLevel="0" collapsed="false">
      <c r="A846" s="25" t="s">
        <v>114</v>
      </c>
      <c r="B846" s="26" t="s">
        <v>159</v>
      </c>
      <c r="C846" s="27" t="s">
        <v>119</v>
      </c>
      <c r="D846" s="28"/>
      <c r="E846" s="28"/>
      <c r="F846" s="29" t="n">
        <f aca="false">'📋 Matches'!E54</f>
        <v>0</v>
      </c>
      <c r="G846" s="29" t="n">
        <f aca="false">'📋 Matches'!F54</f>
        <v>0</v>
      </c>
      <c r="H846" s="30" t="s">
        <v>148</v>
      </c>
      <c r="I846" s="30" t="s">
        <v>148</v>
      </c>
      <c r="J846" s="30" t="s">
        <v>148</v>
      </c>
      <c r="K846" s="30" t="s">
        <v>148</v>
      </c>
      <c r="L846" s="30" t="s">
        <v>148</v>
      </c>
    </row>
    <row r="847" customFormat="false" ht="18" hidden="false" customHeight="true" outlineLevel="0" collapsed="false">
      <c r="A847" s="25" t="s">
        <v>114</v>
      </c>
      <c r="B847" s="26" t="s">
        <v>159</v>
      </c>
      <c r="C847" s="27" t="s">
        <v>120</v>
      </c>
      <c r="D847" s="28"/>
      <c r="E847" s="28"/>
      <c r="F847" s="29" t="n">
        <f aca="false">'📋 Matches'!E55</f>
        <v>0</v>
      </c>
      <c r="G847" s="29" t="n">
        <f aca="false">'📋 Matches'!F55</f>
        <v>0</v>
      </c>
      <c r="H847" s="30" t="s">
        <v>148</v>
      </c>
      <c r="I847" s="30" t="s">
        <v>148</v>
      </c>
      <c r="J847" s="30" t="s">
        <v>148</v>
      </c>
      <c r="K847" s="30" t="s">
        <v>148</v>
      </c>
      <c r="L847" s="30" t="s">
        <v>148</v>
      </c>
    </row>
    <row r="848" customFormat="false" ht="18" hidden="false" customHeight="true" outlineLevel="0" collapsed="false">
      <c r="A848" s="25" t="s">
        <v>114</v>
      </c>
      <c r="B848" s="26" t="s">
        <v>159</v>
      </c>
      <c r="C848" s="27" t="s">
        <v>121</v>
      </c>
      <c r="D848" s="28"/>
      <c r="E848" s="28"/>
      <c r="F848" s="29" t="n">
        <f aca="false">'📋 Matches'!E56</f>
        <v>0</v>
      </c>
      <c r="G848" s="29" t="n">
        <f aca="false">'📋 Matches'!F56</f>
        <v>0</v>
      </c>
      <c r="H848" s="30" t="s">
        <v>148</v>
      </c>
      <c r="I848" s="30" t="s">
        <v>148</v>
      </c>
      <c r="J848" s="30" t="s">
        <v>148</v>
      </c>
      <c r="K848" s="30" t="s">
        <v>148</v>
      </c>
      <c r="L848" s="30" t="s">
        <v>148</v>
      </c>
    </row>
    <row r="849" customFormat="false" ht="18" hidden="false" customHeight="true" outlineLevel="0" collapsed="false">
      <c r="A849" s="25" t="s">
        <v>114</v>
      </c>
      <c r="B849" s="26" t="s">
        <v>159</v>
      </c>
      <c r="C849" s="27" t="s">
        <v>122</v>
      </c>
      <c r="D849" s="28"/>
      <c r="E849" s="28"/>
      <c r="F849" s="29" t="n">
        <f aca="false">'📋 Matches'!E57</f>
        <v>0</v>
      </c>
      <c r="G849" s="29" t="n">
        <f aca="false">'📋 Matches'!F57</f>
        <v>0</v>
      </c>
      <c r="H849" s="30" t="s">
        <v>148</v>
      </c>
      <c r="I849" s="30" t="s">
        <v>148</v>
      </c>
      <c r="J849" s="30" t="s">
        <v>148</v>
      </c>
      <c r="K849" s="30" t="s">
        <v>148</v>
      </c>
      <c r="L849" s="30" t="s">
        <v>148</v>
      </c>
    </row>
    <row r="850" customFormat="false" ht="18" hidden="false" customHeight="true" outlineLevel="0" collapsed="false">
      <c r="A850" s="25" t="s">
        <v>114</v>
      </c>
      <c r="B850" s="26" t="s">
        <v>159</v>
      </c>
      <c r="C850" s="27" t="s">
        <v>123</v>
      </c>
      <c r="D850" s="28"/>
      <c r="E850" s="28"/>
      <c r="F850" s="29" t="n">
        <f aca="false">'📋 Matches'!E58</f>
        <v>0</v>
      </c>
      <c r="G850" s="29" t="n">
        <f aca="false">'📋 Matches'!F58</f>
        <v>0</v>
      </c>
      <c r="H850" s="30" t="s">
        <v>148</v>
      </c>
      <c r="I850" s="30" t="s">
        <v>148</v>
      </c>
      <c r="J850" s="30" t="s">
        <v>148</v>
      </c>
      <c r="K850" s="30" t="s">
        <v>148</v>
      </c>
      <c r="L850" s="30" t="s">
        <v>148</v>
      </c>
    </row>
    <row r="851" customFormat="false" ht="18" hidden="false" customHeight="true" outlineLevel="0" collapsed="false">
      <c r="A851" s="25" t="s">
        <v>114</v>
      </c>
      <c r="B851" s="26" t="s">
        <v>159</v>
      </c>
      <c r="C851" s="27" t="s">
        <v>124</v>
      </c>
      <c r="D851" s="28"/>
      <c r="E851" s="28"/>
      <c r="F851" s="29" t="n">
        <f aca="false">'📋 Matches'!E59</f>
        <v>0</v>
      </c>
      <c r="G851" s="29" t="n">
        <f aca="false">'📋 Matches'!F59</f>
        <v>0</v>
      </c>
      <c r="H851" s="30" t="s">
        <v>148</v>
      </c>
      <c r="I851" s="30" t="s">
        <v>148</v>
      </c>
      <c r="J851" s="30" t="s">
        <v>148</v>
      </c>
      <c r="K851" s="30" t="s">
        <v>148</v>
      </c>
      <c r="L851" s="30" t="s">
        <v>148</v>
      </c>
    </row>
    <row r="852" customFormat="false" ht="18" hidden="false" customHeight="true" outlineLevel="0" collapsed="false">
      <c r="A852" s="25" t="s">
        <v>114</v>
      </c>
      <c r="B852" s="26" t="s">
        <v>159</v>
      </c>
      <c r="C852" s="27" t="s">
        <v>125</v>
      </c>
      <c r="D852" s="28"/>
      <c r="E852" s="28"/>
      <c r="F852" s="29" t="n">
        <f aca="false">'📋 Matches'!E60</f>
        <v>0</v>
      </c>
      <c r="G852" s="29" t="n">
        <f aca="false">'📋 Matches'!F60</f>
        <v>0</v>
      </c>
      <c r="H852" s="30" t="s">
        <v>148</v>
      </c>
      <c r="I852" s="30" t="s">
        <v>148</v>
      </c>
      <c r="J852" s="30" t="s">
        <v>148</v>
      </c>
      <c r="K852" s="30" t="s">
        <v>148</v>
      </c>
      <c r="L852" s="30" t="s">
        <v>148</v>
      </c>
    </row>
    <row r="853" customFormat="false" ht="18" hidden="false" customHeight="true" outlineLevel="0" collapsed="false">
      <c r="A853" s="25" t="s">
        <v>114</v>
      </c>
      <c r="B853" s="26" t="s">
        <v>159</v>
      </c>
      <c r="C853" s="27" t="s">
        <v>126</v>
      </c>
      <c r="D853" s="28"/>
      <c r="E853" s="28"/>
      <c r="F853" s="29" t="n">
        <f aca="false">'📋 Matches'!E61</f>
        <v>0</v>
      </c>
      <c r="G853" s="29" t="n">
        <f aca="false">'📋 Matches'!F61</f>
        <v>0</v>
      </c>
      <c r="H853" s="30" t="s">
        <v>148</v>
      </c>
      <c r="I853" s="30" t="s">
        <v>148</v>
      </c>
      <c r="J853" s="30" t="s">
        <v>148</v>
      </c>
      <c r="K853" s="30" t="s">
        <v>148</v>
      </c>
      <c r="L853" s="30" t="s">
        <v>148</v>
      </c>
    </row>
    <row r="854" customFormat="false" ht="18" hidden="false" customHeight="true" outlineLevel="0" collapsed="false">
      <c r="A854" s="25" t="s">
        <v>114</v>
      </c>
      <c r="B854" s="26" t="s">
        <v>159</v>
      </c>
      <c r="C854" s="27" t="s">
        <v>127</v>
      </c>
      <c r="D854" s="28"/>
      <c r="E854" s="28"/>
      <c r="F854" s="29" t="n">
        <f aca="false">'📋 Matches'!E62</f>
        <v>0</v>
      </c>
      <c r="G854" s="29" t="n">
        <f aca="false">'📋 Matches'!F62</f>
        <v>0</v>
      </c>
      <c r="H854" s="30" t="s">
        <v>148</v>
      </c>
      <c r="I854" s="30" t="s">
        <v>148</v>
      </c>
      <c r="J854" s="30" t="s">
        <v>148</v>
      </c>
      <c r="K854" s="30" t="s">
        <v>148</v>
      </c>
      <c r="L854" s="30" t="s">
        <v>148</v>
      </c>
    </row>
    <row r="855" customFormat="false" ht="18" hidden="false" customHeight="true" outlineLevel="0" collapsed="false">
      <c r="A855" s="25" t="s">
        <v>114</v>
      </c>
      <c r="B855" s="26" t="s">
        <v>159</v>
      </c>
      <c r="C855" s="27" t="s">
        <v>128</v>
      </c>
      <c r="D855" s="28"/>
      <c r="E855" s="28"/>
      <c r="F855" s="29" t="n">
        <f aca="false">'📋 Matches'!E63</f>
        <v>0</v>
      </c>
      <c r="G855" s="29" t="n">
        <f aca="false">'📋 Matches'!F63</f>
        <v>0</v>
      </c>
      <c r="H855" s="30" t="s">
        <v>148</v>
      </c>
      <c r="I855" s="30" t="s">
        <v>148</v>
      </c>
      <c r="J855" s="30" t="s">
        <v>148</v>
      </c>
      <c r="K855" s="30" t="s">
        <v>148</v>
      </c>
      <c r="L855" s="30" t="s">
        <v>148</v>
      </c>
    </row>
    <row r="856" customFormat="false" ht="18" hidden="false" customHeight="true" outlineLevel="0" collapsed="false">
      <c r="A856" s="25" t="s">
        <v>114</v>
      </c>
      <c r="B856" s="26" t="s">
        <v>159</v>
      </c>
      <c r="C856" s="27" t="s">
        <v>129</v>
      </c>
      <c r="D856" s="28"/>
      <c r="E856" s="28"/>
      <c r="F856" s="29" t="n">
        <f aca="false">'📋 Matches'!E64</f>
        <v>0</v>
      </c>
      <c r="G856" s="29" t="n">
        <f aca="false">'📋 Matches'!F64</f>
        <v>0</v>
      </c>
      <c r="H856" s="30" t="s">
        <v>148</v>
      </c>
      <c r="I856" s="30" t="s">
        <v>148</v>
      </c>
      <c r="J856" s="30" t="s">
        <v>148</v>
      </c>
      <c r="K856" s="30" t="s">
        <v>148</v>
      </c>
      <c r="L856" s="30" t="s">
        <v>148</v>
      </c>
    </row>
    <row r="857" customFormat="false" ht="18" hidden="false" customHeight="true" outlineLevel="0" collapsed="false">
      <c r="A857" s="25" t="s">
        <v>114</v>
      </c>
      <c r="B857" s="26" t="s">
        <v>159</v>
      </c>
      <c r="C857" s="27" t="s">
        <v>130</v>
      </c>
      <c r="D857" s="28"/>
      <c r="E857" s="28"/>
      <c r="F857" s="29" t="n">
        <f aca="false">'📋 Matches'!E65</f>
        <v>0</v>
      </c>
      <c r="G857" s="29" t="n">
        <f aca="false">'📋 Matches'!F65</f>
        <v>0</v>
      </c>
      <c r="H857" s="30" t="s">
        <v>148</v>
      </c>
      <c r="I857" s="30" t="s">
        <v>148</v>
      </c>
      <c r="J857" s="30" t="s">
        <v>148</v>
      </c>
      <c r="K857" s="30" t="s">
        <v>148</v>
      </c>
      <c r="L857" s="30" t="s">
        <v>148</v>
      </c>
    </row>
    <row r="858" customFormat="false" ht="18" hidden="false" customHeight="true" outlineLevel="0" collapsed="false">
      <c r="A858" s="25" t="s">
        <v>114</v>
      </c>
      <c r="B858" s="26" t="s">
        <v>159</v>
      </c>
      <c r="C858" s="27" t="s">
        <v>131</v>
      </c>
      <c r="D858" s="28"/>
      <c r="E858" s="28"/>
      <c r="F858" s="29" t="n">
        <f aca="false">'📋 Matches'!E66</f>
        <v>0</v>
      </c>
      <c r="G858" s="29" t="n">
        <f aca="false">'📋 Matches'!F66</f>
        <v>0</v>
      </c>
      <c r="H858" s="30" t="s">
        <v>148</v>
      </c>
      <c r="I858" s="30" t="s">
        <v>148</v>
      </c>
      <c r="J858" s="30" t="s">
        <v>148</v>
      </c>
      <c r="K858" s="30" t="s">
        <v>148</v>
      </c>
      <c r="L858" s="30" t="s">
        <v>148</v>
      </c>
    </row>
    <row r="859" customFormat="false" ht="18" hidden="false" customHeight="true" outlineLevel="0" collapsed="false">
      <c r="A859" s="25" t="s">
        <v>114</v>
      </c>
      <c r="B859" s="26" t="s">
        <v>159</v>
      </c>
      <c r="C859" s="27" t="s">
        <v>132</v>
      </c>
      <c r="D859" s="28"/>
      <c r="E859" s="28"/>
      <c r="F859" s="29" t="n">
        <f aca="false">'📋 Matches'!E67</f>
        <v>0</v>
      </c>
      <c r="G859" s="29" t="n">
        <f aca="false">'📋 Matches'!F67</f>
        <v>0</v>
      </c>
      <c r="H859" s="30" t="s">
        <v>148</v>
      </c>
      <c r="I859" s="30" t="s">
        <v>148</v>
      </c>
      <c r="J859" s="30" t="s">
        <v>148</v>
      </c>
      <c r="K859" s="30" t="s">
        <v>148</v>
      </c>
      <c r="L859" s="30" t="s">
        <v>148</v>
      </c>
    </row>
    <row r="860" customFormat="false" ht="18" hidden="false" customHeight="true" outlineLevel="0" collapsed="false">
      <c r="A860" s="25" t="s">
        <v>114</v>
      </c>
      <c r="B860" s="26" t="s">
        <v>159</v>
      </c>
      <c r="C860" s="27" t="s">
        <v>133</v>
      </c>
      <c r="D860" s="28"/>
      <c r="E860" s="28"/>
      <c r="F860" s="29" t="n">
        <f aca="false">'📋 Matches'!E68</f>
        <v>0</v>
      </c>
      <c r="G860" s="29" t="n">
        <f aca="false">'📋 Matches'!F68</f>
        <v>0</v>
      </c>
      <c r="H860" s="30" t="s">
        <v>148</v>
      </c>
      <c r="I860" s="30" t="s">
        <v>148</v>
      </c>
      <c r="J860" s="30" t="s">
        <v>148</v>
      </c>
      <c r="K860" s="30" t="s">
        <v>148</v>
      </c>
      <c r="L860" s="30" t="s">
        <v>148</v>
      </c>
    </row>
    <row r="861" customFormat="false" ht="18" hidden="false" customHeight="true" outlineLevel="0" collapsed="false">
      <c r="A861" s="25" t="s">
        <v>114</v>
      </c>
      <c r="B861" s="26" t="s">
        <v>159</v>
      </c>
      <c r="C861" s="27" t="s">
        <v>134</v>
      </c>
      <c r="D861" s="28"/>
      <c r="E861" s="28"/>
      <c r="F861" s="29" t="n">
        <f aca="false">'📋 Matches'!E69</f>
        <v>0</v>
      </c>
      <c r="G861" s="29" t="n">
        <f aca="false">'📋 Matches'!F69</f>
        <v>0</v>
      </c>
      <c r="H861" s="30" t="s">
        <v>148</v>
      </c>
      <c r="I861" s="30" t="s">
        <v>148</v>
      </c>
      <c r="J861" s="30" t="s">
        <v>148</v>
      </c>
      <c r="K861" s="30" t="s">
        <v>148</v>
      </c>
      <c r="L861" s="30" t="s">
        <v>148</v>
      </c>
    </row>
    <row r="862" customFormat="false" ht="18" hidden="false" customHeight="true" outlineLevel="0" collapsed="false">
      <c r="A862" s="25" t="s">
        <v>114</v>
      </c>
      <c r="B862" s="26" t="s">
        <v>159</v>
      </c>
      <c r="C862" s="27" t="s">
        <v>135</v>
      </c>
      <c r="D862" s="28"/>
      <c r="E862" s="28"/>
      <c r="F862" s="29" t="n">
        <f aca="false">'📋 Matches'!E70</f>
        <v>0</v>
      </c>
      <c r="G862" s="29" t="n">
        <f aca="false">'📋 Matches'!F70</f>
        <v>0</v>
      </c>
      <c r="H862" s="30" t="s">
        <v>148</v>
      </c>
      <c r="I862" s="30" t="s">
        <v>148</v>
      </c>
      <c r="J862" s="30" t="s">
        <v>148</v>
      </c>
      <c r="K862" s="30" t="s">
        <v>148</v>
      </c>
      <c r="L862" s="30" t="s">
        <v>148</v>
      </c>
    </row>
    <row r="863" customFormat="false" ht="18" hidden="false" customHeight="true" outlineLevel="0" collapsed="false">
      <c r="A863" s="25" t="s">
        <v>114</v>
      </c>
      <c r="B863" s="26" t="s">
        <v>159</v>
      </c>
      <c r="C863" s="27" t="s">
        <v>136</v>
      </c>
      <c r="D863" s="28"/>
      <c r="E863" s="28"/>
      <c r="F863" s="29" t="n">
        <f aca="false">'📋 Matches'!E71</f>
        <v>0</v>
      </c>
      <c r="G863" s="29" t="n">
        <f aca="false">'📋 Matches'!F71</f>
        <v>0</v>
      </c>
      <c r="H863" s="30" t="s">
        <v>148</v>
      </c>
      <c r="I863" s="30" t="s">
        <v>148</v>
      </c>
      <c r="J863" s="30" t="s">
        <v>148</v>
      </c>
      <c r="K863" s="30" t="s">
        <v>148</v>
      </c>
      <c r="L863" s="30" t="s">
        <v>148</v>
      </c>
    </row>
    <row r="864" customFormat="false" ht="18" hidden="false" customHeight="true" outlineLevel="0" collapsed="false">
      <c r="A864" s="25" t="s">
        <v>114</v>
      </c>
      <c r="B864" s="26" t="s">
        <v>159</v>
      </c>
      <c r="C864" s="27" t="s">
        <v>137</v>
      </c>
      <c r="D864" s="28"/>
      <c r="E864" s="28"/>
      <c r="F864" s="29" t="n">
        <f aca="false">'📋 Matches'!E72</f>
        <v>0</v>
      </c>
      <c r="G864" s="29" t="n">
        <f aca="false">'📋 Matches'!F72</f>
        <v>0</v>
      </c>
      <c r="H864" s="30" t="s">
        <v>148</v>
      </c>
      <c r="I864" s="30" t="s">
        <v>148</v>
      </c>
      <c r="J864" s="30" t="s">
        <v>148</v>
      </c>
      <c r="K864" s="30" t="s">
        <v>148</v>
      </c>
      <c r="L864" s="30" t="s">
        <v>148</v>
      </c>
    </row>
    <row r="865" customFormat="false" ht="18" hidden="false" customHeight="true" outlineLevel="0" collapsed="false">
      <c r="A865" s="25" t="s">
        <v>114</v>
      </c>
      <c r="B865" s="26" t="s">
        <v>159</v>
      </c>
      <c r="C865" s="27" t="s">
        <v>138</v>
      </c>
      <c r="D865" s="28"/>
      <c r="E865" s="28"/>
      <c r="F865" s="29" t="n">
        <f aca="false">'📋 Matches'!E73</f>
        <v>0</v>
      </c>
      <c r="G865" s="29" t="n">
        <f aca="false">'📋 Matches'!F73</f>
        <v>0</v>
      </c>
      <c r="H865" s="30" t="s">
        <v>148</v>
      </c>
      <c r="I865" s="30" t="s">
        <v>148</v>
      </c>
      <c r="J865" s="30" t="s">
        <v>148</v>
      </c>
      <c r="K865" s="30" t="s">
        <v>148</v>
      </c>
      <c r="L865" s="30" t="s">
        <v>148</v>
      </c>
    </row>
    <row r="866" customFormat="false" ht="18" hidden="false" customHeight="true" outlineLevel="0" collapsed="false">
      <c r="A866" s="17" t="s">
        <v>9</v>
      </c>
      <c r="B866" s="31" t="s">
        <v>160</v>
      </c>
      <c r="C866" s="19" t="s">
        <v>10</v>
      </c>
      <c r="D866" s="20" t="n">
        <v>2</v>
      </c>
      <c r="E866" s="20" t="n">
        <v>1</v>
      </c>
      <c r="F866" s="21" t="n">
        <f aca="false">'📋 Matches'!E2</f>
        <v>2</v>
      </c>
      <c r="G866" s="21" t="n">
        <f aca="false">'📋 Matches'!F2</f>
        <v>0</v>
      </c>
      <c r="H866" s="22" t="n">
        <f aca="false">IF(AND(ISNUMBER(F866),ISNUMBER(G866)),IF(SIGN(D866-E866)=SIGN(F866-G866),48,0),"")</f>
        <v>48</v>
      </c>
      <c r="I866" s="22" t="n">
        <f aca="false">IF(AND(ISNUMBER(F866),ISNUMBER(G866)),IF(D866=F866,15,0),"")</f>
        <v>15</v>
      </c>
      <c r="J866" s="22" t="n">
        <f aca="false">IF(AND(ISNUMBER(F866),ISNUMBER(G866)),IF(E866=G866,15,0),"")</f>
        <v>0</v>
      </c>
      <c r="K866" s="22" t="n">
        <f aca="false">IF(AND(ISNUMBER(F866),ISNUMBER(G866)),IF(ABS(D866-E866)=ABS(F866-G866),12,0),"")</f>
        <v>0</v>
      </c>
      <c r="L866" s="23" t="n">
        <f aca="false">IF(ISNUMBER(H866),H866+I866+J866+K866,"")</f>
        <v>63</v>
      </c>
    </row>
    <row r="867" customFormat="false" ht="18" hidden="false" customHeight="true" outlineLevel="0" collapsed="false">
      <c r="A867" s="17" t="s">
        <v>9</v>
      </c>
      <c r="B867" s="31" t="s">
        <v>160</v>
      </c>
      <c r="C867" s="19" t="s">
        <v>14</v>
      </c>
      <c r="D867" s="20" t="n">
        <v>1</v>
      </c>
      <c r="E867" s="20" t="n">
        <v>0</v>
      </c>
      <c r="F867" s="21" t="n">
        <f aca="false">'📋 Matches'!E3</f>
        <v>2</v>
      </c>
      <c r="G867" s="21" t="n">
        <f aca="false">'📋 Matches'!F3</f>
        <v>1</v>
      </c>
      <c r="H867" s="22" t="n">
        <f aca="false">IF(AND(ISNUMBER(F867),ISNUMBER(G867)),IF(SIGN(D867-E867)=SIGN(F867-G867),48,0),"")</f>
        <v>48</v>
      </c>
      <c r="I867" s="22" t="n">
        <f aca="false">IF(AND(ISNUMBER(F867),ISNUMBER(G867)),IF(D867=F867,15,0),"")</f>
        <v>0</v>
      </c>
      <c r="J867" s="22" t="n">
        <f aca="false">IF(AND(ISNUMBER(F867),ISNUMBER(G867)),IF(E867=G867,15,0),"")</f>
        <v>0</v>
      </c>
      <c r="K867" s="22" t="n">
        <f aca="false">IF(AND(ISNUMBER(F867),ISNUMBER(G867)),IF(ABS(D867-E867)=ABS(F867-G867),12,0),"")</f>
        <v>12</v>
      </c>
      <c r="L867" s="23" t="n">
        <f aca="false">IF(ISNUMBER(H867),H867+I867+J867+K867,"")</f>
        <v>60</v>
      </c>
    </row>
    <row r="868" customFormat="false" ht="18" hidden="false" customHeight="true" outlineLevel="0" collapsed="false">
      <c r="A868" s="17" t="s">
        <v>9</v>
      </c>
      <c r="B868" s="31" t="s">
        <v>160</v>
      </c>
      <c r="C868" s="19" t="s">
        <v>17</v>
      </c>
      <c r="D868" s="20" t="n">
        <v>2</v>
      </c>
      <c r="E868" s="20" t="n">
        <v>0</v>
      </c>
      <c r="F868" s="21" t="n">
        <f aca="false">'📋 Matches'!E4</f>
        <v>1</v>
      </c>
      <c r="G868" s="21" t="n">
        <f aca="false">'📋 Matches'!F4</f>
        <v>1</v>
      </c>
      <c r="H868" s="22" t="n">
        <f aca="false">IF(AND(ISNUMBER(F868),ISNUMBER(G868)),IF(SIGN(D868-E868)=SIGN(F868-G868),48,0),"")</f>
        <v>0</v>
      </c>
      <c r="I868" s="22" t="n">
        <f aca="false">IF(AND(ISNUMBER(F868),ISNUMBER(G868)),IF(D868=F868,15,0),"")</f>
        <v>0</v>
      </c>
      <c r="J868" s="22" t="n">
        <f aca="false">IF(AND(ISNUMBER(F868),ISNUMBER(G868)),IF(E868=G868,15,0),"")</f>
        <v>0</v>
      </c>
      <c r="K868" s="22" t="n">
        <f aca="false">IF(AND(ISNUMBER(F868),ISNUMBER(G868)),IF(ABS(D868-E868)=ABS(F868-G868),12,0),"")</f>
        <v>0</v>
      </c>
      <c r="L868" s="23" t="n">
        <f aca="false">IF(ISNUMBER(H868),H868+I868+J868+K868,"")</f>
        <v>0</v>
      </c>
    </row>
    <row r="869" customFormat="false" ht="18" hidden="false" customHeight="true" outlineLevel="0" collapsed="false">
      <c r="A869" s="17" t="s">
        <v>9</v>
      </c>
      <c r="B869" s="31" t="s">
        <v>160</v>
      </c>
      <c r="C869" s="19" t="s">
        <v>20</v>
      </c>
      <c r="D869" s="20" t="n">
        <v>2</v>
      </c>
      <c r="E869" s="20" t="n">
        <v>0</v>
      </c>
      <c r="F869" s="21" t="n">
        <f aca="false">'📋 Matches'!E5</f>
        <v>4</v>
      </c>
      <c r="G869" s="21" t="n">
        <f aca="false">'📋 Matches'!F5</f>
        <v>1</v>
      </c>
      <c r="H869" s="22" t="n">
        <f aca="false">IF(AND(ISNUMBER(F869),ISNUMBER(G869)),IF(SIGN(D869-E869)=SIGN(F869-G869),48,0),"")</f>
        <v>48</v>
      </c>
      <c r="I869" s="22" t="n">
        <f aca="false">IF(AND(ISNUMBER(F869),ISNUMBER(G869)),IF(D869=F869,15,0),"")</f>
        <v>0</v>
      </c>
      <c r="J869" s="22" t="n">
        <f aca="false">IF(AND(ISNUMBER(F869),ISNUMBER(G869)),IF(E869=G869,15,0),"")</f>
        <v>0</v>
      </c>
      <c r="K869" s="22" t="n">
        <f aca="false">IF(AND(ISNUMBER(F869),ISNUMBER(G869)),IF(ABS(D869-E869)=ABS(F869-G869),12,0),"")</f>
        <v>0</v>
      </c>
      <c r="L869" s="23" t="n">
        <f aca="false">IF(ISNUMBER(H869),H869+I869+J869+K869,"")</f>
        <v>48</v>
      </c>
    </row>
    <row r="870" customFormat="false" ht="18" hidden="false" customHeight="true" outlineLevel="0" collapsed="false">
      <c r="A870" s="17" t="s">
        <v>9</v>
      </c>
      <c r="B870" s="31" t="s">
        <v>160</v>
      </c>
      <c r="C870" s="19" t="s">
        <v>23</v>
      </c>
      <c r="D870" s="20" t="n">
        <v>0</v>
      </c>
      <c r="E870" s="20" t="n">
        <v>2</v>
      </c>
      <c r="F870" s="21" t="n">
        <f aca="false">'📋 Matches'!E6</f>
        <v>0</v>
      </c>
      <c r="G870" s="21" t="n">
        <f aca="false">'📋 Matches'!F6</f>
        <v>0</v>
      </c>
      <c r="H870" s="22" t="str">
        <f aca="false">IF(AND(ISNUMBER(F870),ISNUMBER(G870)),IF(SIGN(D870-E870)=SIGN(F870-G870),48,0),"")</f>
        <v/>
      </c>
      <c r="I870" s="22" t="str">
        <f aca="false">IF(AND(ISNUMBER(F870),ISNUMBER(G870)),IF(D870=F870,15,0),"")</f>
        <v/>
      </c>
      <c r="J870" s="22" t="str">
        <f aca="false">IF(AND(ISNUMBER(F870),ISNUMBER(G870)),IF(E870=G870,15,0),"")</f>
        <v/>
      </c>
      <c r="K870" s="22" t="str">
        <f aca="false">IF(AND(ISNUMBER(F870),ISNUMBER(G870)),IF(ABS(D870-E870)=ABS(F870-G870),12,0),"")</f>
        <v/>
      </c>
      <c r="L870" s="23" t="str">
        <f aca="false">IF(ISNUMBER(H870),H870+I870+J870+K870,"")</f>
        <v/>
      </c>
    </row>
    <row r="871" customFormat="false" ht="18" hidden="false" customHeight="true" outlineLevel="0" collapsed="false">
      <c r="A871" s="17" t="s">
        <v>9</v>
      </c>
      <c r="B871" s="31" t="s">
        <v>160</v>
      </c>
      <c r="C871" s="19" t="s">
        <v>27</v>
      </c>
      <c r="D871" s="20" t="n">
        <v>3</v>
      </c>
      <c r="E871" s="20" t="n">
        <v>1</v>
      </c>
      <c r="F871" s="21" t="n">
        <f aca="false">'📋 Matches'!E7</f>
        <v>0</v>
      </c>
      <c r="G871" s="21" t="n">
        <f aca="false">'📋 Matches'!F7</f>
        <v>0</v>
      </c>
      <c r="H871" s="22" t="str">
        <f aca="false">IF(AND(ISNUMBER(F871),ISNUMBER(G871)),IF(SIGN(D871-E871)=SIGN(F871-G871),48,0),"")</f>
        <v/>
      </c>
      <c r="I871" s="22" t="str">
        <f aca="false">IF(AND(ISNUMBER(F871),ISNUMBER(G871)),IF(D871=F871,15,0),"")</f>
        <v/>
      </c>
      <c r="J871" s="22" t="str">
        <f aca="false">IF(AND(ISNUMBER(F871),ISNUMBER(G871)),IF(E871=G871,15,0),"")</f>
        <v/>
      </c>
      <c r="K871" s="22" t="str">
        <f aca="false">IF(AND(ISNUMBER(F871),ISNUMBER(G871)),IF(ABS(D871-E871)=ABS(F871-G871),12,0),"")</f>
        <v/>
      </c>
      <c r="L871" s="23" t="str">
        <f aca="false">IF(ISNUMBER(H871),H871+I871+J871+K871,"")</f>
        <v/>
      </c>
    </row>
    <row r="872" customFormat="false" ht="18" hidden="false" customHeight="true" outlineLevel="0" collapsed="false">
      <c r="A872" s="17" t="s">
        <v>9</v>
      </c>
      <c r="B872" s="31" t="s">
        <v>160</v>
      </c>
      <c r="C872" s="19" t="s">
        <v>30</v>
      </c>
      <c r="D872" s="20" t="n">
        <v>0</v>
      </c>
      <c r="E872" s="20" t="n">
        <v>3</v>
      </c>
      <c r="F872" s="21" t="n">
        <f aca="false">'📋 Matches'!E8</f>
        <v>0</v>
      </c>
      <c r="G872" s="21" t="n">
        <f aca="false">'📋 Matches'!F8</f>
        <v>0</v>
      </c>
      <c r="H872" s="22" t="str">
        <f aca="false">IF(AND(ISNUMBER(F872),ISNUMBER(G872)),IF(SIGN(D872-E872)=SIGN(F872-G872),48,0),"")</f>
        <v/>
      </c>
      <c r="I872" s="22" t="str">
        <f aca="false">IF(AND(ISNUMBER(F872),ISNUMBER(G872)),IF(D872=F872,15,0),"")</f>
        <v/>
      </c>
      <c r="J872" s="22" t="str">
        <f aca="false">IF(AND(ISNUMBER(F872),ISNUMBER(G872)),IF(E872=G872,15,0),"")</f>
        <v/>
      </c>
      <c r="K872" s="22" t="str">
        <f aca="false">IF(AND(ISNUMBER(F872),ISNUMBER(G872)),IF(ABS(D872-E872)=ABS(F872-G872),12,0),"")</f>
        <v/>
      </c>
      <c r="L872" s="23" t="str">
        <f aca="false">IF(ISNUMBER(H872),H872+I872+J872+K872,"")</f>
        <v/>
      </c>
    </row>
    <row r="873" customFormat="false" ht="18" hidden="false" customHeight="true" outlineLevel="0" collapsed="false">
      <c r="A873" s="17" t="s">
        <v>9</v>
      </c>
      <c r="B873" s="31" t="s">
        <v>160</v>
      </c>
      <c r="C873" s="19" t="s">
        <v>33</v>
      </c>
      <c r="D873" s="20" t="n">
        <v>1</v>
      </c>
      <c r="E873" s="20" t="n">
        <v>1</v>
      </c>
      <c r="F873" s="21" t="n">
        <f aca="false">'📋 Matches'!E9</f>
        <v>0</v>
      </c>
      <c r="G873" s="21" t="n">
        <f aca="false">'📋 Matches'!F9</f>
        <v>0</v>
      </c>
      <c r="H873" s="22" t="str">
        <f aca="false">IF(AND(ISNUMBER(F873),ISNUMBER(G873)),IF(SIGN(D873-E873)=SIGN(F873-G873),48,0),"")</f>
        <v/>
      </c>
      <c r="I873" s="22" t="str">
        <f aca="false">IF(AND(ISNUMBER(F873),ISNUMBER(G873)),IF(D873=F873,15,0),"")</f>
        <v/>
      </c>
      <c r="J873" s="22" t="str">
        <f aca="false">IF(AND(ISNUMBER(F873),ISNUMBER(G873)),IF(E873=G873,15,0),"")</f>
        <v/>
      </c>
      <c r="K873" s="22" t="str">
        <f aca="false">IF(AND(ISNUMBER(F873),ISNUMBER(G873)),IF(ABS(D873-E873)=ABS(F873-G873),12,0),"")</f>
        <v/>
      </c>
      <c r="L873" s="23" t="str">
        <f aca="false">IF(ISNUMBER(H873),H873+I873+J873+K873,"")</f>
        <v/>
      </c>
    </row>
    <row r="874" customFormat="false" ht="18" hidden="false" customHeight="true" outlineLevel="0" collapsed="false">
      <c r="A874" s="17" t="s">
        <v>9</v>
      </c>
      <c r="B874" s="31" t="s">
        <v>160</v>
      </c>
      <c r="C874" s="19" t="s">
        <v>36</v>
      </c>
      <c r="D874" s="20" t="n">
        <v>3</v>
      </c>
      <c r="E874" s="20" t="n">
        <v>1</v>
      </c>
      <c r="F874" s="21" t="n">
        <f aca="false">'📋 Matches'!E10</f>
        <v>0</v>
      </c>
      <c r="G874" s="21" t="n">
        <f aca="false">'📋 Matches'!F10</f>
        <v>0</v>
      </c>
      <c r="H874" s="22" t="str">
        <f aca="false">IF(AND(ISNUMBER(F874),ISNUMBER(G874)),IF(SIGN(D874-E874)=SIGN(F874-G874),48,0),"")</f>
        <v/>
      </c>
      <c r="I874" s="22" t="str">
        <f aca="false">IF(AND(ISNUMBER(F874),ISNUMBER(G874)),IF(D874=F874,15,0),"")</f>
        <v/>
      </c>
      <c r="J874" s="22" t="str">
        <f aca="false">IF(AND(ISNUMBER(F874),ISNUMBER(G874)),IF(E874=G874,15,0),"")</f>
        <v/>
      </c>
      <c r="K874" s="22" t="str">
        <f aca="false">IF(AND(ISNUMBER(F874),ISNUMBER(G874)),IF(ABS(D874-E874)=ABS(F874-G874),12,0),"")</f>
        <v/>
      </c>
      <c r="L874" s="23" t="str">
        <f aca="false">IF(ISNUMBER(H874),H874+I874+J874+K874,"")</f>
        <v/>
      </c>
    </row>
    <row r="875" customFormat="false" ht="18" hidden="false" customHeight="true" outlineLevel="0" collapsed="false">
      <c r="A875" s="17" t="s">
        <v>9</v>
      </c>
      <c r="B875" s="31" t="s">
        <v>160</v>
      </c>
      <c r="C875" s="19" t="s">
        <v>39</v>
      </c>
      <c r="D875" s="20" t="n">
        <v>1</v>
      </c>
      <c r="E875" s="20" t="n">
        <v>1</v>
      </c>
      <c r="F875" s="21" t="n">
        <f aca="false">'📋 Matches'!E11</f>
        <v>0</v>
      </c>
      <c r="G875" s="21" t="n">
        <f aca="false">'📋 Matches'!F11</f>
        <v>0</v>
      </c>
      <c r="H875" s="22" t="str">
        <f aca="false">IF(AND(ISNUMBER(F875),ISNUMBER(G875)),IF(SIGN(D875-E875)=SIGN(F875-G875),48,0),"")</f>
        <v/>
      </c>
      <c r="I875" s="22" t="str">
        <f aca="false">IF(AND(ISNUMBER(F875),ISNUMBER(G875)),IF(D875=F875,15,0),"")</f>
        <v/>
      </c>
      <c r="J875" s="22" t="str">
        <f aca="false">IF(AND(ISNUMBER(F875),ISNUMBER(G875)),IF(E875=G875,15,0),"")</f>
        <v/>
      </c>
      <c r="K875" s="22" t="str">
        <f aca="false">IF(AND(ISNUMBER(F875),ISNUMBER(G875)),IF(ABS(D875-E875)=ABS(F875-G875),12,0),"")</f>
        <v/>
      </c>
      <c r="L875" s="23" t="str">
        <f aca="false">IF(ISNUMBER(H875),H875+I875+J875+K875,"")</f>
        <v/>
      </c>
    </row>
    <row r="876" customFormat="false" ht="18" hidden="false" customHeight="true" outlineLevel="0" collapsed="false">
      <c r="A876" s="17" t="s">
        <v>9</v>
      </c>
      <c r="B876" s="31" t="s">
        <v>160</v>
      </c>
      <c r="C876" s="19" t="s">
        <v>42</v>
      </c>
      <c r="D876" s="20" t="n">
        <v>1</v>
      </c>
      <c r="E876" s="20" t="n">
        <v>2</v>
      </c>
      <c r="F876" s="21" t="n">
        <f aca="false">'📋 Matches'!E12</f>
        <v>0</v>
      </c>
      <c r="G876" s="21" t="n">
        <f aca="false">'📋 Matches'!F12</f>
        <v>0</v>
      </c>
      <c r="H876" s="22" t="str">
        <f aca="false">IF(AND(ISNUMBER(F876),ISNUMBER(G876)),IF(SIGN(D876-E876)=SIGN(F876-G876),48,0),"")</f>
        <v/>
      </c>
      <c r="I876" s="22" t="str">
        <f aca="false">IF(AND(ISNUMBER(F876),ISNUMBER(G876)),IF(D876=F876,15,0),"")</f>
        <v/>
      </c>
      <c r="J876" s="22" t="str">
        <f aca="false">IF(AND(ISNUMBER(F876),ISNUMBER(G876)),IF(E876=G876,15,0),"")</f>
        <v/>
      </c>
      <c r="K876" s="22" t="str">
        <f aca="false">IF(AND(ISNUMBER(F876),ISNUMBER(G876)),IF(ABS(D876-E876)=ABS(F876-G876),12,0),"")</f>
        <v/>
      </c>
      <c r="L876" s="23" t="str">
        <f aca="false">IF(ISNUMBER(H876),H876+I876+J876+K876,"")</f>
        <v/>
      </c>
    </row>
    <row r="877" customFormat="false" ht="18" hidden="false" customHeight="true" outlineLevel="0" collapsed="false">
      <c r="A877" s="17" t="s">
        <v>9</v>
      </c>
      <c r="B877" s="31" t="s">
        <v>160</v>
      </c>
      <c r="C877" s="19" t="s">
        <v>45</v>
      </c>
      <c r="D877" s="20" t="n">
        <v>3</v>
      </c>
      <c r="E877" s="20" t="n">
        <v>1</v>
      </c>
      <c r="F877" s="21" t="n">
        <f aca="false">'📋 Matches'!E13</f>
        <v>0</v>
      </c>
      <c r="G877" s="21" t="n">
        <f aca="false">'📋 Matches'!F13</f>
        <v>0</v>
      </c>
      <c r="H877" s="22" t="str">
        <f aca="false">IF(AND(ISNUMBER(F877),ISNUMBER(G877)),IF(SIGN(D877-E877)=SIGN(F877-G877),48,0),"")</f>
        <v/>
      </c>
      <c r="I877" s="22" t="str">
        <f aca="false">IF(AND(ISNUMBER(F877),ISNUMBER(G877)),IF(D877=F877,15,0),"")</f>
        <v/>
      </c>
      <c r="J877" s="22" t="str">
        <f aca="false">IF(AND(ISNUMBER(F877),ISNUMBER(G877)),IF(E877=G877,15,0),"")</f>
        <v/>
      </c>
      <c r="K877" s="22" t="str">
        <f aca="false">IF(AND(ISNUMBER(F877),ISNUMBER(G877)),IF(ABS(D877-E877)=ABS(F877-G877),12,0),"")</f>
        <v/>
      </c>
      <c r="L877" s="23" t="str">
        <f aca="false">IF(ISNUMBER(H877),H877+I877+J877+K877,"")</f>
        <v/>
      </c>
    </row>
    <row r="878" customFormat="false" ht="18" hidden="false" customHeight="true" outlineLevel="0" collapsed="false">
      <c r="A878" s="17" t="s">
        <v>9</v>
      </c>
      <c r="B878" s="31" t="s">
        <v>160</v>
      </c>
      <c r="C878" s="19" t="s">
        <v>48</v>
      </c>
      <c r="D878" s="20" t="n">
        <v>3</v>
      </c>
      <c r="E878" s="20" t="n">
        <v>0</v>
      </c>
      <c r="F878" s="21" t="n">
        <f aca="false">'📋 Matches'!E14</f>
        <v>0</v>
      </c>
      <c r="G878" s="21" t="n">
        <f aca="false">'📋 Matches'!F14</f>
        <v>0</v>
      </c>
      <c r="H878" s="22" t="str">
        <f aca="false">IF(AND(ISNUMBER(F878),ISNUMBER(G878)),IF(SIGN(D878-E878)=SIGN(F878-G878),48,0),"")</f>
        <v/>
      </c>
      <c r="I878" s="22" t="str">
        <f aca="false">IF(AND(ISNUMBER(F878),ISNUMBER(G878)),IF(D878=F878,15,0),"")</f>
        <v/>
      </c>
      <c r="J878" s="22" t="str">
        <f aca="false">IF(AND(ISNUMBER(F878),ISNUMBER(G878)),IF(E878=G878,15,0),"")</f>
        <v/>
      </c>
      <c r="K878" s="22" t="str">
        <f aca="false">IF(AND(ISNUMBER(F878),ISNUMBER(G878)),IF(ABS(D878-E878)=ABS(F878-G878),12,0),"")</f>
        <v/>
      </c>
      <c r="L878" s="23" t="str">
        <f aca="false">IF(ISNUMBER(H878),H878+I878+J878+K878,"")</f>
        <v/>
      </c>
    </row>
    <row r="879" customFormat="false" ht="18" hidden="false" customHeight="true" outlineLevel="0" collapsed="false">
      <c r="A879" s="17" t="s">
        <v>9</v>
      </c>
      <c r="B879" s="31" t="s">
        <v>160</v>
      </c>
      <c r="C879" s="19" t="s">
        <v>51</v>
      </c>
      <c r="D879" s="20" t="n">
        <v>3</v>
      </c>
      <c r="E879" s="20" t="n">
        <v>1</v>
      </c>
      <c r="F879" s="21" t="n">
        <f aca="false">'📋 Matches'!E15</f>
        <v>0</v>
      </c>
      <c r="G879" s="21" t="n">
        <f aca="false">'📋 Matches'!F15</f>
        <v>0</v>
      </c>
      <c r="H879" s="22" t="str">
        <f aca="false">IF(AND(ISNUMBER(F879),ISNUMBER(G879)),IF(SIGN(D879-E879)=SIGN(F879-G879),48,0),"")</f>
        <v/>
      </c>
      <c r="I879" s="22" t="str">
        <f aca="false">IF(AND(ISNUMBER(F879),ISNUMBER(G879)),IF(D879=F879,15,0),"")</f>
        <v/>
      </c>
      <c r="J879" s="22" t="str">
        <f aca="false">IF(AND(ISNUMBER(F879),ISNUMBER(G879)),IF(E879=G879,15,0),"")</f>
        <v/>
      </c>
      <c r="K879" s="22" t="str">
        <f aca="false">IF(AND(ISNUMBER(F879),ISNUMBER(G879)),IF(ABS(D879-E879)=ABS(F879-G879),12,0),"")</f>
        <v/>
      </c>
      <c r="L879" s="23" t="str">
        <f aca="false">IF(ISNUMBER(H879),H879+I879+J879+K879,"")</f>
        <v/>
      </c>
    </row>
    <row r="880" customFormat="false" ht="18" hidden="false" customHeight="true" outlineLevel="0" collapsed="false">
      <c r="A880" s="17" t="s">
        <v>9</v>
      </c>
      <c r="B880" s="31" t="s">
        <v>160</v>
      </c>
      <c r="C880" s="19" t="s">
        <v>54</v>
      </c>
      <c r="D880" s="20" t="n">
        <v>1</v>
      </c>
      <c r="E880" s="20" t="n">
        <v>2</v>
      </c>
      <c r="F880" s="21" t="n">
        <f aca="false">'📋 Matches'!E16</f>
        <v>0</v>
      </c>
      <c r="G880" s="21" t="n">
        <f aca="false">'📋 Matches'!F16</f>
        <v>0</v>
      </c>
      <c r="H880" s="22" t="str">
        <f aca="false">IF(AND(ISNUMBER(F880),ISNUMBER(G880)),IF(SIGN(D880-E880)=SIGN(F880-G880),48,0),"")</f>
        <v/>
      </c>
      <c r="I880" s="22" t="str">
        <f aca="false">IF(AND(ISNUMBER(F880),ISNUMBER(G880)),IF(D880=F880,15,0),"")</f>
        <v/>
      </c>
      <c r="J880" s="22" t="str">
        <f aca="false">IF(AND(ISNUMBER(F880),ISNUMBER(G880)),IF(E880=G880,15,0),"")</f>
        <v/>
      </c>
      <c r="K880" s="22" t="str">
        <f aca="false">IF(AND(ISNUMBER(F880),ISNUMBER(G880)),IF(ABS(D880-E880)=ABS(F880-G880),12,0),"")</f>
        <v/>
      </c>
      <c r="L880" s="23" t="str">
        <f aca="false">IF(ISNUMBER(H880),H880+I880+J880+K880,"")</f>
        <v/>
      </c>
    </row>
    <row r="881" customFormat="false" ht="18" hidden="false" customHeight="true" outlineLevel="0" collapsed="false">
      <c r="A881" s="17" t="s">
        <v>9</v>
      </c>
      <c r="B881" s="31" t="s">
        <v>160</v>
      </c>
      <c r="C881" s="19" t="s">
        <v>57</v>
      </c>
      <c r="D881" s="20" t="n">
        <v>2</v>
      </c>
      <c r="E881" s="20" t="n">
        <v>1</v>
      </c>
      <c r="F881" s="21" t="n">
        <f aca="false">'📋 Matches'!E17</f>
        <v>0</v>
      </c>
      <c r="G881" s="21" t="n">
        <f aca="false">'📋 Matches'!F17</f>
        <v>0</v>
      </c>
      <c r="H881" s="22" t="str">
        <f aca="false">IF(AND(ISNUMBER(F881),ISNUMBER(G881)),IF(SIGN(D881-E881)=SIGN(F881-G881),48,0),"")</f>
        <v/>
      </c>
      <c r="I881" s="22" t="str">
        <f aca="false">IF(AND(ISNUMBER(F881),ISNUMBER(G881)),IF(D881=F881,15,0),"")</f>
        <v/>
      </c>
      <c r="J881" s="22" t="str">
        <f aca="false">IF(AND(ISNUMBER(F881),ISNUMBER(G881)),IF(E881=G881,15,0),"")</f>
        <v/>
      </c>
      <c r="K881" s="22" t="str">
        <f aca="false">IF(AND(ISNUMBER(F881),ISNUMBER(G881)),IF(ABS(D881-E881)=ABS(F881-G881),12,0),"")</f>
        <v/>
      </c>
      <c r="L881" s="23" t="str">
        <f aca="false">IF(ISNUMBER(H881),H881+I881+J881+K881,"")</f>
        <v/>
      </c>
    </row>
    <row r="882" customFormat="false" ht="18" hidden="false" customHeight="true" outlineLevel="0" collapsed="false">
      <c r="A882" s="17" t="s">
        <v>9</v>
      </c>
      <c r="B882" s="31" t="s">
        <v>160</v>
      </c>
      <c r="C882" s="19" t="s">
        <v>60</v>
      </c>
      <c r="D882" s="20" t="n">
        <v>2</v>
      </c>
      <c r="E882" s="20" t="n">
        <v>1</v>
      </c>
      <c r="F882" s="21" t="n">
        <f aca="false">'📋 Matches'!E18</f>
        <v>0</v>
      </c>
      <c r="G882" s="21" t="n">
        <f aca="false">'📋 Matches'!F18</f>
        <v>0</v>
      </c>
      <c r="H882" s="22" t="str">
        <f aca="false">IF(AND(ISNUMBER(F882),ISNUMBER(G882)),IF(SIGN(D882-E882)=SIGN(F882-G882),48,0),"")</f>
        <v/>
      </c>
      <c r="I882" s="22" t="str">
        <f aca="false">IF(AND(ISNUMBER(F882),ISNUMBER(G882)),IF(D882=F882,15,0),"")</f>
        <v/>
      </c>
      <c r="J882" s="22" t="str">
        <f aca="false">IF(AND(ISNUMBER(F882),ISNUMBER(G882)),IF(E882=G882,15,0),"")</f>
        <v/>
      </c>
      <c r="K882" s="22" t="str">
        <f aca="false">IF(AND(ISNUMBER(F882),ISNUMBER(G882)),IF(ABS(D882-E882)=ABS(F882-G882),12,0),"")</f>
        <v/>
      </c>
      <c r="L882" s="23" t="str">
        <f aca="false">IF(ISNUMBER(H882),H882+I882+J882+K882,"")</f>
        <v/>
      </c>
    </row>
    <row r="883" customFormat="false" ht="18" hidden="false" customHeight="true" outlineLevel="0" collapsed="false">
      <c r="A883" s="17" t="s">
        <v>9</v>
      </c>
      <c r="B883" s="31" t="s">
        <v>160</v>
      </c>
      <c r="C883" s="19" t="s">
        <v>63</v>
      </c>
      <c r="D883" s="20" t="n">
        <v>0</v>
      </c>
      <c r="E883" s="20" t="n">
        <v>2</v>
      </c>
      <c r="F883" s="21" t="n">
        <f aca="false">'📋 Matches'!E19</f>
        <v>0</v>
      </c>
      <c r="G883" s="21" t="n">
        <f aca="false">'📋 Matches'!F19</f>
        <v>0</v>
      </c>
      <c r="H883" s="22" t="str">
        <f aca="false">IF(AND(ISNUMBER(F883),ISNUMBER(G883)),IF(SIGN(D883-E883)=SIGN(F883-G883),48,0),"")</f>
        <v/>
      </c>
      <c r="I883" s="22" t="str">
        <f aca="false">IF(AND(ISNUMBER(F883),ISNUMBER(G883)),IF(D883=F883,15,0),"")</f>
        <v/>
      </c>
      <c r="J883" s="22" t="str">
        <f aca="false">IF(AND(ISNUMBER(F883),ISNUMBER(G883)),IF(E883=G883,15,0),"")</f>
        <v/>
      </c>
      <c r="K883" s="22" t="str">
        <f aca="false">IF(AND(ISNUMBER(F883),ISNUMBER(G883)),IF(ABS(D883-E883)=ABS(F883-G883),12,0),"")</f>
        <v/>
      </c>
      <c r="L883" s="23" t="str">
        <f aca="false">IF(ISNUMBER(H883),H883+I883+J883+K883,"")</f>
        <v/>
      </c>
    </row>
    <row r="884" customFormat="false" ht="18" hidden="false" customHeight="true" outlineLevel="0" collapsed="false">
      <c r="A884" s="17" t="s">
        <v>9</v>
      </c>
      <c r="B884" s="31" t="s">
        <v>160</v>
      </c>
      <c r="C884" s="19" t="s">
        <v>66</v>
      </c>
      <c r="D884" s="20" t="n">
        <v>4</v>
      </c>
      <c r="E884" s="20" t="n">
        <v>1</v>
      </c>
      <c r="F884" s="21" t="n">
        <f aca="false">'📋 Matches'!E20</f>
        <v>0</v>
      </c>
      <c r="G884" s="21" t="n">
        <f aca="false">'📋 Matches'!F20</f>
        <v>0</v>
      </c>
      <c r="H884" s="22" t="str">
        <f aca="false">IF(AND(ISNUMBER(F884),ISNUMBER(G884)),IF(SIGN(D884-E884)=SIGN(F884-G884),48,0),"")</f>
        <v/>
      </c>
      <c r="I884" s="22" t="str">
        <f aca="false">IF(AND(ISNUMBER(F884),ISNUMBER(G884)),IF(D884=F884,15,0),"")</f>
        <v/>
      </c>
      <c r="J884" s="22" t="str">
        <f aca="false">IF(AND(ISNUMBER(F884),ISNUMBER(G884)),IF(E884=G884,15,0),"")</f>
        <v/>
      </c>
      <c r="K884" s="22" t="str">
        <f aca="false">IF(AND(ISNUMBER(F884),ISNUMBER(G884)),IF(ABS(D884-E884)=ABS(F884-G884),12,0),"")</f>
        <v/>
      </c>
      <c r="L884" s="23" t="str">
        <f aca="false">IF(ISNUMBER(H884),H884+I884+J884+K884,"")</f>
        <v/>
      </c>
    </row>
    <row r="885" customFormat="false" ht="18" hidden="false" customHeight="true" outlineLevel="0" collapsed="false">
      <c r="A885" s="17" t="s">
        <v>9</v>
      </c>
      <c r="B885" s="31" t="s">
        <v>160</v>
      </c>
      <c r="C885" s="19" t="s">
        <v>69</v>
      </c>
      <c r="D885" s="20" t="n">
        <v>3</v>
      </c>
      <c r="E885" s="20" t="n">
        <v>0</v>
      </c>
      <c r="F885" s="21" t="n">
        <f aca="false">'📋 Matches'!E21</f>
        <v>0</v>
      </c>
      <c r="G885" s="21" t="n">
        <f aca="false">'📋 Matches'!F21</f>
        <v>0</v>
      </c>
      <c r="H885" s="22" t="str">
        <f aca="false">IF(AND(ISNUMBER(F885),ISNUMBER(G885)),IF(SIGN(D885-E885)=SIGN(F885-G885),48,0),"")</f>
        <v/>
      </c>
      <c r="I885" s="22" t="str">
        <f aca="false">IF(AND(ISNUMBER(F885),ISNUMBER(G885)),IF(D885=F885,15,0),"")</f>
        <v/>
      </c>
      <c r="J885" s="22" t="str">
        <f aca="false">IF(AND(ISNUMBER(F885),ISNUMBER(G885)),IF(E885=G885,15,0),"")</f>
        <v/>
      </c>
      <c r="K885" s="22" t="str">
        <f aca="false">IF(AND(ISNUMBER(F885),ISNUMBER(G885)),IF(ABS(D885-E885)=ABS(F885-G885),12,0),"")</f>
        <v/>
      </c>
      <c r="L885" s="23" t="str">
        <f aca="false">IF(ISNUMBER(H885),H885+I885+J885+K885,"")</f>
        <v/>
      </c>
    </row>
    <row r="886" customFormat="false" ht="18" hidden="false" customHeight="true" outlineLevel="0" collapsed="false">
      <c r="A886" s="17" t="s">
        <v>9</v>
      </c>
      <c r="B886" s="31" t="s">
        <v>160</v>
      </c>
      <c r="C886" s="19" t="s">
        <v>72</v>
      </c>
      <c r="D886" s="20" t="n">
        <v>3</v>
      </c>
      <c r="E886" s="20" t="n">
        <v>1</v>
      </c>
      <c r="F886" s="21" t="n">
        <f aca="false">'📋 Matches'!E22</f>
        <v>0</v>
      </c>
      <c r="G886" s="21" t="n">
        <f aca="false">'📋 Matches'!F22</f>
        <v>0</v>
      </c>
      <c r="H886" s="22" t="str">
        <f aca="false">IF(AND(ISNUMBER(F886),ISNUMBER(G886)),IF(SIGN(D886-E886)=SIGN(F886-G886),48,0),"")</f>
        <v/>
      </c>
      <c r="I886" s="22" t="str">
        <f aca="false">IF(AND(ISNUMBER(F886),ISNUMBER(G886)),IF(D886=F886,15,0),"")</f>
        <v/>
      </c>
      <c r="J886" s="22" t="str">
        <f aca="false">IF(AND(ISNUMBER(F886),ISNUMBER(G886)),IF(E886=G886,15,0),"")</f>
        <v/>
      </c>
      <c r="K886" s="22" t="str">
        <f aca="false">IF(AND(ISNUMBER(F886),ISNUMBER(G886)),IF(ABS(D886-E886)=ABS(F886-G886),12,0),"")</f>
        <v/>
      </c>
      <c r="L886" s="23" t="str">
        <f aca="false">IF(ISNUMBER(H886),H886+I886+J886+K886,"")</f>
        <v/>
      </c>
    </row>
    <row r="887" customFormat="false" ht="18" hidden="false" customHeight="true" outlineLevel="0" collapsed="false">
      <c r="A887" s="17" t="s">
        <v>9</v>
      </c>
      <c r="B887" s="31" t="s">
        <v>160</v>
      </c>
      <c r="C887" s="19" t="s">
        <v>75</v>
      </c>
      <c r="D887" s="20" t="n">
        <v>2</v>
      </c>
      <c r="E887" s="20" t="n">
        <v>2</v>
      </c>
      <c r="F887" s="21" t="n">
        <f aca="false">'📋 Matches'!E23</f>
        <v>0</v>
      </c>
      <c r="G887" s="21" t="n">
        <f aca="false">'📋 Matches'!F23</f>
        <v>0</v>
      </c>
      <c r="H887" s="22" t="str">
        <f aca="false">IF(AND(ISNUMBER(F887),ISNUMBER(G887)),IF(SIGN(D887-E887)=SIGN(F887-G887),48,0),"")</f>
        <v/>
      </c>
      <c r="I887" s="22" t="str">
        <f aca="false">IF(AND(ISNUMBER(F887),ISNUMBER(G887)),IF(D887=F887,15,0),"")</f>
        <v/>
      </c>
      <c r="J887" s="22" t="str">
        <f aca="false">IF(AND(ISNUMBER(F887),ISNUMBER(G887)),IF(E887=G887,15,0),"")</f>
        <v/>
      </c>
      <c r="K887" s="22" t="str">
        <f aca="false">IF(AND(ISNUMBER(F887),ISNUMBER(G887)),IF(ABS(D887-E887)=ABS(F887-G887),12,0),"")</f>
        <v/>
      </c>
      <c r="L887" s="23" t="str">
        <f aca="false">IF(ISNUMBER(H887),H887+I887+J887+K887,"")</f>
        <v/>
      </c>
    </row>
    <row r="888" customFormat="false" ht="18" hidden="false" customHeight="true" outlineLevel="0" collapsed="false">
      <c r="A888" s="17" t="s">
        <v>9</v>
      </c>
      <c r="B888" s="31" t="s">
        <v>160</v>
      </c>
      <c r="C888" s="19" t="s">
        <v>78</v>
      </c>
      <c r="D888" s="20" t="n">
        <v>1</v>
      </c>
      <c r="E888" s="20" t="n">
        <v>0</v>
      </c>
      <c r="F888" s="21" t="n">
        <f aca="false">'📋 Matches'!E24</f>
        <v>0</v>
      </c>
      <c r="G888" s="21" t="n">
        <f aca="false">'📋 Matches'!F24</f>
        <v>0</v>
      </c>
      <c r="H888" s="22" t="str">
        <f aca="false">IF(AND(ISNUMBER(F888),ISNUMBER(G888)),IF(SIGN(D888-E888)=SIGN(F888-G888),48,0),"")</f>
        <v/>
      </c>
      <c r="I888" s="22" t="str">
        <f aca="false">IF(AND(ISNUMBER(F888),ISNUMBER(G888)),IF(D888=F888,15,0),"")</f>
        <v/>
      </c>
      <c r="J888" s="22" t="str">
        <f aca="false">IF(AND(ISNUMBER(F888),ISNUMBER(G888)),IF(E888=G888,15,0),"")</f>
        <v/>
      </c>
      <c r="K888" s="22" t="str">
        <f aca="false">IF(AND(ISNUMBER(F888),ISNUMBER(G888)),IF(ABS(D888-E888)=ABS(F888-G888),12,0),"")</f>
        <v/>
      </c>
      <c r="L888" s="23" t="str">
        <f aca="false">IF(ISNUMBER(H888),H888+I888+J888+K888,"")</f>
        <v/>
      </c>
    </row>
    <row r="889" customFormat="false" ht="18" hidden="false" customHeight="true" outlineLevel="0" collapsed="false">
      <c r="A889" s="17" t="s">
        <v>9</v>
      </c>
      <c r="B889" s="31" t="s">
        <v>160</v>
      </c>
      <c r="C889" s="19" t="s">
        <v>81</v>
      </c>
      <c r="D889" s="20" t="n">
        <v>2</v>
      </c>
      <c r="E889" s="20" t="n">
        <v>2</v>
      </c>
      <c r="F889" s="21" t="n">
        <f aca="false">'📋 Matches'!E25</f>
        <v>0</v>
      </c>
      <c r="G889" s="21" t="n">
        <f aca="false">'📋 Matches'!F25</f>
        <v>0</v>
      </c>
      <c r="H889" s="22" t="str">
        <f aca="false">IF(AND(ISNUMBER(F889),ISNUMBER(G889)),IF(SIGN(D889-E889)=SIGN(F889-G889),48,0),"")</f>
        <v/>
      </c>
      <c r="I889" s="22" t="str">
        <f aca="false">IF(AND(ISNUMBER(F889),ISNUMBER(G889)),IF(D889=F889,15,0),"")</f>
        <v/>
      </c>
      <c r="J889" s="22" t="str">
        <f aca="false">IF(AND(ISNUMBER(F889),ISNUMBER(G889)),IF(E889=G889,15,0),"")</f>
        <v/>
      </c>
      <c r="K889" s="22" t="str">
        <f aca="false">IF(AND(ISNUMBER(F889),ISNUMBER(G889)),IF(ABS(D889-E889)=ABS(F889-G889),12,0),"")</f>
        <v/>
      </c>
      <c r="L889" s="23" t="str">
        <f aca="false">IF(ISNUMBER(H889),H889+I889+J889+K889,"")</f>
        <v/>
      </c>
    </row>
    <row r="890" customFormat="false" ht="18" hidden="false" customHeight="true" outlineLevel="0" collapsed="false">
      <c r="A890" s="17" t="s">
        <v>84</v>
      </c>
      <c r="B890" s="31" t="s">
        <v>160</v>
      </c>
      <c r="C890" s="19" t="s">
        <v>85</v>
      </c>
      <c r="D890" s="20"/>
      <c r="E890" s="20"/>
      <c r="F890" s="21" t="n">
        <f aca="false">'📋 Matches'!E26</f>
        <v>0</v>
      </c>
      <c r="G890" s="21" t="n">
        <f aca="false">'📋 Matches'!F26</f>
        <v>0</v>
      </c>
      <c r="H890" s="24" t="s">
        <v>148</v>
      </c>
      <c r="I890" s="24" t="s">
        <v>148</v>
      </c>
      <c r="J890" s="24" t="s">
        <v>148</v>
      </c>
      <c r="K890" s="24" t="s">
        <v>148</v>
      </c>
      <c r="L890" s="24" t="s">
        <v>148</v>
      </c>
    </row>
    <row r="891" customFormat="false" ht="18" hidden="false" customHeight="true" outlineLevel="0" collapsed="false">
      <c r="A891" s="17" t="s">
        <v>84</v>
      </c>
      <c r="B891" s="31" t="s">
        <v>160</v>
      </c>
      <c r="C891" s="19" t="s">
        <v>87</v>
      </c>
      <c r="D891" s="20"/>
      <c r="E891" s="20"/>
      <c r="F891" s="21" t="n">
        <f aca="false">'📋 Matches'!E27</f>
        <v>0</v>
      </c>
      <c r="G891" s="21" t="n">
        <f aca="false">'📋 Matches'!F27</f>
        <v>0</v>
      </c>
      <c r="H891" s="24" t="s">
        <v>148</v>
      </c>
      <c r="I891" s="24" t="s">
        <v>148</v>
      </c>
      <c r="J891" s="24" t="s">
        <v>148</v>
      </c>
      <c r="K891" s="24" t="s">
        <v>148</v>
      </c>
      <c r="L891" s="24" t="s">
        <v>148</v>
      </c>
    </row>
    <row r="892" customFormat="false" ht="18" hidden="false" customHeight="true" outlineLevel="0" collapsed="false">
      <c r="A892" s="17" t="s">
        <v>84</v>
      </c>
      <c r="B892" s="31" t="s">
        <v>160</v>
      </c>
      <c r="C892" s="19" t="s">
        <v>89</v>
      </c>
      <c r="D892" s="20"/>
      <c r="E892" s="20"/>
      <c r="F892" s="21" t="n">
        <f aca="false">'📋 Matches'!E28</f>
        <v>0</v>
      </c>
      <c r="G892" s="21" t="n">
        <f aca="false">'📋 Matches'!F28</f>
        <v>0</v>
      </c>
      <c r="H892" s="24" t="s">
        <v>148</v>
      </c>
      <c r="I892" s="24" t="s">
        <v>148</v>
      </c>
      <c r="J892" s="24" t="s">
        <v>148</v>
      </c>
      <c r="K892" s="24" t="s">
        <v>148</v>
      </c>
      <c r="L892" s="24" t="s">
        <v>148</v>
      </c>
    </row>
    <row r="893" customFormat="false" ht="18" hidden="false" customHeight="true" outlineLevel="0" collapsed="false">
      <c r="A893" s="17" t="s">
        <v>84</v>
      </c>
      <c r="B893" s="31" t="s">
        <v>160</v>
      </c>
      <c r="C893" s="19" t="s">
        <v>90</v>
      </c>
      <c r="D893" s="20"/>
      <c r="E893" s="20"/>
      <c r="F893" s="21" t="n">
        <f aca="false">'📋 Matches'!E29</f>
        <v>0</v>
      </c>
      <c r="G893" s="21" t="n">
        <f aca="false">'📋 Matches'!F29</f>
        <v>0</v>
      </c>
      <c r="H893" s="24" t="s">
        <v>148</v>
      </c>
      <c r="I893" s="24" t="s">
        <v>148</v>
      </c>
      <c r="J893" s="24" t="s">
        <v>148</v>
      </c>
      <c r="K893" s="24" t="s">
        <v>148</v>
      </c>
      <c r="L893" s="24" t="s">
        <v>148</v>
      </c>
    </row>
    <row r="894" customFormat="false" ht="18" hidden="false" customHeight="true" outlineLevel="0" collapsed="false">
      <c r="A894" s="17" t="s">
        <v>84</v>
      </c>
      <c r="B894" s="31" t="s">
        <v>160</v>
      </c>
      <c r="C894" s="19" t="s">
        <v>91</v>
      </c>
      <c r="D894" s="20"/>
      <c r="E894" s="20"/>
      <c r="F894" s="21" t="n">
        <f aca="false">'📋 Matches'!E30</f>
        <v>0</v>
      </c>
      <c r="G894" s="21" t="n">
        <f aca="false">'📋 Matches'!F30</f>
        <v>0</v>
      </c>
      <c r="H894" s="24" t="s">
        <v>148</v>
      </c>
      <c r="I894" s="24" t="s">
        <v>148</v>
      </c>
      <c r="J894" s="24" t="s">
        <v>148</v>
      </c>
      <c r="K894" s="24" t="s">
        <v>148</v>
      </c>
      <c r="L894" s="24" t="s">
        <v>148</v>
      </c>
    </row>
    <row r="895" customFormat="false" ht="18" hidden="false" customHeight="true" outlineLevel="0" collapsed="false">
      <c r="A895" s="17" t="s">
        <v>84</v>
      </c>
      <c r="B895" s="31" t="s">
        <v>160</v>
      </c>
      <c r="C895" s="19" t="s">
        <v>92</v>
      </c>
      <c r="D895" s="20"/>
      <c r="E895" s="20"/>
      <c r="F895" s="21" t="n">
        <f aca="false">'📋 Matches'!E31</f>
        <v>0</v>
      </c>
      <c r="G895" s="21" t="n">
        <f aca="false">'📋 Matches'!F31</f>
        <v>0</v>
      </c>
      <c r="H895" s="24" t="s">
        <v>148</v>
      </c>
      <c r="I895" s="24" t="s">
        <v>148</v>
      </c>
      <c r="J895" s="24" t="s">
        <v>148</v>
      </c>
      <c r="K895" s="24" t="s">
        <v>148</v>
      </c>
      <c r="L895" s="24" t="s">
        <v>148</v>
      </c>
    </row>
    <row r="896" customFormat="false" ht="18" hidden="false" customHeight="true" outlineLevel="0" collapsed="false">
      <c r="A896" s="17" t="s">
        <v>84</v>
      </c>
      <c r="B896" s="31" t="s">
        <v>160</v>
      </c>
      <c r="C896" s="19" t="s">
        <v>93</v>
      </c>
      <c r="D896" s="20"/>
      <c r="E896" s="20"/>
      <c r="F896" s="21" t="n">
        <f aca="false">'📋 Matches'!E32</f>
        <v>0</v>
      </c>
      <c r="G896" s="21" t="n">
        <f aca="false">'📋 Matches'!F32</f>
        <v>0</v>
      </c>
      <c r="H896" s="24" t="s">
        <v>148</v>
      </c>
      <c r="I896" s="24" t="s">
        <v>148</v>
      </c>
      <c r="J896" s="24" t="s">
        <v>148</v>
      </c>
      <c r="K896" s="24" t="s">
        <v>148</v>
      </c>
      <c r="L896" s="24" t="s">
        <v>148</v>
      </c>
    </row>
    <row r="897" customFormat="false" ht="18" hidden="false" customHeight="true" outlineLevel="0" collapsed="false">
      <c r="A897" s="17" t="s">
        <v>84</v>
      </c>
      <c r="B897" s="31" t="s">
        <v>160</v>
      </c>
      <c r="C897" s="19" t="s">
        <v>94</v>
      </c>
      <c r="D897" s="20"/>
      <c r="E897" s="20"/>
      <c r="F897" s="21" t="n">
        <f aca="false">'📋 Matches'!E33</f>
        <v>0</v>
      </c>
      <c r="G897" s="21" t="n">
        <f aca="false">'📋 Matches'!F33</f>
        <v>0</v>
      </c>
      <c r="H897" s="24" t="s">
        <v>148</v>
      </c>
      <c r="I897" s="24" t="s">
        <v>148</v>
      </c>
      <c r="J897" s="24" t="s">
        <v>148</v>
      </c>
      <c r="K897" s="24" t="s">
        <v>148</v>
      </c>
      <c r="L897" s="24" t="s">
        <v>148</v>
      </c>
    </row>
    <row r="898" customFormat="false" ht="18" hidden="false" customHeight="true" outlineLevel="0" collapsed="false">
      <c r="A898" s="17" t="s">
        <v>84</v>
      </c>
      <c r="B898" s="31" t="s">
        <v>160</v>
      </c>
      <c r="C898" s="19" t="s">
        <v>96</v>
      </c>
      <c r="D898" s="20"/>
      <c r="E898" s="20"/>
      <c r="F898" s="21" t="n">
        <f aca="false">'📋 Matches'!E34</f>
        <v>0</v>
      </c>
      <c r="G898" s="21" t="n">
        <f aca="false">'📋 Matches'!F34</f>
        <v>0</v>
      </c>
      <c r="H898" s="24" t="s">
        <v>148</v>
      </c>
      <c r="I898" s="24" t="s">
        <v>148</v>
      </c>
      <c r="J898" s="24" t="s">
        <v>148</v>
      </c>
      <c r="K898" s="24" t="s">
        <v>148</v>
      </c>
      <c r="L898" s="24" t="s">
        <v>148</v>
      </c>
    </row>
    <row r="899" customFormat="false" ht="18" hidden="false" customHeight="true" outlineLevel="0" collapsed="false">
      <c r="A899" s="17" t="s">
        <v>84</v>
      </c>
      <c r="B899" s="31" t="s">
        <v>160</v>
      </c>
      <c r="C899" s="19" t="s">
        <v>97</v>
      </c>
      <c r="D899" s="20"/>
      <c r="E899" s="20"/>
      <c r="F899" s="21" t="n">
        <f aca="false">'📋 Matches'!E35</f>
        <v>0</v>
      </c>
      <c r="G899" s="21" t="n">
        <f aca="false">'📋 Matches'!F35</f>
        <v>0</v>
      </c>
      <c r="H899" s="24" t="s">
        <v>148</v>
      </c>
      <c r="I899" s="24" t="s">
        <v>148</v>
      </c>
      <c r="J899" s="24" t="s">
        <v>148</v>
      </c>
      <c r="K899" s="24" t="s">
        <v>148</v>
      </c>
      <c r="L899" s="24" t="s">
        <v>148</v>
      </c>
    </row>
    <row r="900" customFormat="false" ht="18" hidden="false" customHeight="true" outlineLevel="0" collapsed="false">
      <c r="A900" s="17" t="s">
        <v>84</v>
      </c>
      <c r="B900" s="31" t="s">
        <v>160</v>
      </c>
      <c r="C900" s="19" t="s">
        <v>98</v>
      </c>
      <c r="D900" s="20"/>
      <c r="E900" s="20"/>
      <c r="F900" s="21" t="n">
        <f aca="false">'📋 Matches'!E36</f>
        <v>0</v>
      </c>
      <c r="G900" s="21" t="n">
        <f aca="false">'📋 Matches'!F36</f>
        <v>0</v>
      </c>
      <c r="H900" s="24" t="s">
        <v>148</v>
      </c>
      <c r="I900" s="24" t="s">
        <v>148</v>
      </c>
      <c r="J900" s="24" t="s">
        <v>148</v>
      </c>
      <c r="K900" s="24" t="s">
        <v>148</v>
      </c>
      <c r="L900" s="24" t="s">
        <v>148</v>
      </c>
    </row>
    <row r="901" customFormat="false" ht="18" hidden="false" customHeight="true" outlineLevel="0" collapsed="false">
      <c r="A901" s="17" t="s">
        <v>84</v>
      </c>
      <c r="B901" s="31" t="s">
        <v>160</v>
      </c>
      <c r="C901" s="19" t="s">
        <v>100</v>
      </c>
      <c r="D901" s="20"/>
      <c r="E901" s="20"/>
      <c r="F901" s="21" t="n">
        <f aca="false">'📋 Matches'!E37</f>
        <v>0</v>
      </c>
      <c r="G901" s="21" t="n">
        <f aca="false">'📋 Matches'!F37</f>
        <v>0</v>
      </c>
      <c r="H901" s="24" t="s">
        <v>148</v>
      </c>
      <c r="I901" s="24" t="s">
        <v>148</v>
      </c>
      <c r="J901" s="24" t="s">
        <v>148</v>
      </c>
      <c r="K901" s="24" t="s">
        <v>148</v>
      </c>
      <c r="L901" s="24" t="s">
        <v>148</v>
      </c>
    </row>
    <row r="902" customFormat="false" ht="18" hidden="false" customHeight="true" outlineLevel="0" collapsed="false">
      <c r="A902" s="17" t="s">
        <v>84</v>
      </c>
      <c r="B902" s="31" t="s">
        <v>160</v>
      </c>
      <c r="C902" s="19" t="s">
        <v>101</v>
      </c>
      <c r="D902" s="20"/>
      <c r="E902" s="20"/>
      <c r="F902" s="21" t="n">
        <f aca="false">'📋 Matches'!E38</f>
        <v>0</v>
      </c>
      <c r="G902" s="21" t="n">
        <f aca="false">'📋 Matches'!F38</f>
        <v>0</v>
      </c>
      <c r="H902" s="24" t="s">
        <v>148</v>
      </c>
      <c r="I902" s="24" t="s">
        <v>148</v>
      </c>
      <c r="J902" s="24" t="s">
        <v>148</v>
      </c>
      <c r="K902" s="24" t="s">
        <v>148</v>
      </c>
      <c r="L902" s="24" t="s">
        <v>148</v>
      </c>
    </row>
    <row r="903" customFormat="false" ht="18" hidden="false" customHeight="true" outlineLevel="0" collapsed="false">
      <c r="A903" s="17" t="s">
        <v>84</v>
      </c>
      <c r="B903" s="31" t="s">
        <v>160</v>
      </c>
      <c r="C903" s="19" t="s">
        <v>102</v>
      </c>
      <c r="D903" s="20"/>
      <c r="E903" s="20"/>
      <c r="F903" s="21" t="n">
        <f aca="false">'📋 Matches'!E39</f>
        <v>0</v>
      </c>
      <c r="G903" s="21" t="n">
        <f aca="false">'📋 Matches'!F39</f>
        <v>0</v>
      </c>
      <c r="H903" s="24" t="s">
        <v>148</v>
      </c>
      <c r="I903" s="24" t="s">
        <v>148</v>
      </c>
      <c r="J903" s="24" t="s">
        <v>148</v>
      </c>
      <c r="K903" s="24" t="s">
        <v>148</v>
      </c>
      <c r="L903" s="24" t="s">
        <v>148</v>
      </c>
    </row>
    <row r="904" customFormat="false" ht="18" hidden="false" customHeight="true" outlineLevel="0" collapsed="false">
      <c r="A904" s="17" t="s">
        <v>84</v>
      </c>
      <c r="B904" s="31" t="s">
        <v>160</v>
      </c>
      <c r="C904" s="19" t="s">
        <v>103</v>
      </c>
      <c r="D904" s="20"/>
      <c r="E904" s="20"/>
      <c r="F904" s="21" t="n">
        <f aca="false">'📋 Matches'!E40</f>
        <v>0</v>
      </c>
      <c r="G904" s="21" t="n">
        <f aca="false">'📋 Matches'!F40</f>
        <v>0</v>
      </c>
      <c r="H904" s="24" t="s">
        <v>148</v>
      </c>
      <c r="I904" s="24" t="s">
        <v>148</v>
      </c>
      <c r="J904" s="24" t="s">
        <v>148</v>
      </c>
      <c r="K904" s="24" t="s">
        <v>148</v>
      </c>
      <c r="L904" s="24" t="s">
        <v>148</v>
      </c>
    </row>
    <row r="905" customFormat="false" ht="18" hidden="false" customHeight="true" outlineLevel="0" collapsed="false">
      <c r="A905" s="17" t="s">
        <v>84</v>
      </c>
      <c r="B905" s="31" t="s">
        <v>160</v>
      </c>
      <c r="C905" s="19" t="s">
        <v>104</v>
      </c>
      <c r="D905" s="20"/>
      <c r="E905" s="20"/>
      <c r="F905" s="21" t="n">
        <f aca="false">'📋 Matches'!E41</f>
        <v>0</v>
      </c>
      <c r="G905" s="21" t="n">
        <f aca="false">'📋 Matches'!F41</f>
        <v>0</v>
      </c>
      <c r="H905" s="24" t="s">
        <v>148</v>
      </c>
      <c r="I905" s="24" t="s">
        <v>148</v>
      </c>
      <c r="J905" s="24" t="s">
        <v>148</v>
      </c>
      <c r="K905" s="24" t="s">
        <v>148</v>
      </c>
      <c r="L905" s="24" t="s">
        <v>148</v>
      </c>
    </row>
    <row r="906" customFormat="false" ht="18" hidden="false" customHeight="true" outlineLevel="0" collapsed="false">
      <c r="A906" s="17" t="s">
        <v>84</v>
      </c>
      <c r="B906" s="31" t="s">
        <v>160</v>
      </c>
      <c r="C906" s="19" t="s">
        <v>105</v>
      </c>
      <c r="D906" s="20"/>
      <c r="E906" s="20"/>
      <c r="F906" s="21" t="n">
        <f aca="false">'📋 Matches'!E42</f>
        <v>0</v>
      </c>
      <c r="G906" s="21" t="n">
        <f aca="false">'📋 Matches'!F42</f>
        <v>0</v>
      </c>
      <c r="H906" s="24" t="s">
        <v>148</v>
      </c>
      <c r="I906" s="24" t="s">
        <v>148</v>
      </c>
      <c r="J906" s="24" t="s">
        <v>148</v>
      </c>
      <c r="K906" s="24" t="s">
        <v>148</v>
      </c>
      <c r="L906" s="24" t="s">
        <v>148</v>
      </c>
    </row>
    <row r="907" customFormat="false" ht="18" hidden="false" customHeight="true" outlineLevel="0" collapsed="false">
      <c r="A907" s="17" t="s">
        <v>84</v>
      </c>
      <c r="B907" s="31" t="s">
        <v>160</v>
      </c>
      <c r="C907" s="19" t="s">
        <v>106</v>
      </c>
      <c r="D907" s="20"/>
      <c r="E907" s="20"/>
      <c r="F907" s="21" t="n">
        <f aca="false">'📋 Matches'!E43</f>
        <v>0</v>
      </c>
      <c r="G907" s="21" t="n">
        <f aca="false">'📋 Matches'!F43</f>
        <v>0</v>
      </c>
      <c r="H907" s="24" t="s">
        <v>148</v>
      </c>
      <c r="I907" s="24" t="s">
        <v>148</v>
      </c>
      <c r="J907" s="24" t="s">
        <v>148</v>
      </c>
      <c r="K907" s="24" t="s">
        <v>148</v>
      </c>
      <c r="L907" s="24" t="s">
        <v>148</v>
      </c>
    </row>
    <row r="908" customFormat="false" ht="18" hidden="false" customHeight="true" outlineLevel="0" collapsed="false">
      <c r="A908" s="17" t="s">
        <v>84</v>
      </c>
      <c r="B908" s="31" t="s">
        <v>160</v>
      </c>
      <c r="C908" s="19" t="s">
        <v>107</v>
      </c>
      <c r="D908" s="20"/>
      <c r="E908" s="20"/>
      <c r="F908" s="21" t="n">
        <f aca="false">'📋 Matches'!E44</f>
        <v>0</v>
      </c>
      <c r="G908" s="21" t="n">
        <f aca="false">'📋 Matches'!F44</f>
        <v>0</v>
      </c>
      <c r="H908" s="24" t="s">
        <v>148</v>
      </c>
      <c r="I908" s="24" t="s">
        <v>148</v>
      </c>
      <c r="J908" s="24" t="s">
        <v>148</v>
      </c>
      <c r="K908" s="24" t="s">
        <v>148</v>
      </c>
      <c r="L908" s="24" t="s">
        <v>148</v>
      </c>
    </row>
    <row r="909" customFormat="false" ht="18" hidden="false" customHeight="true" outlineLevel="0" collapsed="false">
      <c r="A909" s="17" t="s">
        <v>84</v>
      </c>
      <c r="B909" s="31" t="s">
        <v>160</v>
      </c>
      <c r="C909" s="19" t="s">
        <v>108</v>
      </c>
      <c r="D909" s="20"/>
      <c r="E909" s="20"/>
      <c r="F909" s="21" t="n">
        <f aca="false">'📋 Matches'!E45</f>
        <v>0</v>
      </c>
      <c r="G909" s="21" t="n">
        <f aca="false">'📋 Matches'!F45</f>
        <v>0</v>
      </c>
      <c r="H909" s="24" t="s">
        <v>148</v>
      </c>
      <c r="I909" s="24" t="s">
        <v>148</v>
      </c>
      <c r="J909" s="24" t="s">
        <v>148</v>
      </c>
      <c r="K909" s="24" t="s">
        <v>148</v>
      </c>
      <c r="L909" s="24" t="s">
        <v>148</v>
      </c>
    </row>
    <row r="910" customFormat="false" ht="18" hidden="false" customHeight="true" outlineLevel="0" collapsed="false">
      <c r="A910" s="17" t="s">
        <v>84</v>
      </c>
      <c r="B910" s="31" t="s">
        <v>160</v>
      </c>
      <c r="C910" s="19" t="s">
        <v>109</v>
      </c>
      <c r="D910" s="20"/>
      <c r="E910" s="20"/>
      <c r="F910" s="21" t="n">
        <f aca="false">'📋 Matches'!E46</f>
        <v>0</v>
      </c>
      <c r="G910" s="21" t="n">
        <f aca="false">'📋 Matches'!F46</f>
        <v>0</v>
      </c>
      <c r="H910" s="24" t="s">
        <v>148</v>
      </c>
      <c r="I910" s="24" t="s">
        <v>148</v>
      </c>
      <c r="J910" s="24" t="s">
        <v>148</v>
      </c>
      <c r="K910" s="24" t="s">
        <v>148</v>
      </c>
      <c r="L910" s="24" t="s">
        <v>148</v>
      </c>
    </row>
    <row r="911" customFormat="false" ht="18" hidden="false" customHeight="true" outlineLevel="0" collapsed="false">
      <c r="A911" s="17" t="s">
        <v>84</v>
      </c>
      <c r="B911" s="31" t="s">
        <v>160</v>
      </c>
      <c r="C911" s="19" t="s">
        <v>110</v>
      </c>
      <c r="D911" s="20"/>
      <c r="E911" s="20"/>
      <c r="F911" s="21" t="n">
        <f aca="false">'📋 Matches'!E47</f>
        <v>0</v>
      </c>
      <c r="G911" s="21" t="n">
        <f aca="false">'📋 Matches'!F47</f>
        <v>0</v>
      </c>
      <c r="H911" s="24" t="s">
        <v>148</v>
      </c>
      <c r="I911" s="24" t="s">
        <v>148</v>
      </c>
      <c r="J911" s="24" t="s">
        <v>148</v>
      </c>
      <c r="K911" s="24" t="s">
        <v>148</v>
      </c>
      <c r="L911" s="24" t="s">
        <v>148</v>
      </c>
    </row>
    <row r="912" customFormat="false" ht="18" hidden="false" customHeight="true" outlineLevel="0" collapsed="false">
      <c r="A912" s="17" t="s">
        <v>84</v>
      </c>
      <c r="B912" s="31" t="s">
        <v>160</v>
      </c>
      <c r="C912" s="19" t="s">
        <v>111</v>
      </c>
      <c r="D912" s="20"/>
      <c r="E912" s="20"/>
      <c r="F912" s="21" t="n">
        <f aca="false">'📋 Matches'!E48</f>
        <v>0</v>
      </c>
      <c r="G912" s="21" t="n">
        <f aca="false">'📋 Matches'!F48</f>
        <v>0</v>
      </c>
      <c r="H912" s="24" t="s">
        <v>148</v>
      </c>
      <c r="I912" s="24" t="s">
        <v>148</v>
      </c>
      <c r="J912" s="24" t="s">
        <v>148</v>
      </c>
      <c r="K912" s="24" t="s">
        <v>148</v>
      </c>
      <c r="L912" s="24" t="s">
        <v>148</v>
      </c>
    </row>
    <row r="913" customFormat="false" ht="18" hidden="false" customHeight="true" outlineLevel="0" collapsed="false">
      <c r="A913" s="17" t="s">
        <v>84</v>
      </c>
      <c r="B913" s="31" t="s">
        <v>160</v>
      </c>
      <c r="C913" s="19" t="s">
        <v>112</v>
      </c>
      <c r="D913" s="20"/>
      <c r="E913" s="20"/>
      <c r="F913" s="21" t="n">
        <f aca="false">'📋 Matches'!E49</f>
        <v>0</v>
      </c>
      <c r="G913" s="21" t="n">
        <f aca="false">'📋 Matches'!F49</f>
        <v>0</v>
      </c>
      <c r="H913" s="24" t="s">
        <v>148</v>
      </c>
      <c r="I913" s="24" t="s">
        <v>148</v>
      </c>
      <c r="J913" s="24" t="s">
        <v>148</v>
      </c>
      <c r="K913" s="24" t="s">
        <v>148</v>
      </c>
      <c r="L913" s="24" t="s">
        <v>148</v>
      </c>
    </row>
    <row r="914" customFormat="false" ht="18" hidden="false" customHeight="true" outlineLevel="0" collapsed="false">
      <c r="A914" s="17" t="s">
        <v>114</v>
      </c>
      <c r="B914" s="31" t="s">
        <v>160</v>
      </c>
      <c r="C914" s="19" t="s">
        <v>115</v>
      </c>
      <c r="D914" s="20"/>
      <c r="E914" s="20"/>
      <c r="F914" s="21" t="n">
        <f aca="false">'📋 Matches'!E50</f>
        <v>0</v>
      </c>
      <c r="G914" s="21" t="n">
        <f aca="false">'📋 Matches'!F50</f>
        <v>0</v>
      </c>
      <c r="H914" s="24" t="s">
        <v>148</v>
      </c>
      <c r="I914" s="24" t="s">
        <v>148</v>
      </c>
      <c r="J914" s="24" t="s">
        <v>148</v>
      </c>
      <c r="K914" s="24" t="s">
        <v>148</v>
      </c>
      <c r="L914" s="24" t="s">
        <v>148</v>
      </c>
    </row>
    <row r="915" customFormat="false" ht="18" hidden="false" customHeight="true" outlineLevel="0" collapsed="false">
      <c r="A915" s="17" t="s">
        <v>114</v>
      </c>
      <c r="B915" s="31" t="s">
        <v>160</v>
      </c>
      <c r="C915" s="19" t="s">
        <v>116</v>
      </c>
      <c r="D915" s="20"/>
      <c r="E915" s="20"/>
      <c r="F915" s="21" t="n">
        <f aca="false">'📋 Matches'!E51</f>
        <v>0</v>
      </c>
      <c r="G915" s="21" t="n">
        <f aca="false">'📋 Matches'!F51</f>
        <v>0</v>
      </c>
      <c r="H915" s="24" t="s">
        <v>148</v>
      </c>
      <c r="I915" s="24" t="s">
        <v>148</v>
      </c>
      <c r="J915" s="24" t="s">
        <v>148</v>
      </c>
      <c r="K915" s="24" t="s">
        <v>148</v>
      </c>
      <c r="L915" s="24" t="s">
        <v>148</v>
      </c>
    </row>
    <row r="916" customFormat="false" ht="18" hidden="false" customHeight="true" outlineLevel="0" collapsed="false">
      <c r="A916" s="17" t="s">
        <v>114</v>
      </c>
      <c r="B916" s="31" t="s">
        <v>160</v>
      </c>
      <c r="C916" s="19" t="s">
        <v>117</v>
      </c>
      <c r="D916" s="20"/>
      <c r="E916" s="20"/>
      <c r="F916" s="21" t="n">
        <f aca="false">'📋 Matches'!E52</f>
        <v>0</v>
      </c>
      <c r="G916" s="21" t="n">
        <f aca="false">'📋 Matches'!F52</f>
        <v>0</v>
      </c>
      <c r="H916" s="24" t="s">
        <v>148</v>
      </c>
      <c r="I916" s="24" t="s">
        <v>148</v>
      </c>
      <c r="J916" s="24" t="s">
        <v>148</v>
      </c>
      <c r="K916" s="24" t="s">
        <v>148</v>
      </c>
      <c r="L916" s="24" t="s">
        <v>148</v>
      </c>
    </row>
    <row r="917" customFormat="false" ht="18" hidden="false" customHeight="true" outlineLevel="0" collapsed="false">
      <c r="A917" s="17" t="s">
        <v>114</v>
      </c>
      <c r="B917" s="31" t="s">
        <v>160</v>
      </c>
      <c r="C917" s="19" t="s">
        <v>118</v>
      </c>
      <c r="D917" s="20"/>
      <c r="E917" s="20"/>
      <c r="F917" s="21" t="n">
        <f aca="false">'📋 Matches'!E53</f>
        <v>0</v>
      </c>
      <c r="G917" s="21" t="n">
        <f aca="false">'📋 Matches'!F53</f>
        <v>0</v>
      </c>
      <c r="H917" s="24" t="s">
        <v>148</v>
      </c>
      <c r="I917" s="24" t="s">
        <v>148</v>
      </c>
      <c r="J917" s="24" t="s">
        <v>148</v>
      </c>
      <c r="K917" s="24" t="s">
        <v>148</v>
      </c>
      <c r="L917" s="24" t="s">
        <v>148</v>
      </c>
    </row>
    <row r="918" customFormat="false" ht="18" hidden="false" customHeight="true" outlineLevel="0" collapsed="false">
      <c r="A918" s="17" t="s">
        <v>114</v>
      </c>
      <c r="B918" s="31" t="s">
        <v>160</v>
      </c>
      <c r="C918" s="19" t="s">
        <v>119</v>
      </c>
      <c r="D918" s="20"/>
      <c r="E918" s="20"/>
      <c r="F918" s="21" t="n">
        <f aca="false">'📋 Matches'!E54</f>
        <v>0</v>
      </c>
      <c r="G918" s="21" t="n">
        <f aca="false">'📋 Matches'!F54</f>
        <v>0</v>
      </c>
      <c r="H918" s="24" t="s">
        <v>148</v>
      </c>
      <c r="I918" s="24" t="s">
        <v>148</v>
      </c>
      <c r="J918" s="24" t="s">
        <v>148</v>
      </c>
      <c r="K918" s="24" t="s">
        <v>148</v>
      </c>
      <c r="L918" s="24" t="s">
        <v>148</v>
      </c>
    </row>
    <row r="919" customFormat="false" ht="18" hidden="false" customHeight="true" outlineLevel="0" collapsed="false">
      <c r="A919" s="17" t="s">
        <v>114</v>
      </c>
      <c r="B919" s="31" t="s">
        <v>160</v>
      </c>
      <c r="C919" s="19" t="s">
        <v>120</v>
      </c>
      <c r="D919" s="20"/>
      <c r="E919" s="20"/>
      <c r="F919" s="21" t="n">
        <f aca="false">'📋 Matches'!E55</f>
        <v>0</v>
      </c>
      <c r="G919" s="21" t="n">
        <f aca="false">'📋 Matches'!F55</f>
        <v>0</v>
      </c>
      <c r="H919" s="24" t="s">
        <v>148</v>
      </c>
      <c r="I919" s="24" t="s">
        <v>148</v>
      </c>
      <c r="J919" s="24" t="s">
        <v>148</v>
      </c>
      <c r="K919" s="24" t="s">
        <v>148</v>
      </c>
      <c r="L919" s="24" t="s">
        <v>148</v>
      </c>
    </row>
    <row r="920" customFormat="false" ht="18" hidden="false" customHeight="true" outlineLevel="0" collapsed="false">
      <c r="A920" s="17" t="s">
        <v>114</v>
      </c>
      <c r="B920" s="31" t="s">
        <v>160</v>
      </c>
      <c r="C920" s="19" t="s">
        <v>121</v>
      </c>
      <c r="D920" s="20"/>
      <c r="E920" s="20"/>
      <c r="F920" s="21" t="n">
        <f aca="false">'📋 Matches'!E56</f>
        <v>0</v>
      </c>
      <c r="G920" s="21" t="n">
        <f aca="false">'📋 Matches'!F56</f>
        <v>0</v>
      </c>
      <c r="H920" s="24" t="s">
        <v>148</v>
      </c>
      <c r="I920" s="24" t="s">
        <v>148</v>
      </c>
      <c r="J920" s="24" t="s">
        <v>148</v>
      </c>
      <c r="K920" s="24" t="s">
        <v>148</v>
      </c>
      <c r="L920" s="24" t="s">
        <v>148</v>
      </c>
    </row>
    <row r="921" customFormat="false" ht="18" hidden="false" customHeight="true" outlineLevel="0" collapsed="false">
      <c r="A921" s="17" t="s">
        <v>114</v>
      </c>
      <c r="B921" s="31" t="s">
        <v>160</v>
      </c>
      <c r="C921" s="19" t="s">
        <v>122</v>
      </c>
      <c r="D921" s="20"/>
      <c r="E921" s="20"/>
      <c r="F921" s="21" t="n">
        <f aca="false">'📋 Matches'!E57</f>
        <v>0</v>
      </c>
      <c r="G921" s="21" t="n">
        <f aca="false">'📋 Matches'!F57</f>
        <v>0</v>
      </c>
      <c r="H921" s="24" t="s">
        <v>148</v>
      </c>
      <c r="I921" s="24" t="s">
        <v>148</v>
      </c>
      <c r="J921" s="24" t="s">
        <v>148</v>
      </c>
      <c r="K921" s="24" t="s">
        <v>148</v>
      </c>
      <c r="L921" s="24" t="s">
        <v>148</v>
      </c>
    </row>
    <row r="922" customFormat="false" ht="18" hidden="false" customHeight="true" outlineLevel="0" collapsed="false">
      <c r="A922" s="17" t="s">
        <v>114</v>
      </c>
      <c r="B922" s="31" t="s">
        <v>160</v>
      </c>
      <c r="C922" s="19" t="s">
        <v>123</v>
      </c>
      <c r="D922" s="20"/>
      <c r="E922" s="20"/>
      <c r="F922" s="21" t="n">
        <f aca="false">'📋 Matches'!E58</f>
        <v>0</v>
      </c>
      <c r="G922" s="21" t="n">
        <f aca="false">'📋 Matches'!F58</f>
        <v>0</v>
      </c>
      <c r="H922" s="24" t="s">
        <v>148</v>
      </c>
      <c r="I922" s="24" t="s">
        <v>148</v>
      </c>
      <c r="J922" s="24" t="s">
        <v>148</v>
      </c>
      <c r="K922" s="24" t="s">
        <v>148</v>
      </c>
      <c r="L922" s="24" t="s">
        <v>148</v>
      </c>
    </row>
    <row r="923" customFormat="false" ht="18" hidden="false" customHeight="true" outlineLevel="0" collapsed="false">
      <c r="A923" s="17" t="s">
        <v>114</v>
      </c>
      <c r="B923" s="31" t="s">
        <v>160</v>
      </c>
      <c r="C923" s="19" t="s">
        <v>124</v>
      </c>
      <c r="D923" s="20"/>
      <c r="E923" s="20"/>
      <c r="F923" s="21" t="n">
        <f aca="false">'📋 Matches'!E59</f>
        <v>0</v>
      </c>
      <c r="G923" s="21" t="n">
        <f aca="false">'📋 Matches'!F59</f>
        <v>0</v>
      </c>
      <c r="H923" s="24" t="s">
        <v>148</v>
      </c>
      <c r="I923" s="24" t="s">
        <v>148</v>
      </c>
      <c r="J923" s="24" t="s">
        <v>148</v>
      </c>
      <c r="K923" s="24" t="s">
        <v>148</v>
      </c>
      <c r="L923" s="24" t="s">
        <v>148</v>
      </c>
    </row>
    <row r="924" customFormat="false" ht="18" hidden="false" customHeight="true" outlineLevel="0" collapsed="false">
      <c r="A924" s="17" t="s">
        <v>114</v>
      </c>
      <c r="B924" s="31" t="s">
        <v>160</v>
      </c>
      <c r="C924" s="19" t="s">
        <v>125</v>
      </c>
      <c r="D924" s="20"/>
      <c r="E924" s="20"/>
      <c r="F924" s="21" t="n">
        <f aca="false">'📋 Matches'!E60</f>
        <v>0</v>
      </c>
      <c r="G924" s="21" t="n">
        <f aca="false">'📋 Matches'!F60</f>
        <v>0</v>
      </c>
      <c r="H924" s="24" t="s">
        <v>148</v>
      </c>
      <c r="I924" s="24" t="s">
        <v>148</v>
      </c>
      <c r="J924" s="24" t="s">
        <v>148</v>
      </c>
      <c r="K924" s="24" t="s">
        <v>148</v>
      </c>
      <c r="L924" s="24" t="s">
        <v>148</v>
      </c>
    </row>
    <row r="925" customFormat="false" ht="18" hidden="false" customHeight="true" outlineLevel="0" collapsed="false">
      <c r="A925" s="17" t="s">
        <v>114</v>
      </c>
      <c r="B925" s="31" t="s">
        <v>160</v>
      </c>
      <c r="C925" s="19" t="s">
        <v>126</v>
      </c>
      <c r="D925" s="20"/>
      <c r="E925" s="20"/>
      <c r="F925" s="21" t="n">
        <f aca="false">'📋 Matches'!E61</f>
        <v>0</v>
      </c>
      <c r="G925" s="21" t="n">
        <f aca="false">'📋 Matches'!F61</f>
        <v>0</v>
      </c>
      <c r="H925" s="24" t="s">
        <v>148</v>
      </c>
      <c r="I925" s="24" t="s">
        <v>148</v>
      </c>
      <c r="J925" s="24" t="s">
        <v>148</v>
      </c>
      <c r="K925" s="24" t="s">
        <v>148</v>
      </c>
      <c r="L925" s="24" t="s">
        <v>148</v>
      </c>
    </row>
    <row r="926" customFormat="false" ht="18" hidden="false" customHeight="true" outlineLevel="0" collapsed="false">
      <c r="A926" s="17" t="s">
        <v>114</v>
      </c>
      <c r="B926" s="31" t="s">
        <v>160</v>
      </c>
      <c r="C926" s="19" t="s">
        <v>127</v>
      </c>
      <c r="D926" s="20"/>
      <c r="E926" s="20"/>
      <c r="F926" s="21" t="n">
        <f aca="false">'📋 Matches'!E62</f>
        <v>0</v>
      </c>
      <c r="G926" s="21" t="n">
        <f aca="false">'📋 Matches'!F62</f>
        <v>0</v>
      </c>
      <c r="H926" s="24" t="s">
        <v>148</v>
      </c>
      <c r="I926" s="24" t="s">
        <v>148</v>
      </c>
      <c r="J926" s="24" t="s">
        <v>148</v>
      </c>
      <c r="K926" s="24" t="s">
        <v>148</v>
      </c>
      <c r="L926" s="24" t="s">
        <v>148</v>
      </c>
    </row>
    <row r="927" customFormat="false" ht="18" hidden="false" customHeight="true" outlineLevel="0" collapsed="false">
      <c r="A927" s="17" t="s">
        <v>114</v>
      </c>
      <c r="B927" s="31" t="s">
        <v>160</v>
      </c>
      <c r="C927" s="19" t="s">
        <v>128</v>
      </c>
      <c r="D927" s="20"/>
      <c r="E927" s="20"/>
      <c r="F927" s="21" t="n">
        <f aca="false">'📋 Matches'!E63</f>
        <v>0</v>
      </c>
      <c r="G927" s="21" t="n">
        <f aca="false">'📋 Matches'!F63</f>
        <v>0</v>
      </c>
      <c r="H927" s="24" t="s">
        <v>148</v>
      </c>
      <c r="I927" s="24" t="s">
        <v>148</v>
      </c>
      <c r="J927" s="24" t="s">
        <v>148</v>
      </c>
      <c r="K927" s="24" t="s">
        <v>148</v>
      </c>
      <c r="L927" s="24" t="s">
        <v>148</v>
      </c>
    </row>
    <row r="928" customFormat="false" ht="18" hidden="false" customHeight="true" outlineLevel="0" collapsed="false">
      <c r="A928" s="17" t="s">
        <v>114</v>
      </c>
      <c r="B928" s="31" t="s">
        <v>160</v>
      </c>
      <c r="C928" s="19" t="s">
        <v>129</v>
      </c>
      <c r="D928" s="20"/>
      <c r="E928" s="20"/>
      <c r="F928" s="21" t="n">
        <f aca="false">'📋 Matches'!E64</f>
        <v>0</v>
      </c>
      <c r="G928" s="21" t="n">
        <f aca="false">'📋 Matches'!F64</f>
        <v>0</v>
      </c>
      <c r="H928" s="24" t="s">
        <v>148</v>
      </c>
      <c r="I928" s="24" t="s">
        <v>148</v>
      </c>
      <c r="J928" s="24" t="s">
        <v>148</v>
      </c>
      <c r="K928" s="24" t="s">
        <v>148</v>
      </c>
      <c r="L928" s="24" t="s">
        <v>148</v>
      </c>
    </row>
    <row r="929" customFormat="false" ht="18" hidden="false" customHeight="true" outlineLevel="0" collapsed="false">
      <c r="A929" s="17" t="s">
        <v>114</v>
      </c>
      <c r="B929" s="31" t="s">
        <v>160</v>
      </c>
      <c r="C929" s="19" t="s">
        <v>130</v>
      </c>
      <c r="D929" s="20"/>
      <c r="E929" s="20"/>
      <c r="F929" s="21" t="n">
        <f aca="false">'📋 Matches'!E65</f>
        <v>0</v>
      </c>
      <c r="G929" s="21" t="n">
        <f aca="false">'📋 Matches'!F65</f>
        <v>0</v>
      </c>
      <c r="H929" s="24" t="s">
        <v>148</v>
      </c>
      <c r="I929" s="24" t="s">
        <v>148</v>
      </c>
      <c r="J929" s="24" t="s">
        <v>148</v>
      </c>
      <c r="K929" s="24" t="s">
        <v>148</v>
      </c>
      <c r="L929" s="24" t="s">
        <v>148</v>
      </c>
    </row>
    <row r="930" customFormat="false" ht="18" hidden="false" customHeight="true" outlineLevel="0" collapsed="false">
      <c r="A930" s="17" t="s">
        <v>114</v>
      </c>
      <c r="B930" s="31" t="s">
        <v>160</v>
      </c>
      <c r="C930" s="19" t="s">
        <v>131</v>
      </c>
      <c r="D930" s="20"/>
      <c r="E930" s="20"/>
      <c r="F930" s="21" t="n">
        <f aca="false">'📋 Matches'!E66</f>
        <v>0</v>
      </c>
      <c r="G930" s="21" t="n">
        <f aca="false">'📋 Matches'!F66</f>
        <v>0</v>
      </c>
      <c r="H930" s="24" t="s">
        <v>148</v>
      </c>
      <c r="I930" s="24" t="s">
        <v>148</v>
      </c>
      <c r="J930" s="24" t="s">
        <v>148</v>
      </c>
      <c r="K930" s="24" t="s">
        <v>148</v>
      </c>
      <c r="L930" s="24" t="s">
        <v>148</v>
      </c>
    </row>
    <row r="931" customFormat="false" ht="18" hidden="false" customHeight="true" outlineLevel="0" collapsed="false">
      <c r="A931" s="17" t="s">
        <v>114</v>
      </c>
      <c r="B931" s="31" t="s">
        <v>160</v>
      </c>
      <c r="C931" s="19" t="s">
        <v>132</v>
      </c>
      <c r="D931" s="20"/>
      <c r="E931" s="20"/>
      <c r="F931" s="21" t="n">
        <f aca="false">'📋 Matches'!E67</f>
        <v>0</v>
      </c>
      <c r="G931" s="21" t="n">
        <f aca="false">'📋 Matches'!F67</f>
        <v>0</v>
      </c>
      <c r="H931" s="24" t="s">
        <v>148</v>
      </c>
      <c r="I931" s="24" t="s">
        <v>148</v>
      </c>
      <c r="J931" s="24" t="s">
        <v>148</v>
      </c>
      <c r="K931" s="24" t="s">
        <v>148</v>
      </c>
      <c r="L931" s="24" t="s">
        <v>148</v>
      </c>
    </row>
    <row r="932" customFormat="false" ht="18" hidden="false" customHeight="true" outlineLevel="0" collapsed="false">
      <c r="A932" s="17" t="s">
        <v>114</v>
      </c>
      <c r="B932" s="31" t="s">
        <v>160</v>
      </c>
      <c r="C932" s="19" t="s">
        <v>133</v>
      </c>
      <c r="D932" s="20"/>
      <c r="E932" s="20"/>
      <c r="F932" s="21" t="n">
        <f aca="false">'📋 Matches'!E68</f>
        <v>0</v>
      </c>
      <c r="G932" s="21" t="n">
        <f aca="false">'📋 Matches'!F68</f>
        <v>0</v>
      </c>
      <c r="H932" s="24" t="s">
        <v>148</v>
      </c>
      <c r="I932" s="24" t="s">
        <v>148</v>
      </c>
      <c r="J932" s="24" t="s">
        <v>148</v>
      </c>
      <c r="K932" s="24" t="s">
        <v>148</v>
      </c>
      <c r="L932" s="24" t="s">
        <v>148</v>
      </c>
    </row>
    <row r="933" customFormat="false" ht="18" hidden="false" customHeight="true" outlineLevel="0" collapsed="false">
      <c r="A933" s="17" t="s">
        <v>114</v>
      </c>
      <c r="B933" s="31" t="s">
        <v>160</v>
      </c>
      <c r="C933" s="19" t="s">
        <v>134</v>
      </c>
      <c r="D933" s="20"/>
      <c r="E933" s="20"/>
      <c r="F933" s="21" t="n">
        <f aca="false">'📋 Matches'!E69</f>
        <v>0</v>
      </c>
      <c r="G933" s="21" t="n">
        <f aca="false">'📋 Matches'!F69</f>
        <v>0</v>
      </c>
      <c r="H933" s="24" t="s">
        <v>148</v>
      </c>
      <c r="I933" s="24" t="s">
        <v>148</v>
      </c>
      <c r="J933" s="24" t="s">
        <v>148</v>
      </c>
      <c r="K933" s="24" t="s">
        <v>148</v>
      </c>
      <c r="L933" s="24" t="s">
        <v>148</v>
      </c>
    </row>
    <row r="934" customFormat="false" ht="18" hidden="false" customHeight="true" outlineLevel="0" collapsed="false">
      <c r="A934" s="17" t="s">
        <v>114</v>
      </c>
      <c r="B934" s="31" t="s">
        <v>160</v>
      </c>
      <c r="C934" s="19" t="s">
        <v>135</v>
      </c>
      <c r="D934" s="20"/>
      <c r="E934" s="20"/>
      <c r="F934" s="21" t="n">
        <f aca="false">'📋 Matches'!E70</f>
        <v>0</v>
      </c>
      <c r="G934" s="21" t="n">
        <f aca="false">'📋 Matches'!F70</f>
        <v>0</v>
      </c>
      <c r="H934" s="24" t="s">
        <v>148</v>
      </c>
      <c r="I934" s="24" t="s">
        <v>148</v>
      </c>
      <c r="J934" s="24" t="s">
        <v>148</v>
      </c>
      <c r="K934" s="24" t="s">
        <v>148</v>
      </c>
      <c r="L934" s="24" t="s">
        <v>148</v>
      </c>
    </row>
    <row r="935" customFormat="false" ht="18" hidden="false" customHeight="true" outlineLevel="0" collapsed="false">
      <c r="A935" s="17" t="s">
        <v>114</v>
      </c>
      <c r="B935" s="31" t="s">
        <v>160</v>
      </c>
      <c r="C935" s="19" t="s">
        <v>136</v>
      </c>
      <c r="D935" s="20"/>
      <c r="E935" s="20"/>
      <c r="F935" s="21" t="n">
        <f aca="false">'📋 Matches'!E71</f>
        <v>0</v>
      </c>
      <c r="G935" s="21" t="n">
        <f aca="false">'📋 Matches'!F71</f>
        <v>0</v>
      </c>
      <c r="H935" s="24" t="s">
        <v>148</v>
      </c>
      <c r="I935" s="24" t="s">
        <v>148</v>
      </c>
      <c r="J935" s="24" t="s">
        <v>148</v>
      </c>
      <c r="K935" s="24" t="s">
        <v>148</v>
      </c>
      <c r="L935" s="24" t="s">
        <v>148</v>
      </c>
    </row>
    <row r="936" customFormat="false" ht="18" hidden="false" customHeight="true" outlineLevel="0" collapsed="false">
      <c r="A936" s="17" t="s">
        <v>114</v>
      </c>
      <c r="B936" s="31" t="s">
        <v>160</v>
      </c>
      <c r="C936" s="19" t="s">
        <v>137</v>
      </c>
      <c r="D936" s="20"/>
      <c r="E936" s="20"/>
      <c r="F936" s="21" t="n">
        <f aca="false">'📋 Matches'!E72</f>
        <v>0</v>
      </c>
      <c r="G936" s="21" t="n">
        <f aca="false">'📋 Matches'!F72</f>
        <v>0</v>
      </c>
      <c r="H936" s="24" t="s">
        <v>148</v>
      </c>
      <c r="I936" s="24" t="s">
        <v>148</v>
      </c>
      <c r="J936" s="24" t="s">
        <v>148</v>
      </c>
      <c r="K936" s="24" t="s">
        <v>148</v>
      </c>
      <c r="L936" s="24" t="s">
        <v>148</v>
      </c>
    </row>
    <row r="937" customFormat="false" ht="18" hidden="false" customHeight="true" outlineLevel="0" collapsed="false">
      <c r="A937" s="17" t="s">
        <v>114</v>
      </c>
      <c r="B937" s="31" t="s">
        <v>160</v>
      </c>
      <c r="C937" s="19" t="s">
        <v>138</v>
      </c>
      <c r="D937" s="20"/>
      <c r="E937" s="20"/>
      <c r="F937" s="21" t="n">
        <f aca="false">'📋 Matches'!E73</f>
        <v>0</v>
      </c>
      <c r="G937" s="21" t="n">
        <f aca="false">'📋 Matches'!F73</f>
        <v>0</v>
      </c>
      <c r="H937" s="24" t="s">
        <v>148</v>
      </c>
      <c r="I937" s="24" t="s">
        <v>148</v>
      </c>
      <c r="J937" s="24" t="s">
        <v>148</v>
      </c>
      <c r="K937" s="24" t="s">
        <v>148</v>
      </c>
      <c r="L937" s="24" t="s">
        <v>148</v>
      </c>
    </row>
    <row r="938" customFormat="false" ht="18" hidden="false" customHeight="true" outlineLevel="0" collapsed="false">
      <c r="A938" s="25" t="s">
        <v>9</v>
      </c>
      <c r="B938" s="32" t="s">
        <v>161</v>
      </c>
      <c r="C938" s="27" t="s">
        <v>10</v>
      </c>
      <c r="D938" s="28" t="n">
        <v>2</v>
      </c>
      <c r="E938" s="28" t="n">
        <v>3</v>
      </c>
      <c r="F938" s="29" t="n">
        <f aca="false">'📋 Matches'!E2</f>
        <v>2</v>
      </c>
      <c r="G938" s="29" t="n">
        <f aca="false">'📋 Matches'!F2</f>
        <v>0</v>
      </c>
      <c r="H938" s="22" t="n">
        <f aca="false">IF(AND(ISNUMBER(F938),ISNUMBER(G938)),IF(SIGN(D938-E938)=SIGN(F938-G938),48,0),"")</f>
        <v>0</v>
      </c>
      <c r="I938" s="22" t="n">
        <f aca="false">IF(AND(ISNUMBER(F938),ISNUMBER(G938)),IF(D938=F938,15,0),"")</f>
        <v>15</v>
      </c>
      <c r="J938" s="22" t="n">
        <f aca="false">IF(AND(ISNUMBER(F938),ISNUMBER(G938)),IF(E938=G938,15,0),"")</f>
        <v>0</v>
      </c>
      <c r="K938" s="22" t="n">
        <f aca="false">IF(AND(ISNUMBER(F938),ISNUMBER(G938)),IF(ABS(D938-E938)=ABS(F938-G938),12,0),"")</f>
        <v>0</v>
      </c>
      <c r="L938" s="23" t="n">
        <f aca="false">IF(ISNUMBER(H938),H938+I938+J938+K938,"")</f>
        <v>15</v>
      </c>
    </row>
    <row r="939" customFormat="false" ht="18" hidden="false" customHeight="true" outlineLevel="0" collapsed="false">
      <c r="A939" s="25" t="s">
        <v>9</v>
      </c>
      <c r="B939" s="32" t="s">
        <v>161</v>
      </c>
      <c r="C939" s="27" t="s">
        <v>14</v>
      </c>
      <c r="D939" s="28" t="n">
        <v>3</v>
      </c>
      <c r="E939" s="28" t="n">
        <v>0</v>
      </c>
      <c r="F939" s="29" t="n">
        <f aca="false">'📋 Matches'!E3</f>
        <v>2</v>
      </c>
      <c r="G939" s="29" t="n">
        <f aca="false">'📋 Matches'!F3</f>
        <v>1</v>
      </c>
      <c r="H939" s="22" t="n">
        <f aca="false">IF(AND(ISNUMBER(F939),ISNUMBER(G939)),IF(SIGN(D939-E939)=SIGN(F939-G939),48,0),"")</f>
        <v>48</v>
      </c>
      <c r="I939" s="22" t="n">
        <f aca="false">IF(AND(ISNUMBER(F939),ISNUMBER(G939)),IF(D939=F939,15,0),"")</f>
        <v>0</v>
      </c>
      <c r="J939" s="22" t="n">
        <f aca="false">IF(AND(ISNUMBER(F939),ISNUMBER(G939)),IF(E939=G939,15,0),"")</f>
        <v>0</v>
      </c>
      <c r="K939" s="22" t="n">
        <f aca="false">IF(AND(ISNUMBER(F939),ISNUMBER(G939)),IF(ABS(D939-E939)=ABS(F939-G939),12,0),"")</f>
        <v>0</v>
      </c>
      <c r="L939" s="23" t="n">
        <f aca="false">IF(ISNUMBER(H939),H939+I939+J939+K939,"")</f>
        <v>48</v>
      </c>
    </row>
    <row r="940" customFormat="false" ht="18" hidden="false" customHeight="true" outlineLevel="0" collapsed="false">
      <c r="A940" s="25" t="s">
        <v>9</v>
      </c>
      <c r="B940" s="32" t="s">
        <v>161</v>
      </c>
      <c r="C940" s="27" t="s">
        <v>17</v>
      </c>
      <c r="D940" s="28" t="n">
        <v>1</v>
      </c>
      <c r="E940" s="28" t="n">
        <v>1</v>
      </c>
      <c r="F940" s="29" t="n">
        <f aca="false">'📋 Matches'!E4</f>
        <v>1</v>
      </c>
      <c r="G940" s="29" t="n">
        <f aca="false">'📋 Matches'!F4</f>
        <v>1</v>
      </c>
      <c r="H940" s="22" t="n">
        <f aca="false">IF(AND(ISNUMBER(F940),ISNUMBER(G940)),IF(SIGN(D940-E940)=SIGN(F940-G940),48,0),"")</f>
        <v>48</v>
      </c>
      <c r="I940" s="22" t="n">
        <f aca="false">IF(AND(ISNUMBER(F940),ISNUMBER(G940)),IF(D940=F940,15,0),"")</f>
        <v>15</v>
      </c>
      <c r="J940" s="22" t="n">
        <f aca="false">IF(AND(ISNUMBER(F940),ISNUMBER(G940)),IF(E940=G940,15,0),"")</f>
        <v>15</v>
      </c>
      <c r="K940" s="22" t="n">
        <f aca="false">IF(AND(ISNUMBER(F940),ISNUMBER(G940)),IF(ABS(D940-E940)=ABS(F940-G940),12,0),"")</f>
        <v>12</v>
      </c>
      <c r="L940" s="23" t="n">
        <f aca="false">IF(ISNUMBER(H940),H940+I940+J940+K940,"")</f>
        <v>90</v>
      </c>
    </row>
    <row r="941" customFormat="false" ht="18" hidden="false" customHeight="true" outlineLevel="0" collapsed="false">
      <c r="A941" s="25" t="s">
        <v>9</v>
      </c>
      <c r="B941" s="32" t="s">
        <v>161</v>
      </c>
      <c r="C941" s="27" t="s">
        <v>20</v>
      </c>
      <c r="D941" s="28" t="n">
        <v>3</v>
      </c>
      <c r="E941" s="28" t="n">
        <v>1</v>
      </c>
      <c r="F941" s="29" t="n">
        <f aca="false">'📋 Matches'!E5</f>
        <v>4</v>
      </c>
      <c r="G941" s="29" t="n">
        <f aca="false">'📋 Matches'!F5</f>
        <v>1</v>
      </c>
      <c r="H941" s="22" t="n">
        <f aca="false">IF(AND(ISNUMBER(F941),ISNUMBER(G941)),IF(SIGN(D941-E941)=SIGN(F941-G941),48,0),"")</f>
        <v>48</v>
      </c>
      <c r="I941" s="22" t="n">
        <f aca="false">IF(AND(ISNUMBER(F941),ISNUMBER(G941)),IF(D941=F941,15,0),"")</f>
        <v>0</v>
      </c>
      <c r="J941" s="22" t="n">
        <f aca="false">IF(AND(ISNUMBER(F941),ISNUMBER(G941)),IF(E941=G941,15,0),"")</f>
        <v>15</v>
      </c>
      <c r="K941" s="22" t="n">
        <f aca="false">IF(AND(ISNUMBER(F941),ISNUMBER(G941)),IF(ABS(D941-E941)=ABS(F941-G941),12,0),"")</f>
        <v>0</v>
      </c>
      <c r="L941" s="23" t="n">
        <f aca="false">IF(ISNUMBER(H941),H941+I941+J941+K941,"")</f>
        <v>63</v>
      </c>
    </row>
    <row r="942" customFormat="false" ht="18" hidden="false" customHeight="true" outlineLevel="0" collapsed="false">
      <c r="A942" s="25" t="s">
        <v>9</v>
      </c>
      <c r="B942" s="32" t="s">
        <v>161</v>
      </c>
      <c r="C942" s="27" t="s">
        <v>23</v>
      </c>
      <c r="D942" s="28" t="n">
        <v>1</v>
      </c>
      <c r="E942" s="28" t="n">
        <v>4</v>
      </c>
      <c r="F942" s="29" t="n">
        <f aca="false">'📋 Matches'!E6</f>
        <v>0</v>
      </c>
      <c r="G942" s="29" t="n">
        <f aca="false">'📋 Matches'!F6</f>
        <v>0</v>
      </c>
      <c r="H942" s="22" t="str">
        <f aca="false">IF(AND(ISNUMBER(F942),ISNUMBER(G942)),IF(SIGN(D942-E942)=SIGN(F942-G942),48,0),"")</f>
        <v/>
      </c>
      <c r="I942" s="22" t="str">
        <f aca="false">IF(AND(ISNUMBER(F942),ISNUMBER(G942)),IF(D942=F942,15,0),"")</f>
        <v/>
      </c>
      <c r="J942" s="22" t="str">
        <f aca="false">IF(AND(ISNUMBER(F942),ISNUMBER(G942)),IF(E942=G942,15,0),"")</f>
        <v/>
      </c>
      <c r="K942" s="22" t="str">
        <f aca="false">IF(AND(ISNUMBER(F942),ISNUMBER(G942)),IF(ABS(D942-E942)=ABS(F942-G942),12,0),"")</f>
        <v/>
      </c>
      <c r="L942" s="23" t="str">
        <f aca="false">IF(ISNUMBER(H942),H942+I942+J942+K942,"")</f>
        <v/>
      </c>
    </row>
    <row r="943" customFormat="false" ht="18" hidden="false" customHeight="true" outlineLevel="0" collapsed="false">
      <c r="A943" s="25" t="s">
        <v>9</v>
      </c>
      <c r="B943" s="32" t="s">
        <v>161</v>
      </c>
      <c r="C943" s="27" t="s">
        <v>27</v>
      </c>
      <c r="D943" s="28" t="n">
        <v>3</v>
      </c>
      <c r="E943" s="28" t="n">
        <v>2</v>
      </c>
      <c r="F943" s="29" t="n">
        <f aca="false">'📋 Matches'!E7</f>
        <v>0</v>
      </c>
      <c r="G943" s="29" t="n">
        <f aca="false">'📋 Matches'!F7</f>
        <v>0</v>
      </c>
      <c r="H943" s="22" t="str">
        <f aca="false">IF(AND(ISNUMBER(F943),ISNUMBER(G943)),IF(SIGN(D943-E943)=SIGN(F943-G943),48,0),"")</f>
        <v/>
      </c>
      <c r="I943" s="22" t="str">
        <f aca="false">IF(AND(ISNUMBER(F943),ISNUMBER(G943)),IF(D943=F943,15,0),"")</f>
        <v/>
      </c>
      <c r="J943" s="22" t="str">
        <f aca="false">IF(AND(ISNUMBER(F943),ISNUMBER(G943)),IF(E943=G943,15,0),"")</f>
        <v/>
      </c>
      <c r="K943" s="22" t="str">
        <f aca="false">IF(AND(ISNUMBER(F943),ISNUMBER(G943)),IF(ABS(D943-E943)=ABS(F943-G943),12,0),"")</f>
        <v/>
      </c>
      <c r="L943" s="23" t="str">
        <f aca="false">IF(ISNUMBER(H943),H943+I943+J943+K943,"")</f>
        <v/>
      </c>
    </row>
    <row r="944" customFormat="false" ht="18" hidden="false" customHeight="true" outlineLevel="0" collapsed="false">
      <c r="A944" s="25" t="s">
        <v>9</v>
      </c>
      <c r="B944" s="32" t="s">
        <v>161</v>
      </c>
      <c r="C944" s="27" t="s">
        <v>30</v>
      </c>
      <c r="D944" s="28" t="n">
        <v>2</v>
      </c>
      <c r="E944" s="28" t="n">
        <v>2</v>
      </c>
      <c r="F944" s="29" t="n">
        <f aca="false">'📋 Matches'!E8</f>
        <v>0</v>
      </c>
      <c r="G944" s="29" t="n">
        <f aca="false">'📋 Matches'!F8</f>
        <v>0</v>
      </c>
      <c r="H944" s="22" t="str">
        <f aca="false">IF(AND(ISNUMBER(F944),ISNUMBER(G944)),IF(SIGN(D944-E944)=SIGN(F944-G944),48,0),"")</f>
        <v/>
      </c>
      <c r="I944" s="22" t="str">
        <f aca="false">IF(AND(ISNUMBER(F944),ISNUMBER(G944)),IF(D944=F944,15,0),"")</f>
        <v/>
      </c>
      <c r="J944" s="22" t="str">
        <f aca="false">IF(AND(ISNUMBER(F944),ISNUMBER(G944)),IF(E944=G944,15,0),"")</f>
        <v/>
      </c>
      <c r="K944" s="22" t="str">
        <f aca="false">IF(AND(ISNUMBER(F944),ISNUMBER(G944)),IF(ABS(D944-E944)=ABS(F944-G944),12,0),"")</f>
        <v/>
      </c>
      <c r="L944" s="23" t="str">
        <f aca="false">IF(ISNUMBER(H944),H944+I944+J944+K944,"")</f>
        <v/>
      </c>
    </row>
    <row r="945" customFormat="false" ht="18" hidden="false" customHeight="true" outlineLevel="0" collapsed="false">
      <c r="A945" s="25" t="s">
        <v>9</v>
      </c>
      <c r="B945" s="32" t="s">
        <v>161</v>
      </c>
      <c r="C945" s="27" t="s">
        <v>33</v>
      </c>
      <c r="D945" s="28" t="n">
        <v>3</v>
      </c>
      <c r="E945" s="28" t="n">
        <v>2</v>
      </c>
      <c r="F945" s="29" t="n">
        <f aca="false">'📋 Matches'!E9</f>
        <v>0</v>
      </c>
      <c r="G945" s="29" t="n">
        <f aca="false">'📋 Matches'!F9</f>
        <v>0</v>
      </c>
      <c r="H945" s="22" t="str">
        <f aca="false">IF(AND(ISNUMBER(F945),ISNUMBER(G945)),IF(SIGN(D945-E945)=SIGN(F945-G945),48,0),"")</f>
        <v/>
      </c>
      <c r="I945" s="22" t="str">
        <f aca="false">IF(AND(ISNUMBER(F945),ISNUMBER(G945)),IF(D945=F945,15,0),"")</f>
        <v/>
      </c>
      <c r="J945" s="22" t="str">
        <f aca="false">IF(AND(ISNUMBER(F945),ISNUMBER(G945)),IF(E945=G945,15,0),"")</f>
        <v/>
      </c>
      <c r="K945" s="22" t="str">
        <f aca="false">IF(AND(ISNUMBER(F945),ISNUMBER(G945)),IF(ABS(D945-E945)=ABS(F945-G945),12,0),"")</f>
        <v/>
      </c>
      <c r="L945" s="23" t="str">
        <f aca="false">IF(ISNUMBER(H945),H945+I945+J945+K945,"")</f>
        <v/>
      </c>
    </row>
    <row r="946" customFormat="false" ht="18" hidden="false" customHeight="true" outlineLevel="0" collapsed="false">
      <c r="A946" s="25" t="s">
        <v>9</v>
      </c>
      <c r="B946" s="32" t="s">
        <v>161</v>
      </c>
      <c r="C946" s="27" t="s">
        <v>36</v>
      </c>
      <c r="D946" s="28" t="n">
        <v>4</v>
      </c>
      <c r="E946" s="28" t="n">
        <v>2</v>
      </c>
      <c r="F946" s="29" t="n">
        <f aca="false">'📋 Matches'!E10</f>
        <v>0</v>
      </c>
      <c r="G946" s="29" t="n">
        <f aca="false">'📋 Matches'!F10</f>
        <v>0</v>
      </c>
      <c r="H946" s="22" t="str">
        <f aca="false">IF(AND(ISNUMBER(F946),ISNUMBER(G946)),IF(SIGN(D946-E946)=SIGN(F946-G946),48,0),"")</f>
        <v/>
      </c>
      <c r="I946" s="22" t="str">
        <f aca="false">IF(AND(ISNUMBER(F946),ISNUMBER(G946)),IF(D946=F946,15,0),"")</f>
        <v/>
      </c>
      <c r="J946" s="22" t="str">
        <f aca="false">IF(AND(ISNUMBER(F946),ISNUMBER(G946)),IF(E946=G946,15,0),"")</f>
        <v/>
      </c>
      <c r="K946" s="22" t="str">
        <f aca="false">IF(AND(ISNUMBER(F946),ISNUMBER(G946)),IF(ABS(D946-E946)=ABS(F946-G946),12,0),"")</f>
        <v/>
      </c>
      <c r="L946" s="23" t="str">
        <f aca="false">IF(ISNUMBER(H946),H946+I946+J946+K946,"")</f>
        <v/>
      </c>
    </row>
    <row r="947" customFormat="false" ht="18" hidden="false" customHeight="true" outlineLevel="0" collapsed="false">
      <c r="A947" s="25" t="s">
        <v>9</v>
      </c>
      <c r="B947" s="32" t="s">
        <v>161</v>
      </c>
      <c r="C947" s="27" t="s">
        <v>39</v>
      </c>
      <c r="D947" s="28" t="n">
        <v>0</v>
      </c>
      <c r="E947" s="28" t="n">
        <v>3</v>
      </c>
      <c r="F947" s="29" t="n">
        <f aca="false">'📋 Matches'!E11</f>
        <v>0</v>
      </c>
      <c r="G947" s="29" t="n">
        <f aca="false">'📋 Matches'!F11</f>
        <v>0</v>
      </c>
      <c r="H947" s="22" t="str">
        <f aca="false">IF(AND(ISNUMBER(F947),ISNUMBER(G947)),IF(SIGN(D947-E947)=SIGN(F947-G947),48,0),"")</f>
        <v/>
      </c>
      <c r="I947" s="22" t="str">
        <f aca="false">IF(AND(ISNUMBER(F947),ISNUMBER(G947)),IF(D947=F947,15,0),"")</f>
        <v/>
      </c>
      <c r="J947" s="22" t="str">
        <f aca="false">IF(AND(ISNUMBER(F947),ISNUMBER(G947)),IF(E947=G947,15,0),"")</f>
        <v/>
      </c>
      <c r="K947" s="22" t="str">
        <f aca="false">IF(AND(ISNUMBER(F947),ISNUMBER(G947)),IF(ABS(D947-E947)=ABS(F947-G947),12,0),"")</f>
        <v/>
      </c>
      <c r="L947" s="23" t="str">
        <f aca="false">IF(ISNUMBER(H947),H947+I947+J947+K947,"")</f>
        <v/>
      </c>
    </row>
    <row r="948" customFormat="false" ht="18" hidden="false" customHeight="true" outlineLevel="0" collapsed="false">
      <c r="A948" s="25" t="s">
        <v>9</v>
      </c>
      <c r="B948" s="32" t="s">
        <v>161</v>
      </c>
      <c r="C948" s="27" t="s">
        <v>42</v>
      </c>
      <c r="D948" s="28" t="n">
        <v>5</v>
      </c>
      <c r="E948" s="28" t="n">
        <v>4</v>
      </c>
      <c r="F948" s="29" t="n">
        <f aca="false">'📋 Matches'!E12</f>
        <v>0</v>
      </c>
      <c r="G948" s="29" t="n">
        <f aca="false">'📋 Matches'!F12</f>
        <v>0</v>
      </c>
      <c r="H948" s="22" t="str">
        <f aca="false">IF(AND(ISNUMBER(F948),ISNUMBER(G948)),IF(SIGN(D948-E948)=SIGN(F948-G948),48,0),"")</f>
        <v/>
      </c>
      <c r="I948" s="22" t="str">
        <f aca="false">IF(AND(ISNUMBER(F948),ISNUMBER(G948)),IF(D948=F948,15,0),"")</f>
        <v/>
      </c>
      <c r="J948" s="22" t="str">
        <f aca="false">IF(AND(ISNUMBER(F948),ISNUMBER(G948)),IF(E948=G948,15,0),"")</f>
        <v/>
      </c>
      <c r="K948" s="22" t="str">
        <f aca="false">IF(AND(ISNUMBER(F948),ISNUMBER(G948)),IF(ABS(D948-E948)=ABS(F948-G948),12,0),"")</f>
        <v/>
      </c>
      <c r="L948" s="23" t="str">
        <f aca="false">IF(ISNUMBER(H948),H948+I948+J948+K948,"")</f>
        <v/>
      </c>
    </row>
    <row r="949" customFormat="false" ht="18" hidden="false" customHeight="true" outlineLevel="0" collapsed="false">
      <c r="A949" s="25" t="s">
        <v>9</v>
      </c>
      <c r="B949" s="32" t="s">
        <v>161</v>
      </c>
      <c r="C949" s="27" t="s">
        <v>45</v>
      </c>
      <c r="D949" s="28" t="n">
        <v>2</v>
      </c>
      <c r="E949" s="28" t="n">
        <v>3</v>
      </c>
      <c r="F949" s="29" t="n">
        <f aca="false">'📋 Matches'!E13</f>
        <v>0</v>
      </c>
      <c r="G949" s="29" t="n">
        <f aca="false">'📋 Matches'!F13</f>
        <v>0</v>
      </c>
      <c r="H949" s="22" t="str">
        <f aca="false">IF(AND(ISNUMBER(F949),ISNUMBER(G949)),IF(SIGN(D949-E949)=SIGN(F949-G949),48,0),"")</f>
        <v/>
      </c>
      <c r="I949" s="22" t="str">
        <f aca="false">IF(AND(ISNUMBER(F949),ISNUMBER(G949)),IF(D949=F949,15,0),"")</f>
        <v/>
      </c>
      <c r="J949" s="22" t="str">
        <f aca="false">IF(AND(ISNUMBER(F949),ISNUMBER(G949)),IF(E949=G949,15,0),"")</f>
        <v/>
      </c>
      <c r="K949" s="22" t="str">
        <f aca="false">IF(AND(ISNUMBER(F949),ISNUMBER(G949)),IF(ABS(D949-E949)=ABS(F949-G949),12,0),"")</f>
        <v/>
      </c>
      <c r="L949" s="23" t="str">
        <f aca="false">IF(ISNUMBER(H949),H949+I949+J949+K949,"")</f>
        <v/>
      </c>
    </row>
    <row r="950" customFormat="false" ht="18" hidden="false" customHeight="true" outlineLevel="0" collapsed="false">
      <c r="A950" s="25" t="s">
        <v>9</v>
      </c>
      <c r="B950" s="32" t="s">
        <v>161</v>
      </c>
      <c r="C950" s="27" t="s">
        <v>48</v>
      </c>
      <c r="D950" s="28" t="n">
        <v>2</v>
      </c>
      <c r="E950" s="28" t="n">
        <v>2</v>
      </c>
      <c r="F950" s="29" t="n">
        <f aca="false">'📋 Matches'!E14</f>
        <v>0</v>
      </c>
      <c r="G950" s="29" t="n">
        <f aca="false">'📋 Matches'!F14</f>
        <v>0</v>
      </c>
      <c r="H950" s="22" t="str">
        <f aca="false">IF(AND(ISNUMBER(F950),ISNUMBER(G950)),IF(SIGN(D950-E950)=SIGN(F950-G950),48,0),"")</f>
        <v/>
      </c>
      <c r="I950" s="22" t="str">
        <f aca="false">IF(AND(ISNUMBER(F950),ISNUMBER(G950)),IF(D950=F950,15,0),"")</f>
        <v/>
      </c>
      <c r="J950" s="22" t="str">
        <f aca="false">IF(AND(ISNUMBER(F950),ISNUMBER(G950)),IF(E950=G950,15,0),"")</f>
        <v/>
      </c>
      <c r="K950" s="22" t="str">
        <f aca="false">IF(AND(ISNUMBER(F950),ISNUMBER(G950)),IF(ABS(D950-E950)=ABS(F950-G950),12,0),"")</f>
        <v/>
      </c>
      <c r="L950" s="23" t="str">
        <f aca="false">IF(ISNUMBER(H950),H950+I950+J950+K950,"")</f>
        <v/>
      </c>
    </row>
    <row r="951" customFormat="false" ht="18" hidden="false" customHeight="true" outlineLevel="0" collapsed="false">
      <c r="A951" s="25" t="s">
        <v>9</v>
      </c>
      <c r="B951" s="32" t="s">
        <v>161</v>
      </c>
      <c r="C951" s="27" t="s">
        <v>51</v>
      </c>
      <c r="D951" s="28" t="n">
        <v>2</v>
      </c>
      <c r="E951" s="28" t="n">
        <v>4</v>
      </c>
      <c r="F951" s="29" t="n">
        <f aca="false">'📋 Matches'!E15</f>
        <v>0</v>
      </c>
      <c r="G951" s="29" t="n">
        <f aca="false">'📋 Matches'!F15</f>
        <v>0</v>
      </c>
      <c r="H951" s="22" t="str">
        <f aca="false">IF(AND(ISNUMBER(F951),ISNUMBER(G951)),IF(SIGN(D951-E951)=SIGN(F951-G951),48,0),"")</f>
        <v/>
      </c>
      <c r="I951" s="22" t="str">
        <f aca="false">IF(AND(ISNUMBER(F951),ISNUMBER(G951)),IF(D951=F951,15,0),"")</f>
        <v/>
      </c>
      <c r="J951" s="22" t="str">
        <f aca="false">IF(AND(ISNUMBER(F951),ISNUMBER(G951)),IF(E951=G951,15,0),"")</f>
        <v/>
      </c>
      <c r="K951" s="22" t="str">
        <f aca="false">IF(AND(ISNUMBER(F951),ISNUMBER(G951)),IF(ABS(D951-E951)=ABS(F951-G951),12,0),"")</f>
        <v/>
      </c>
      <c r="L951" s="23" t="str">
        <f aca="false">IF(ISNUMBER(H951),H951+I951+J951+K951,"")</f>
        <v/>
      </c>
    </row>
    <row r="952" customFormat="false" ht="18" hidden="false" customHeight="true" outlineLevel="0" collapsed="false">
      <c r="A952" s="25" t="s">
        <v>9</v>
      </c>
      <c r="B952" s="32" t="s">
        <v>161</v>
      </c>
      <c r="C952" s="27" t="s">
        <v>54</v>
      </c>
      <c r="D952" s="28" t="n">
        <v>4</v>
      </c>
      <c r="E952" s="28" t="n">
        <v>3</v>
      </c>
      <c r="F952" s="29" t="n">
        <f aca="false">'📋 Matches'!E16</f>
        <v>0</v>
      </c>
      <c r="G952" s="29" t="n">
        <f aca="false">'📋 Matches'!F16</f>
        <v>0</v>
      </c>
      <c r="H952" s="22" t="str">
        <f aca="false">IF(AND(ISNUMBER(F952),ISNUMBER(G952)),IF(SIGN(D952-E952)=SIGN(F952-G952),48,0),"")</f>
        <v/>
      </c>
      <c r="I952" s="22" t="str">
        <f aca="false">IF(AND(ISNUMBER(F952),ISNUMBER(G952)),IF(D952=F952,15,0),"")</f>
        <v/>
      </c>
      <c r="J952" s="22" t="str">
        <f aca="false">IF(AND(ISNUMBER(F952),ISNUMBER(G952)),IF(E952=G952,15,0),"")</f>
        <v/>
      </c>
      <c r="K952" s="22" t="str">
        <f aca="false">IF(AND(ISNUMBER(F952),ISNUMBER(G952)),IF(ABS(D952-E952)=ABS(F952-G952),12,0),"")</f>
        <v/>
      </c>
      <c r="L952" s="23" t="str">
        <f aca="false">IF(ISNUMBER(H952),H952+I952+J952+K952,"")</f>
        <v/>
      </c>
    </row>
    <row r="953" customFormat="false" ht="18" hidden="false" customHeight="true" outlineLevel="0" collapsed="false">
      <c r="A953" s="25" t="s">
        <v>9</v>
      </c>
      <c r="B953" s="32" t="s">
        <v>161</v>
      </c>
      <c r="C953" s="27" t="s">
        <v>57</v>
      </c>
      <c r="D953" s="28" t="n">
        <v>0</v>
      </c>
      <c r="E953" s="28" t="n">
        <v>2</v>
      </c>
      <c r="F953" s="29" t="n">
        <f aca="false">'📋 Matches'!E17</f>
        <v>0</v>
      </c>
      <c r="G953" s="29" t="n">
        <f aca="false">'📋 Matches'!F17</f>
        <v>0</v>
      </c>
      <c r="H953" s="22" t="str">
        <f aca="false">IF(AND(ISNUMBER(F953),ISNUMBER(G953)),IF(SIGN(D953-E953)=SIGN(F953-G953),48,0),"")</f>
        <v/>
      </c>
      <c r="I953" s="22" t="str">
        <f aca="false">IF(AND(ISNUMBER(F953),ISNUMBER(G953)),IF(D953=F953,15,0),"")</f>
        <v/>
      </c>
      <c r="J953" s="22" t="str">
        <f aca="false">IF(AND(ISNUMBER(F953),ISNUMBER(G953)),IF(E953=G953,15,0),"")</f>
        <v/>
      </c>
      <c r="K953" s="22" t="str">
        <f aca="false">IF(AND(ISNUMBER(F953),ISNUMBER(G953)),IF(ABS(D953-E953)=ABS(F953-G953),12,0),"")</f>
        <v/>
      </c>
      <c r="L953" s="23" t="str">
        <f aca="false">IF(ISNUMBER(H953),H953+I953+J953+K953,"")</f>
        <v/>
      </c>
    </row>
    <row r="954" customFormat="false" ht="18" hidden="false" customHeight="true" outlineLevel="0" collapsed="false">
      <c r="A954" s="25" t="s">
        <v>9</v>
      </c>
      <c r="B954" s="32" t="s">
        <v>161</v>
      </c>
      <c r="C954" s="27" t="s">
        <v>60</v>
      </c>
      <c r="D954" s="28" t="n">
        <v>2</v>
      </c>
      <c r="E954" s="28" t="n">
        <v>1</v>
      </c>
      <c r="F954" s="29" t="n">
        <f aca="false">'📋 Matches'!E18</f>
        <v>0</v>
      </c>
      <c r="G954" s="29" t="n">
        <f aca="false">'📋 Matches'!F18</f>
        <v>0</v>
      </c>
      <c r="H954" s="22" t="str">
        <f aca="false">IF(AND(ISNUMBER(F954),ISNUMBER(G954)),IF(SIGN(D954-E954)=SIGN(F954-G954),48,0),"")</f>
        <v/>
      </c>
      <c r="I954" s="22" t="str">
        <f aca="false">IF(AND(ISNUMBER(F954),ISNUMBER(G954)),IF(D954=F954,15,0),"")</f>
        <v/>
      </c>
      <c r="J954" s="22" t="str">
        <f aca="false">IF(AND(ISNUMBER(F954),ISNUMBER(G954)),IF(E954=G954,15,0),"")</f>
        <v/>
      </c>
      <c r="K954" s="22" t="str">
        <f aca="false">IF(AND(ISNUMBER(F954),ISNUMBER(G954)),IF(ABS(D954-E954)=ABS(F954-G954),12,0),"")</f>
        <v/>
      </c>
      <c r="L954" s="23" t="str">
        <f aca="false">IF(ISNUMBER(H954),H954+I954+J954+K954,"")</f>
        <v/>
      </c>
    </row>
    <row r="955" customFormat="false" ht="18" hidden="false" customHeight="true" outlineLevel="0" collapsed="false">
      <c r="A955" s="25" t="s">
        <v>9</v>
      </c>
      <c r="B955" s="32" t="s">
        <v>161</v>
      </c>
      <c r="C955" s="27" t="s">
        <v>63</v>
      </c>
      <c r="D955" s="28" t="n">
        <v>1</v>
      </c>
      <c r="E955" s="28" t="n">
        <v>1</v>
      </c>
      <c r="F955" s="29" t="n">
        <f aca="false">'📋 Matches'!E19</f>
        <v>0</v>
      </c>
      <c r="G955" s="29" t="n">
        <f aca="false">'📋 Matches'!F19</f>
        <v>0</v>
      </c>
      <c r="H955" s="22" t="str">
        <f aca="false">IF(AND(ISNUMBER(F955),ISNUMBER(G955)),IF(SIGN(D955-E955)=SIGN(F955-G955),48,0),"")</f>
        <v/>
      </c>
      <c r="I955" s="22" t="str">
        <f aca="false">IF(AND(ISNUMBER(F955),ISNUMBER(G955)),IF(D955=F955,15,0),"")</f>
        <v/>
      </c>
      <c r="J955" s="22" t="str">
        <f aca="false">IF(AND(ISNUMBER(F955),ISNUMBER(G955)),IF(E955=G955,15,0),"")</f>
        <v/>
      </c>
      <c r="K955" s="22" t="str">
        <f aca="false">IF(AND(ISNUMBER(F955),ISNUMBER(G955)),IF(ABS(D955-E955)=ABS(F955-G955),12,0),"")</f>
        <v/>
      </c>
      <c r="L955" s="23" t="str">
        <f aca="false">IF(ISNUMBER(H955),H955+I955+J955+K955,"")</f>
        <v/>
      </c>
    </row>
    <row r="956" customFormat="false" ht="18" hidden="false" customHeight="true" outlineLevel="0" collapsed="false">
      <c r="A956" s="25" t="s">
        <v>9</v>
      </c>
      <c r="B956" s="32" t="s">
        <v>161</v>
      </c>
      <c r="C956" s="27" t="s">
        <v>66</v>
      </c>
      <c r="D956" s="28" t="n">
        <v>3</v>
      </c>
      <c r="E956" s="28" t="n">
        <v>2</v>
      </c>
      <c r="F956" s="29" t="n">
        <f aca="false">'📋 Matches'!E20</f>
        <v>0</v>
      </c>
      <c r="G956" s="29" t="n">
        <f aca="false">'📋 Matches'!F20</f>
        <v>0</v>
      </c>
      <c r="H956" s="22" t="str">
        <f aca="false">IF(AND(ISNUMBER(F956),ISNUMBER(G956)),IF(SIGN(D956-E956)=SIGN(F956-G956),48,0),"")</f>
        <v/>
      </c>
      <c r="I956" s="22" t="str">
        <f aca="false">IF(AND(ISNUMBER(F956),ISNUMBER(G956)),IF(D956=F956,15,0),"")</f>
        <v/>
      </c>
      <c r="J956" s="22" t="str">
        <f aca="false">IF(AND(ISNUMBER(F956),ISNUMBER(G956)),IF(E956=G956,15,0),"")</f>
        <v/>
      </c>
      <c r="K956" s="22" t="str">
        <f aca="false">IF(AND(ISNUMBER(F956),ISNUMBER(G956)),IF(ABS(D956-E956)=ABS(F956-G956),12,0),"")</f>
        <v/>
      </c>
      <c r="L956" s="23" t="str">
        <f aca="false">IF(ISNUMBER(H956),H956+I956+J956+K956,"")</f>
        <v/>
      </c>
    </row>
    <row r="957" customFormat="false" ht="18" hidden="false" customHeight="true" outlineLevel="0" collapsed="false">
      <c r="A957" s="25" t="s">
        <v>9</v>
      </c>
      <c r="B957" s="32" t="s">
        <v>161</v>
      </c>
      <c r="C957" s="27" t="s">
        <v>69</v>
      </c>
      <c r="D957" s="28" t="n">
        <v>2</v>
      </c>
      <c r="E957" s="28" t="n">
        <v>2</v>
      </c>
      <c r="F957" s="29" t="n">
        <f aca="false">'📋 Matches'!E21</f>
        <v>0</v>
      </c>
      <c r="G957" s="29" t="n">
        <f aca="false">'📋 Matches'!F21</f>
        <v>0</v>
      </c>
      <c r="H957" s="22" t="str">
        <f aca="false">IF(AND(ISNUMBER(F957),ISNUMBER(G957)),IF(SIGN(D957-E957)=SIGN(F957-G957),48,0),"")</f>
        <v/>
      </c>
      <c r="I957" s="22" t="str">
        <f aca="false">IF(AND(ISNUMBER(F957),ISNUMBER(G957)),IF(D957=F957,15,0),"")</f>
        <v/>
      </c>
      <c r="J957" s="22" t="str">
        <f aca="false">IF(AND(ISNUMBER(F957),ISNUMBER(G957)),IF(E957=G957,15,0),"")</f>
        <v/>
      </c>
      <c r="K957" s="22" t="str">
        <f aca="false">IF(AND(ISNUMBER(F957),ISNUMBER(G957)),IF(ABS(D957-E957)=ABS(F957-G957),12,0),"")</f>
        <v/>
      </c>
      <c r="L957" s="23" t="str">
        <f aca="false">IF(ISNUMBER(H957),H957+I957+J957+K957,"")</f>
        <v/>
      </c>
    </row>
    <row r="958" customFormat="false" ht="18" hidden="false" customHeight="true" outlineLevel="0" collapsed="false">
      <c r="A958" s="25" t="s">
        <v>9</v>
      </c>
      <c r="B958" s="32" t="s">
        <v>161</v>
      </c>
      <c r="C958" s="27" t="s">
        <v>72</v>
      </c>
      <c r="D958" s="28" t="n">
        <v>5</v>
      </c>
      <c r="E958" s="28" t="n">
        <v>4</v>
      </c>
      <c r="F958" s="29" t="n">
        <f aca="false">'📋 Matches'!E22</f>
        <v>0</v>
      </c>
      <c r="G958" s="29" t="n">
        <f aca="false">'📋 Matches'!F22</f>
        <v>0</v>
      </c>
      <c r="H958" s="22" t="str">
        <f aca="false">IF(AND(ISNUMBER(F958),ISNUMBER(G958)),IF(SIGN(D958-E958)=SIGN(F958-G958),48,0),"")</f>
        <v/>
      </c>
      <c r="I958" s="22" t="str">
        <f aca="false">IF(AND(ISNUMBER(F958),ISNUMBER(G958)),IF(D958=F958,15,0),"")</f>
        <v/>
      </c>
      <c r="J958" s="22" t="str">
        <f aca="false">IF(AND(ISNUMBER(F958),ISNUMBER(G958)),IF(E958=G958,15,0),"")</f>
        <v/>
      </c>
      <c r="K958" s="22" t="str">
        <f aca="false">IF(AND(ISNUMBER(F958),ISNUMBER(G958)),IF(ABS(D958-E958)=ABS(F958-G958),12,0),"")</f>
        <v/>
      </c>
      <c r="L958" s="23" t="str">
        <f aca="false">IF(ISNUMBER(H958),H958+I958+J958+K958,"")</f>
        <v/>
      </c>
    </row>
    <row r="959" customFormat="false" ht="18" hidden="false" customHeight="true" outlineLevel="0" collapsed="false">
      <c r="A959" s="25" t="s">
        <v>9</v>
      </c>
      <c r="B959" s="32" t="s">
        <v>161</v>
      </c>
      <c r="C959" s="27" t="s">
        <v>75</v>
      </c>
      <c r="D959" s="28" t="n">
        <v>3</v>
      </c>
      <c r="E959" s="28" t="n">
        <v>0</v>
      </c>
      <c r="F959" s="29" t="n">
        <f aca="false">'📋 Matches'!E23</f>
        <v>0</v>
      </c>
      <c r="G959" s="29" t="n">
        <f aca="false">'📋 Matches'!F23</f>
        <v>0</v>
      </c>
      <c r="H959" s="22" t="str">
        <f aca="false">IF(AND(ISNUMBER(F959),ISNUMBER(G959)),IF(SIGN(D959-E959)=SIGN(F959-G959),48,0),"")</f>
        <v/>
      </c>
      <c r="I959" s="22" t="str">
        <f aca="false">IF(AND(ISNUMBER(F959),ISNUMBER(G959)),IF(D959=F959,15,0),"")</f>
        <v/>
      </c>
      <c r="J959" s="22" t="str">
        <f aca="false">IF(AND(ISNUMBER(F959),ISNUMBER(G959)),IF(E959=G959,15,0),"")</f>
        <v/>
      </c>
      <c r="K959" s="22" t="str">
        <f aca="false">IF(AND(ISNUMBER(F959),ISNUMBER(G959)),IF(ABS(D959-E959)=ABS(F959-G959),12,0),"")</f>
        <v/>
      </c>
      <c r="L959" s="23" t="str">
        <f aca="false">IF(ISNUMBER(H959),H959+I959+J959+K959,"")</f>
        <v/>
      </c>
    </row>
    <row r="960" customFormat="false" ht="18" hidden="false" customHeight="true" outlineLevel="0" collapsed="false">
      <c r="A960" s="25" t="s">
        <v>9</v>
      </c>
      <c r="B960" s="32" t="s">
        <v>161</v>
      </c>
      <c r="C960" s="27" t="s">
        <v>78</v>
      </c>
      <c r="D960" s="28" t="n">
        <v>2</v>
      </c>
      <c r="E960" s="28" t="n">
        <v>0</v>
      </c>
      <c r="F960" s="29" t="n">
        <f aca="false">'📋 Matches'!E24</f>
        <v>0</v>
      </c>
      <c r="G960" s="29" t="n">
        <f aca="false">'📋 Matches'!F24</f>
        <v>0</v>
      </c>
      <c r="H960" s="22" t="str">
        <f aca="false">IF(AND(ISNUMBER(F960),ISNUMBER(G960)),IF(SIGN(D960-E960)=SIGN(F960-G960),48,0),"")</f>
        <v/>
      </c>
      <c r="I960" s="22" t="str">
        <f aca="false">IF(AND(ISNUMBER(F960),ISNUMBER(G960)),IF(D960=F960,15,0),"")</f>
        <v/>
      </c>
      <c r="J960" s="22" t="str">
        <f aca="false">IF(AND(ISNUMBER(F960),ISNUMBER(G960)),IF(E960=G960,15,0),"")</f>
        <v/>
      </c>
      <c r="K960" s="22" t="str">
        <f aca="false">IF(AND(ISNUMBER(F960),ISNUMBER(G960)),IF(ABS(D960-E960)=ABS(F960-G960),12,0),"")</f>
        <v/>
      </c>
      <c r="L960" s="23" t="str">
        <f aca="false">IF(ISNUMBER(H960),H960+I960+J960+K960,"")</f>
        <v/>
      </c>
    </row>
    <row r="961" customFormat="false" ht="18" hidden="false" customHeight="true" outlineLevel="0" collapsed="false">
      <c r="A961" s="25" t="s">
        <v>9</v>
      </c>
      <c r="B961" s="32" t="s">
        <v>161</v>
      </c>
      <c r="C961" s="27" t="s">
        <v>81</v>
      </c>
      <c r="D961" s="28" t="n">
        <v>2</v>
      </c>
      <c r="E961" s="28" t="n">
        <v>2</v>
      </c>
      <c r="F961" s="29" t="n">
        <f aca="false">'📋 Matches'!E25</f>
        <v>0</v>
      </c>
      <c r="G961" s="29" t="n">
        <f aca="false">'📋 Matches'!F25</f>
        <v>0</v>
      </c>
      <c r="H961" s="22" t="str">
        <f aca="false">IF(AND(ISNUMBER(F961),ISNUMBER(G961)),IF(SIGN(D961-E961)=SIGN(F961-G961),48,0),"")</f>
        <v/>
      </c>
      <c r="I961" s="22" t="str">
        <f aca="false">IF(AND(ISNUMBER(F961),ISNUMBER(G961)),IF(D961=F961,15,0),"")</f>
        <v/>
      </c>
      <c r="J961" s="22" t="str">
        <f aca="false">IF(AND(ISNUMBER(F961),ISNUMBER(G961)),IF(E961=G961,15,0),"")</f>
        <v/>
      </c>
      <c r="K961" s="22" t="str">
        <f aca="false">IF(AND(ISNUMBER(F961),ISNUMBER(G961)),IF(ABS(D961-E961)=ABS(F961-G961),12,0),"")</f>
        <v/>
      </c>
      <c r="L961" s="23" t="str">
        <f aca="false">IF(ISNUMBER(H961),H961+I961+J961+K961,"")</f>
        <v/>
      </c>
    </row>
    <row r="962" customFormat="false" ht="18" hidden="false" customHeight="true" outlineLevel="0" collapsed="false">
      <c r="A962" s="25" t="s">
        <v>84</v>
      </c>
      <c r="B962" s="32" t="s">
        <v>161</v>
      </c>
      <c r="C962" s="27" t="s">
        <v>85</v>
      </c>
      <c r="D962" s="28"/>
      <c r="E962" s="28"/>
      <c r="F962" s="29" t="n">
        <f aca="false">'📋 Matches'!E26</f>
        <v>0</v>
      </c>
      <c r="G962" s="29" t="n">
        <f aca="false">'📋 Matches'!F26</f>
        <v>0</v>
      </c>
      <c r="H962" s="30" t="s">
        <v>148</v>
      </c>
      <c r="I962" s="30" t="s">
        <v>148</v>
      </c>
      <c r="J962" s="30" t="s">
        <v>148</v>
      </c>
      <c r="K962" s="30" t="s">
        <v>148</v>
      </c>
      <c r="L962" s="30" t="s">
        <v>148</v>
      </c>
    </row>
    <row r="963" customFormat="false" ht="18" hidden="false" customHeight="true" outlineLevel="0" collapsed="false">
      <c r="A963" s="25" t="s">
        <v>84</v>
      </c>
      <c r="B963" s="32" t="s">
        <v>161</v>
      </c>
      <c r="C963" s="27" t="s">
        <v>87</v>
      </c>
      <c r="D963" s="28"/>
      <c r="E963" s="28"/>
      <c r="F963" s="29" t="n">
        <f aca="false">'📋 Matches'!E27</f>
        <v>0</v>
      </c>
      <c r="G963" s="29" t="n">
        <f aca="false">'📋 Matches'!F27</f>
        <v>0</v>
      </c>
      <c r="H963" s="30" t="s">
        <v>148</v>
      </c>
      <c r="I963" s="30" t="s">
        <v>148</v>
      </c>
      <c r="J963" s="30" t="s">
        <v>148</v>
      </c>
      <c r="K963" s="30" t="s">
        <v>148</v>
      </c>
      <c r="L963" s="30" t="s">
        <v>148</v>
      </c>
    </row>
    <row r="964" customFormat="false" ht="18" hidden="false" customHeight="true" outlineLevel="0" collapsed="false">
      <c r="A964" s="25" t="s">
        <v>84</v>
      </c>
      <c r="B964" s="32" t="s">
        <v>161</v>
      </c>
      <c r="C964" s="27" t="s">
        <v>89</v>
      </c>
      <c r="D964" s="28"/>
      <c r="E964" s="28"/>
      <c r="F964" s="29" t="n">
        <f aca="false">'📋 Matches'!E28</f>
        <v>0</v>
      </c>
      <c r="G964" s="29" t="n">
        <f aca="false">'📋 Matches'!F28</f>
        <v>0</v>
      </c>
      <c r="H964" s="30" t="s">
        <v>148</v>
      </c>
      <c r="I964" s="30" t="s">
        <v>148</v>
      </c>
      <c r="J964" s="30" t="s">
        <v>148</v>
      </c>
      <c r="K964" s="30" t="s">
        <v>148</v>
      </c>
      <c r="L964" s="30" t="s">
        <v>148</v>
      </c>
    </row>
    <row r="965" customFormat="false" ht="18" hidden="false" customHeight="true" outlineLevel="0" collapsed="false">
      <c r="A965" s="25" t="s">
        <v>84</v>
      </c>
      <c r="B965" s="32" t="s">
        <v>161</v>
      </c>
      <c r="C965" s="27" t="s">
        <v>90</v>
      </c>
      <c r="D965" s="28"/>
      <c r="E965" s="28"/>
      <c r="F965" s="29" t="n">
        <f aca="false">'📋 Matches'!E29</f>
        <v>0</v>
      </c>
      <c r="G965" s="29" t="n">
        <f aca="false">'📋 Matches'!F29</f>
        <v>0</v>
      </c>
      <c r="H965" s="30" t="s">
        <v>148</v>
      </c>
      <c r="I965" s="30" t="s">
        <v>148</v>
      </c>
      <c r="J965" s="30" t="s">
        <v>148</v>
      </c>
      <c r="K965" s="30" t="s">
        <v>148</v>
      </c>
      <c r="L965" s="30" t="s">
        <v>148</v>
      </c>
    </row>
    <row r="966" customFormat="false" ht="18" hidden="false" customHeight="true" outlineLevel="0" collapsed="false">
      <c r="A966" s="25" t="s">
        <v>84</v>
      </c>
      <c r="B966" s="32" t="s">
        <v>161</v>
      </c>
      <c r="C966" s="27" t="s">
        <v>91</v>
      </c>
      <c r="D966" s="28"/>
      <c r="E966" s="28"/>
      <c r="F966" s="29" t="n">
        <f aca="false">'📋 Matches'!E30</f>
        <v>0</v>
      </c>
      <c r="G966" s="29" t="n">
        <f aca="false">'📋 Matches'!F30</f>
        <v>0</v>
      </c>
      <c r="H966" s="30" t="s">
        <v>148</v>
      </c>
      <c r="I966" s="30" t="s">
        <v>148</v>
      </c>
      <c r="J966" s="30" t="s">
        <v>148</v>
      </c>
      <c r="K966" s="30" t="s">
        <v>148</v>
      </c>
      <c r="L966" s="30" t="s">
        <v>148</v>
      </c>
    </row>
    <row r="967" customFormat="false" ht="18" hidden="false" customHeight="true" outlineLevel="0" collapsed="false">
      <c r="A967" s="25" t="s">
        <v>84</v>
      </c>
      <c r="B967" s="32" t="s">
        <v>161</v>
      </c>
      <c r="C967" s="27" t="s">
        <v>92</v>
      </c>
      <c r="D967" s="28"/>
      <c r="E967" s="28"/>
      <c r="F967" s="29" t="n">
        <f aca="false">'📋 Matches'!E31</f>
        <v>0</v>
      </c>
      <c r="G967" s="29" t="n">
        <f aca="false">'📋 Matches'!F31</f>
        <v>0</v>
      </c>
      <c r="H967" s="30" t="s">
        <v>148</v>
      </c>
      <c r="I967" s="30" t="s">
        <v>148</v>
      </c>
      <c r="J967" s="30" t="s">
        <v>148</v>
      </c>
      <c r="K967" s="30" t="s">
        <v>148</v>
      </c>
      <c r="L967" s="30" t="s">
        <v>148</v>
      </c>
    </row>
    <row r="968" customFormat="false" ht="18" hidden="false" customHeight="true" outlineLevel="0" collapsed="false">
      <c r="A968" s="25" t="s">
        <v>84</v>
      </c>
      <c r="B968" s="32" t="s">
        <v>161</v>
      </c>
      <c r="C968" s="27" t="s">
        <v>93</v>
      </c>
      <c r="D968" s="28"/>
      <c r="E968" s="28"/>
      <c r="F968" s="29" t="n">
        <f aca="false">'📋 Matches'!E32</f>
        <v>0</v>
      </c>
      <c r="G968" s="29" t="n">
        <f aca="false">'📋 Matches'!F32</f>
        <v>0</v>
      </c>
      <c r="H968" s="30" t="s">
        <v>148</v>
      </c>
      <c r="I968" s="30" t="s">
        <v>148</v>
      </c>
      <c r="J968" s="30" t="s">
        <v>148</v>
      </c>
      <c r="K968" s="30" t="s">
        <v>148</v>
      </c>
      <c r="L968" s="30" t="s">
        <v>148</v>
      </c>
    </row>
    <row r="969" customFormat="false" ht="18" hidden="false" customHeight="true" outlineLevel="0" collapsed="false">
      <c r="A969" s="25" t="s">
        <v>84</v>
      </c>
      <c r="B969" s="32" t="s">
        <v>161</v>
      </c>
      <c r="C969" s="27" t="s">
        <v>94</v>
      </c>
      <c r="D969" s="28"/>
      <c r="E969" s="28"/>
      <c r="F969" s="29" t="n">
        <f aca="false">'📋 Matches'!E33</f>
        <v>0</v>
      </c>
      <c r="G969" s="29" t="n">
        <f aca="false">'📋 Matches'!F33</f>
        <v>0</v>
      </c>
      <c r="H969" s="30" t="s">
        <v>148</v>
      </c>
      <c r="I969" s="30" t="s">
        <v>148</v>
      </c>
      <c r="J969" s="30" t="s">
        <v>148</v>
      </c>
      <c r="K969" s="30" t="s">
        <v>148</v>
      </c>
      <c r="L969" s="30" t="s">
        <v>148</v>
      </c>
    </row>
    <row r="970" customFormat="false" ht="18" hidden="false" customHeight="true" outlineLevel="0" collapsed="false">
      <c r="A970" s="25" t="s">
        <v>84</v>
      </c>
      <c r="B970" s="32" t="s">
        <v>161</v>
      </c>
      <c r="C970" s="27" t="s">
        <v>96</v>
      </c>
      <c r="D970" s="28"/>
      <c r="E970" s="28"/>
      <c r="F970" s="29" t="n">
        <f aca="false">'📋 Matches'!E34</f>
        <v>0</v>
      </c>
      <c r="G970" s="29" t="n">
        <f aca="false">'📋 Matches'!F34</f>
        <v>0</v>
      </c>
      <c r="H970" s="30" t="s">
        <v>148</v>
      </c>
      <c r="I970" s="30" t="s">
        <v>148</v>
      </c>
      <c r="J970" s="30" t="s">
        <v>148</v>
      </c>
      <c r="K970" s="30" t="s">
        <v>148</v>
      </c>
      <c r="L970" s="30" t="s">
        <v>148</v>
      </c>
    </row>
    <row r="971" customFormat="false" ht="18" hidden="false" customHeight="true" outlineLevel="0" collapsed="false">
      <c r="A971" s="25" t="s">
        <v>84</v>
      </c>
      <c r="B971" s="32" t="s">
        <v>161</v>
      </c>
      <c r="C971" s="27" t="s">
        <v>97</v>
      </c>
      <c r="D971" s="28"/>
      <c r="E971" s="28"/>
      <c r="F971" s="29" t="n">
        <f aca="false">'📋 Matches'!E35</f>
        <v>0</v>
      </c>
      <c r="G971" s="29" t="n">
        <f aca="false">'📋 Matches'!F35</f>
        <v>0</v>
      </c>
      <c r="H971" s="30" t="s">
        <v>148</v>
      </c>
      <c r="I971" s="30" t="s">
        <v>148</v>
      </c>
      <c r="J971" s="30" t="s">
        <v>148</v>
      </c>
      <c r="K971" s="30" t="s">
        <v>148</v>
      </c>
      <c r="L971" s="30" t="s">
        <v>148</v>
      </c>
    </row>
    <row r="972" customFormat="false" ht="18" hidden="false" customHeight="true" outlineLevel="0" collapsed="false">
      <c r="A972" s="25" t="s">
        <v>84</v>
      </c>
      <c r="B972" s="32" t="s">
        <v>161</v>
      </c>
      <c r="C972" s="27" t="s">
        <v>98</v>
      </c>
      <c r="D972" s="28"/>
      <c r="E972" s="28"/>
      <c r="F972" s="29" t="n">
        <f aca="false">'📋 Matches'!E36</f>
        <v>0</v>
      </c>
      <c r="G972" s="29" t="n">
        <f aca="false">'📋 Matches'!F36</f>
        <v>0</v>
      </c>
      <c r="H972" s="30" t="s">
        <v>148</v>
      </c>
      <c r="I972" s="30" t="s">
        <v>148</v>
      </c>
      <c r="J972" s="30" t="s">
        <v>148</v>
      </c>
      <c r="K972" s="30" t="s">
        <v>148</v>
      </c>
      <c r="L972" s="30" t="s">
        <v>148</v>
      </c>
    </row>
    <row r="973" customFormat="false" ht="18" hidden="false" customHeight="true" outlineLevel="0" collapsed="false">
      <c r="A973" s="25" t="s">
        <v>84</v>
      </c>
      <c r="B973" s="32" t="s">
        <v>161</v>
      </c>
      <c r="C973" s="27" t="s">
        <v>100</v>
      </c>
      <c r="D973" s="28"/>
      <c r="E973" s="28"/>
      <c r="F973" s="29" t="n">
        <f aca="false">'📋 Matches'!E37</f>
        <v>0</v>
      </c>
      <c r="G973" s="29" t="n">
        <f aca="false">'📋 Matches'!F37</f>
        <v>0</v>
      </c>
      <c r="H973" s="30" t="s">
        <v>148</v>
      </c>
      <c r="I973" s="30" t="s">
        <v>148</v>
      </c>
      <c r="J973" s="30" t="s">
        <v>148</v>
      </c>
      <c r="K973" s="30" t="s">
        <v>148</v>
      </c>
      <c r="L973" s="30" t="s">
        <v>148</v>
      </c>
    </row>
    <row r="974" customFormat="false" ht="18" hidden="false" customHeight="true" outlineLevel="0" collapsed="false">
      <c r="A974" s="25" t="s">
        <v>84</v>
      </c>
      <c r="B974" s="32" t="s">
        <v>161</v>
      </c>
      <c r="C974" s="27" t="s">
        <v>101</v>
      </c>
      <c r="D974" s="28"/>
      <c r="E974" s="28"/>
      <c r="F974" s="29" t="n">
        <f aca="false">'📋 Matches'!E38</f>
        <v>0</v>
      </c>
      <c r="G974" s="29" t="n">
        <f aca="false">'📋 Matches'!F38</f>
        <v>0</v>
      </c>
      <c r="H974" s="30" t="s">
        <v>148</v>
      </c>
      <c r="I974" s="30" t="s">
        <v>148</v>
      </c>
      <c r="J974" s="30" t="s">
        <v>148</v>
      </c>
      <c r="K974" s="30" t="s">
        <v>148</v>
      </c>
      <c r="L974" s="30" t="s">
        <v>148</v>
      </c>
    </row>
    <row r="975" customFormat="false" ht="18" hidden="false" customHeight="true" outlineLevel="0" collapsed="false">
      <c r="A975" s="25" t="s">
        <v>84</v>
      </c>
      <c r="B975" s="32" t="s">
        <v>161</v>
      </c>
      <c r="C975" s="27" t="s">
        <v>102</v>
      </c>
      <c r="D975" s="28"/>
      <c r="E975" s="28"/>
      <c r="F975" s="29" t="n">
        <f aca="false">'📋 Matches'!E39</f>
        <v>0</v>
      </c>
      <c r="G975" s="29" t="n">
        <f aca="false">'📋 Matches'!F39</f>
        <v>0</v>
      </c>
      <c r="H975" s="30" t="s">
        <v>148</v>
      </c>
      <c r="I975" s="30" t="s">
        <v>148</v>
      </c>
      <c r="J975" s="30" t="s">
        <v>148</v>
      </c>
      <c r="K975" s="30" t="s">
        <v>148</v>
      </c>
      <c r="L975" s="30" t="s">
        <v>148</v>
      </c>
    </row>
    <row r="976" customFormat="false" ht="18" hidden="false" customHeight="true" outlineLevel="0" collapsed="false">
      <c r="A976" s="25" t="s">
        <v>84</v>
      </c>
      <c r="B976" s="32" t="s">
        <v>161</v>
      </c>
      <c r="C976" s="27" t="s">
        <v>103</v>
      </c>
      <c r="D976" s="28"/>
      <c r="E976" s="28"/>
      <c r="F976" s="29" t="n">
        <f aca="false">'📋 Matches'!E40</f>
        <v>0</v>
      </c>
      <c r="G976" s="29" t="n">
        <f aca="false">'📋 Matches'!F40</f>
        <v>0</v>
      </c>
      <c r="H976" s="30" t="s">
        <v>148</v>
      </c>
      <c r="I976" s="30" t="s">
        <v>148</v>
      </c>
      <c r="J976" s="30" t="s">
        <v>148</v>
      </c>
      <c r="K976" s="30" t="s">
        <v>148</v>
      </c>
      <c r="L976" s="30" t="s">
        <v>148</v>
      </c>
    </row>
    <row r="977" customFormat="false" ht="18" hidden="false" customHeight="true" outlineLevel="0" collapsed="false">
      <c r="A977" s="25" t="s">
        <v>84</v>
      </c>
      <c r="B977" s="32" t="s">
        <v>161</v>
      </c>
      <c r="C977" s="27" t="s">
        <v>104</v>
      </c>
      <c r="D977" s="28"/>
      <c r="E977" s="28"/>
      <c r="F977" s="29" t="n">
        <f aca="false">'📋 Matches'!E41</f>
        <v>0</v>
      </c>
      <c r="G977" s="29" t="n">
        <f aca="false">'📋 Matches'!F41</f>
        <v>0</v>
      </c>
      <c r="H977" s="30" t="s">
        <v>148</v>
      </c>
      <c r="I977" s="30" t="s">
        <v>148</v>
      </c>
      <c r="J977" s="30" t="s">
        <v>148</v>
      </c>
      <c r="K977" s="30" t="s">
        <v>148</v>
      </c>
      <c r="L977" s="30" t="s">
        <v>148</v>
      </c>
    </row>
    <row r="978" customFormat="false" ht="18" hidden="false" customHeight="true" outlineLevel="0" collapsed="false">
      <c r="A978" s="25" t="s">
        <v>84</v>
      </c>
      <c r="B978" s="32" t="s">
        <v>161</v>
      </c>
      <c r="C978" s="27" t="s">
        <v>105</v>
      </c>
      <c r="D978" s="28"/>
      <c r="E978" s="28"/>
      <c r="F978" s="29" t="n">
        <f aca="false">'📋 Matches'!E42</f>
        <v>0</v>
      </c>
      <c r="G978" s="29" t="n">
        <f aca="false">'📋 Matches'!F42</f>
        <v>0</v>
      </c>
      <c r="H978" s="30" t="s">
        <v>148</v>
      </c>
      <c r="I978" s="30" t="s">
        <v>148</v>
      </c>
      <c r="J978" s="30" t="s">
        <v>148</v>
      </c>
      <c r="K978" s="30" t="s">
        <v>148</v>
      </c>
      <c r="L978" s="30" t="s">
        <v>148</v>
      </c>
    </row>
    <row r="979" customFormat="false" ht="18" hidden="false" customHeight="true" outlineLevel="0" collapsed="false">
      <c r="A979" s="25" t="s">
        <v>84</v>
      </c>
      <c r="B979" s="32" t="s">
        <v>161</v>
      </c>
      <c r="C979" s="27" t="s">
        <v>106</v>
      </c>
      <c r="D979" s="28"/>
      <c r="E979" s="28"/>
      <c r="F979" s="29" t="n">
        <f aca="false">'📋 Matches'!E43</f>
        <v>0</v>
      </c>
      <c r="G979" s="29" t="n">
        <f aca="false">'📋 Matches'!F43</f>
        <v>0</v>
      </c>
      <c r="H979" s="30" t="s">
        <v>148</v>
      </c>
      <c r="I979" s="30" t="s">
        <v>148</v>
      </c>
      <c r="J979" s="30" t="s">
        <v>148</v>
      </c>
      <c r="K979" s="30" t="s">
        <v>148</v>
      </c>
      <c r="L979" s="30" t="s">
        <v>148</v>
      </c>
    </row>
    <row r="980" customFormat="false" ht="18" hidden="false" customHeight="true" outlineLevel="0" collapsed="false">
      <c r="A980" s="25" t="s">
        <v>84</v>
      </c>
      <c r="B980" s="32" t="s">
        <v>161</v>
      </c>
      <c r="C980" s="27" t="s">
        <v>107</v>
      </c>
      <c r="D980" s="28"/>
      <c r="E980" s="28"/>
      <c r="F980" s="29" t="n">
        <f aca="false">'📋 Matches'!E44</f>
        <v>0</v>
      </c>
      <c r="G980" s="29" t="n">
        <f aca="false">'📋 Matches'!F44</f>
        <v>0</v>
      </c>
      <c r="H980" s="30" t="s">
        <v>148</v>
      </c>
      <c r="I980" s="30" t="s">
        <v>148</v>
      </c>
      <c r="J980" s="30" t="s">
        <v>148</v>
      </c>
      <c r="K980" s="30" t="s">
        <v>148</v>
      </c>
      <c r="L980" s="30" t="s">
        <v>148</v>
      </c>
    </row>
    <row r="981" customFormat="false" ht="18" hidden="false" customHeight="true" outlineLevel="0" collapsed="false">
      <c r="A981" s="25" t="s">
        <v>84</v>
      </c>
      <c r="B981" s="32" t="s">
        <v>161</v>
      </c>
      <c r="C981" s="27" t="s">
        <v>108</v>
      </c>
      <c r="D981" s="28"/>
      <c r="E981" s="28"/>
      <c r="F981" s="29" t="n">
        <f aca="false">'📋 Matches'!E45</f>
        <v>0</v>
      </c>
      <c r="G981" s="29" t="n">
        <f aca="false">'📋 Matches'!F45</f>
        <v>0</v>
      </c>
      <c r="H981" s="30" t="s">
        <v>148</v>
      </c>
      <c r="I981" s="30" t="s">
        <v>148</v>
      </c>
      <c r="J981" s="30" t="s">
        <v>148</v>
      </c>
      <c r="K981" s="30" t="s">
        <v>148</v>
      </c>
      <c r="L981" s="30" t="s">
        <v>148</v>
      </c>
    </row>
    <row r="982" customFormat="false" ht="18" hidden="false" customHeight="true" outlineLevel="0" collapsed="false">
      <c r="A982" s="25" t="s">
        <v>84</v>
      </c>
      <c r="B982" s="32" t="s">
        <v>161</v>
      </c>
      <c r="C982" s="27" t="s">
        <v>109</v>
      </c>
      <c r="D982" s="28"/>
      <c r="E982" s="28"/>
      <c r="F982" s="29" t="n">
        <f aca="false">'📋 Matches'!E46</f>
        <v>0</v>
      </c>
      <c r="G982" s="29" t="n">
        <f aca="false">'📋 Matches'!F46</f>
        <v>0</v>
      </c>
      <c r="H982" s="30" t="s">
        <v>148</v>
      </c>
      <c r="I982" s="30" t="s">
        <v>148</v>
      </c>
      <c r="J982" s="30" t="s">
        <v>148</v>
      </c>
      <c r="K982" s="30" t="s">
        <v>148</v>
      </c>
      <c r="L982" s="30" t="s">
        <v>148</v>
      </c>
    </row>
    <row r="983" customFormat="false" ht="18" hidden="false" customHeight="true" outlineLevel="0" collapsed="false">
      <c r="A983" s="25" t="s">
        <v>84</v>
      </c>
      <c r="B983" s="32" t="s">
        <v>161</v>
      </c>
      <c r="C983" s="27" t="s">
        <v>110</v>
      </c>
      <c r="D983" s="28"/>
      <c r="E983" s="28"/>
      <c r="F983" s="29" t="n">
        <f aca="false">'📋 Matches'!E47</f>
        <v>0</v>
      </c>
      <c r="G983" s="29" t="n">
        <f aca="false">'📋 Matches'!F47</f>
        <v>0</v>
      </c>
      <c r="H983" s="30" t="s">
        <v>148</v>
      </c>
      <c r="I983" s="30" t="s">
        <v>148</v>
      </c>
      <c r="J983" s="30" t="s">
        <v>148</v>
      </c>
      <c r="K983" s="30" t="s">
        <v>148</v>
      </c>
      <c r="L983" s="30" t="s">
        <v>148</v>
      </c>
    </row>
    <row r="984" customFormat="false" ht="18" hidden="false" customHeight="true" outlineLevel="0" collapsed="false">
      <c r="A984" s="25" t="s">
        <v>84</v>
      </c>
      <c r="B984" s="32" t="s">
        <v>161</v>
      </c>
      <c r="C984" s="27" t="s">
        <v>111</v>
      </c>
      <c r="D984" s="28"/>
      <c r="E984" s="28"/>
      <c r="F984" s="29" t="n">
        <f aca="false">'📋 Matches'!E48</f>
        <v>0</v>
      </c>
      <c r="G984" s="29" t="n">
        <f aca="false">'📋 Matches'!F48</f>
        <v>0</v>
      </c>
      <c r="H984" s="30" t="s">
        <v>148</v>
      </c>
      <c r="I984" s="30" t="s">
        <v>148</v>
      </c>
      <c r="J984" s="30" t="s">
        <v>148</v>
      </c>
      <c r="K984" s="30" t="s">
        <v>148</v>
      </c>
      <c r="L984" s="30" t="s">
        <v>148</v>
      </c>
    </row>
    <row r="985" customFormat="false" ht="18" hidden="false" customHeight="true" outlineLevel="0" collapsed="false">
      <c r="A985" s="25" t="s">
        <v>84</v>
      </c>
      <c r="B985" s="32" t="s">
        <v>161</v>
      </c>
      <c r="C985" s="27" t="s">
        <v>112</v>
      </c>
      <c r="D985" s="28"/>
      <c r="E985" s="28"/>
      <c r="F985" s="29" t="n">
        <f aca="false">'📋 Matches'!E49</f>
        <v>0</v>
      </c>
      <c r="G985" s="29" t="n">
        <f aca="false">'📋 Matches'!F49</f>
        <v>0</v>
      </c>
      <c r="H985" s="30" t="s">
        <v>148</v>
      </c>
      <c r="I985" s="30" t="s">
        <v>148</v>
      </c>
      <c r="J985" s="30" t="s">
        <v>148</v>
      </c>
      <c r="K985" s="30" t="s">
        <v>148</v>
      </c>
      <c r="L985" s="30" t="s">
        <v>148</v>
      </c>
    </row>
    <row r="986" customFormat="false" ht="18" hidden="false" customHeight="true" outlineLevel="0" collapsed="false">
      <c r="A986" s="25" t="s">
        <v>114</v>
      </c>
      <c r="B986" s="32" t="s">
        <v>161</v>
      </c>
      <c r="C986" s="27" t="s">
        <v>115</v>
      </c>
      <c r="D986" s="28"/>
      <c r="E986" s="28"/>
      <c r="F986" s="29" t="n">
        <f aca="false">'📋 Matches'!E50</f>
        <v>0</v>
      </c>
      <c r="G986" s="29" t="n">
        <f aca="false">'📋 Matches'!F50</f>
        <v>0</v>
      </c>
      <c r="H986" s="30" t="s">
        <v>148</v>
      </c>
      <c r="I986" s="30" t="s">
        <v>148</v>
      </c>
      <c r="J986" s="30" t="s">
        <v>148</v>
      </c>
      <c r="K986" s="30" t="s">
        <v>148</v>
      </c>
      <c r="L986" s="30" t="s">
        <v>148</v>
      </c>
    </row>
    <row r="987" customFormat="false" ht="18" hidden="false" customHeight="true" outlineLevel="0" collapsed="false">
      <c r="A987" s="25" t="s">
        <v>114</v>
      </c>
      <c r="B987" s="32" t="s">
        <v>161</v>
      </c>
      <c r="C987" s="27" t="s">
        <v>116</v>
      </c>
      <c r="D987" s="28"/>
      <c r="E987" s="28"/>
      <c r="F987" s="29" t="n">
        <f aca="false">'📋 Matches'!E51</f>
        <v>0</v>
      </c>
      <c r="G987" s="29" t="n">
        <f aca="false">'📋 Matches'!F51</f>
        <v>0</v>
      </c>
      <c r="H987" s="30" t="s">
        <v>148</v>
      </c>
      <c r="I987" s="30" t="s">
        <v>148</v>
      </c>
      <c r="J987" s="30" t="s">
        <v>148</v>
      </c>
      <c r="K987" s="30" t="s">
        <v>148</v>
      </c>
      <c r="L987" s="30" t="s">
        <v>148</v>
      </c>
    </row>
    <row r="988" customFormat="false" ht="18" hidden="false" customHeight="true" outlineLevel="0" collapsed="false">
      <c r="A988" s="25" t="s">
        <v>114</v>
      </c>
      <c r="B988" s="32" t="s">
        <v>161</v>
      </c>
      <c r="C988" s="27" t="s">
        <v>117</v>
      </c>
      <c r="D988" s="28"/>
      <c r="E988" s="28"/>
      <c r="F988" s="29" t="n">
        <f aca="false">'📋 Matches'!E52</f>
        <v>0</v>
      </c>
      <c r="G988" s="29" t="n">
        <f aca="false">'📋 Matches'!F52</f>
        <v>0</v>
      </c>
      <c r="H988" s="30" t="s">
        <v>148</v>
      </c>
      <c r="I988" s="30" t="s">
        <v>148</v>
      </c>
      <c r="J988" s="30" t="s">
        <v>148</v>
      </c>
      <c r="K988" s="30" t="s">
        <v>148</v>
      </c>
      <c r="L988" s="30" t="s">
        <v>148</v>
      </c>
    </row>
    <row r="989" customFormat="false" ht="18" hidden="false" customHeight="true" outlineLevel="0" collapsed="false">
      <c r="A989" s="25" t="s">
        <v>114</v>
      </c>
      <c r="B989" s="32" t="s">
        <v>161</v>
      </c>
      <c r="C989" s="27" t="s">
        <v>118</v>
      </c>
      <c r="D989" s="28"/>
      <c r="E989" s="28"/>
      <c r="F989" s="29" t="n">
        <f aca="false">'📋 Matches'!E53</f>
        <v>0</v>
      </c>
      <c r="G989" s="29" t="n">
        <f aca="false">'📋 Matches'!F53</f>
        <v>0</v>
      </c>
      <c r="H989" s="30" t="s">
        <v>148</v>
      </c>
      <c r="I989" s="30" t="s">
        <v>148</v>
      </c>
      <c r="J989" s="30" t="s">
        <v>148</v>
      </c>
      <c r="K989" s="30" t="s">
        <v>148</v>
      </c>
      <c r="L989" s="30" t="s">
        <v>148</v>
      </c>
    </row>
    <row r="990" customFormat="false" ht="18" hidden="false" customHeight="true" outlineLevel="0" collapsed="false">
      <c r="A990" s="25" t="s">
        <v>114</v>
      </c>
      <c r="B990" s="32" t="s">
        <v>161</v>
      </c>
      <c r="C990" s="27" t="s">
        <v>119</v>
      </c>
      <c r="D990" s="28"/>
      <c r="E990" s="28"/>
      <c r="F990" s="29" t="n">
        <f aca="false">'📋 Matches'!E54</f>
        <v>0</v>
      </c>
      <c r="G990" s="29" t="n">
        <f aca="false">'📋 Matches'!F54</f>
        <v>0</v>
      </c>
      <c r="H990" s="30" t="s">
        <v>148</v>
      </c>
      <c r="I990" s="30" t="s">
        <v>148</v>
      </c>
      <c r="J990" s="30" t="s">
        <v>148</v>
      </c>
      <c r="K990" s="30" t="s">
        <v>148</v>
      </c>
      <c r="L990" s="30" t="s">
        <v>148</v>
      </c>
    </row>
    <row r="991" customFormat="false" ht="18" hidden="false" customHeight="true" outlineLevel="0" collapsed="false">
      <c r="A991" s="25" t="s">
        <v>114</v>
      </c>
      <c r="B991" s="32" t="s">
        <v>161</v>
      </c>
      <c r="C991" s="27" t="s">
        <v>120</v>
      </c>
      <c r="D991" s="28"/>
      <c r="E991" s="28"/>
      <c r="F991" s="29" t="n">
        <f aca="false">'📋 Matches'!E55</f>
        <v>0</v>
      </c>
      <c r="G991" s="29" t="n">
        <f aca="false">'📋 Matches'!F55</f>
        <v>0</v>
      </c>
      <c r="H991" s="30" t="s">
        <v>148</v>
      </c>
      <c r="I991" s="30" t="s">
        <v>148</v>
      </c>
      <c r="J991" s="30" t="s">
        <v>148</v>
      </c>
      <c r="K991" s="30" t="s">
        <v>148</v>
      </c>
      <c r="L991" s="30" t="s">
        <v>148</v>
      </c>
    </row>
    <row r="992" customFormat="false" ht="18" hidden="false" customHeight="true" outlineLevel="0" collapsed="false">
      <c r="A992" s="25" t="s">
        <v>114</v>
      </c>
      <c r="B992" s="32" t="s">
        <v>161</v>
      </c>
      <c r="C992" s="27" t="s">
        <v>121</v>
      </c>
      <c r="D992" s="28"/>
      <c r="E992" s="28"/>
      <c r="F992" s="29" t="n">
        <f aca="false">'📋 Matches'!E56</f>
        <v>0</v>
      </c>
      <c r="G992" s="29" t="n">
        <f aca="false">'📋 Matches'!F56</f>
        <v>0</v>
      </c>
      <c r="H992" s="30" t="s">
        <v>148</v>
      </c>
      <c r="I992" s="30" t="s">
        <v>148</v>
      </c>
      <c r="J992" s="30" t="s">
        <v>148</v>
      </c>
      <c r="K992" s="30" t="s">
        <v>148</v>
      </c>
      <c r="L992" s="30" t="s">
        <v>148</v>
      </c>
    </row>
    <row r="993" customFormat="false" ht="18" hidden="false" customHeight="true" outlineLevel="0" collapsed="false">
      <c r="A993" s="25" t="s">
        <v>114</v>
      </c>
      <c r="B993" s="32" t="s">
        <v>161</v>
      </c>
      <c r="C993" s="27" t="s">
        <v>122</v>
      </c>
      <c r="D993" s="28"/>
      <c r="E993" s="28"/>
      <c r="F993" s="29" t="n">
        <f aca="false">'📋 Matches'!E57</f>
        <v>0</v>
      </c>
      <c r="G993" s="29" t="n">
        <f aca="false">'📋 Matches'!F57</f>
        <v>0</v>
      </c>
      <c r="H993" s="30" t="s">
        <v>148</v>
      </c>
      <c r="I993" s="30" t="s">
        <v>148</v>
      </c>
      <c r="J993" s="30" t="s">
        <v>148</v>
      </c>
      <c r="K993" s="30" t="s">
        <v>148</v>
      </c>
      <c r="L993" s="30" t="s">
        <v>148</v>
      </c>
    </row>
    <row r="994" customFormat="false" ht="18" hidden="false" customHeight="true" outlineLevel="0" collapsed="false">
      <c r="A994" s="25" t="s">
        <v>114</v>
      </c>
      <c r="B994" s="32" t="s">
        <v>161</v>
      </c>
      <c r="C994" s="27" t="s">
        <v>123</v>
      </c>
      <c r="D994" s="28"/>
      <c r="E994" s="28"/>
      <c r="F994" s="29" t="n">
        <f aca="false">'📋 Matches'!E58</f>
        <v>0</v>
      </c>
      <c r="G994" s="29" t="n">
        <f aca="false">'📋 Matches'!F58</f>
        <v>0</v>
      </c>
      <c r="H994" s="30" t="s">
        <v>148</v>
      </c>
      <c r="I994" s="30" t="s">
        <v>148</v>
      </c>
      <c r="J994" s="30" t="s">
        <v>148</v>
      </c>
      <c r="K994" s="30" t="s">
        <v>148</v>
      </c>
      <c r="L994" s="30" t="s">
        <v>148</v>
      </c>
    </row>
    <row r="995" customFormat="false" ht="18" hidden="false" customHeight="true" outlineLevel="0" collapsed="false">
      <c r="A995" s="25" t="s">
        <v>114</v>
      </c>
      <c r="B995" s="32" t="s">
        <v>161</v>
      </c>
      <c r="C995" s="27" t="s">
        <v>124</v>
      </c>
      <c r="D995" s="28"/>
      <c r="E995" s="28"/>
      <c r="F995" s="29" t="n">
        <f aca="false">'📋 Matches'!E59</f>
        <v>0</v>
      </c>
      <c r="G995" s="29" t="n">
        <f aca="false">'📋 Matches'!F59</f>
        <v>0</v>
      </c>
      <c r="H995" s="30" t="s">
        <v>148</v>
      </c>
      <c r="I995" s="30" t="s">
        <v>148</v>
      </c>
      <c r="J995" s="30" t="s">
        <v>148</v>
      </c>
      <c r="K995" s="30" t="s">
        <v>148</v>
      </c>
      <c r="L995" s="30" t="s">
        <v>148</v>
      </c>
    </row>
    <row r="996" customFormat="false" ht="18" hidden="false" customHeight="true" outlineLevel="0" collapsed="false">
      <c r="A996" s="25" t="s">
        <v>114</v>
      </c>
      <c r="B996" s="32" t="s">
        <v>161</v>
      </c>
      <c r="C996" s="27" t="s">
        <v>125</v>
      </c>
      <c r="D996" s="28"/>
      <c r="E996" s="28"/>
      <c r="F996" s="29" t="n">
        <f aca="false">'📋 Matches'!E60</f>
        <v>0</v>
      </c>
      <c r="G996" s="29" t="n">
        <f aca="false">'📋 Matches'!F60</f>
        <v>0</v>
      </c>
      <c r="H996" s="30" t="s">
        <v>148</v>
      </c>
      <c r="I996" s="30" t="s">
        <v>148</v>
      </c>
      <c r="J996" s="30" t="s">
        <v>148</v>
      </c>
      <c r="K996" s="30" t="s">
        <v>148</v>
      </c>
      <c r="L996" s="30" t="s">
        <v>148</v>
      </c>
    </row>
    <row r="997" customFormat="false" ht="18" hidden="false" customHeight="true" outlineLevel="0" collapsed="false">
      <c r="A997" s="25" t="s">
        <v>114</v>
      </c>
      <c r="B997" s="32" t="s">
        <v>161</v>
      </c>
      <c r="C997" s="27" t="s">
        <v>126</v>
      </c>
      <c r="D997" s="28"/>
      <c r="E997" s="28"/>
      <c r="F997" s="29" t="n">
        <f aca="false">'📋 Matches'!E61</f>
        <v>0</v>
      </c>
      <c r="G997" s="29" t="n">
        <f aca="false">'📋 Matches'!F61</f>
        <v>0</v>
      </c>
      <c r="H997" s="30" t="s">
        <v>148</v>
      </c>
      <c r="I997" s="30" t="s">
        <v>148</v>
      </c>
      <c r="J997" s="30" t="s">
        <v>148</v>
      </c>
      <c r="K997" s="30" t="s">
        <v>148</v>
      </c>
      <c r="L997" s="30" t="s">
        <v>148</v>
      </c>
    </row>
    <row r="998" customFormat="false" ht="18" hidden="false" customHeight="true" outlineLevel="0" collapsed="false">
      <c r="A998" s="25" t="s">
        <v>114</v>
      </c>
      <c r="B998" s="32" t="s">
        <v>161</v>
      </c>
      <c r="C998" s="27" t="s">
        <v>127</v>
      </c>
      <c r="D998" s="28"/>
      <c r="E998" s="28"/>
      <c r="F998" s="29" t="n">
        <f aca="false">'📋 Matches'!E62</f>
        <v>0</v>
      </c>
      <c r="G998" s="29" t="n">
        <f aca="false">'📋 Matches'!F62</f>
        <v>0</v>
      </c>
      <c r="H998" s="30" t="s">
        <v>148</v>
      </c>
      <c r="I998" s="30" t="s">
        <v>148</v>
      </c>
      <c r="J998" s="30" t="s">
        <v>148</v>
      </c>
      <c r="K998" s="30" t="s">
        <v>148</v>
      </c>
      <c r="L998" s="30" t="s">
        <v>148</v>
      </c>
    </row>
    <row r="999" customFormat="false" ht="18" hidden="false" customHeight="true" outlineLevel="0" collapsed="false">
      <c r="A999" s="25" t="s">
        <v>114</v>
      </c>
      <c r="B999" s="32" t="s">
        <v>161</v>
      </c>
      <c r="C999" s="27" t="s">
        <v>128</v>
      </c>
      <c r="D999" s="28"/>
      <c r="E999" s="28"/>
      <c r="F999" s="29" t="n">
        <f aca="false">'📋 Matches'!E63</f>
        <v>0</v>
      </c>
      <c r="G999" s="29" t="n">
        <f aca="false">'📋 Matches'!F63</f>
        <v>0</v>
      </c>
      <c r="H999" s="30" t="s">
        <v>148</v>
      </c>
      <c r="I999" s="30" t="s">
        <v>148</v>
      </c>
      <c r="J999" s="30" t="s">
        <v>148</v>
      </c>
      <c r="K999" s="30" t="s">
        <v>148</v>
      </c>
      <c r="L999" s="30" t="s">
        <v>148</v>
      </c>
    </row>
    <row r="1000" customFormat="false" ht="18" hidden="false" customHeight="true" outlineLevel="0" collapsed="false">
      <c r="A1000" s="25" t="s">
        <v>114</v>
      </c>
      <c r="B1000" s="32" t="s">
        <v>161</v>
      </c>
      <c r="C1000" s="27" t="s">
        <v>129</v>
      </c>
      <c r="D1000" s="28"/>
      <c r="E1000" s="28"/>
      <c r="F1000" s="29" t="n">
        <f aca="false">'📋 Matches'!E64</f>
        <v>0</v>
      </c>
      <c r="G1000" s="29" t="n">
        <f aca="false">'📋 Matches'!F64</f>
        <v>0</v>
      </c>
      <c r="H1000" s="30" t="s">
        <v>148</v>
      </c>
      <c r="I1000" s="30" t="s">
        <v>148</v>
      </c>
      <c r="J1000" s="30" t="s">
        <v>148</v>
      </c>
      <c r="K1000" s="30" t="s">
        <v>148</v>
      </c>
      <c r="L1000" s="30" t="s">
        <v>148</v>
      </c>
    </row>
    <row r="1001" customFormat="false" ht="18" hidden="false" customHeight="true" outlineLevel="0" collapsed="false">
      <c r="A1001" s="25" t="s">
        <v>114</v>
      </c>
      <c r="B1001" s="32" t="s">
        <v>161</v>
      </c>
      <c r="C1001" s="27" t="s">
        <v>130</v>
      </c>
      <c r="D1001" s="28"/>
      <c r="E1001" s="28"/>
      <c r="F1001" s="29" t="n">
        <f aca="false">'📋 Matches'!E65</f>
        <v>0</v>
      </c>
      <c r="G1001" s="29" t="n">
        <f aca="false">'📋 Matches'!F65</f>
        <v>0</v>
      </c>
      <c r="H1001" s="30" t="s">
        <v>148</v>
      </c>
      <c r="I1001" s="30" t="s">
        <v>148</v>
      </c>
      <c r="J1001" s="30" t="s">
        <v>148</v>
      </c>
      <c r="K1001" s="30" t="s">
        <v>148</v>
      </c>
      <c r="L1001" s="30" t="s">
        <v>148</v>
      </c>
    </row>
    <row r="1002" customFormat="false" ht="18" hidden="false" customHeight="true" outlineLevel="0" collapsed="false">
      <c r="A1002" s="25" t="s">
        <v>114</v>
      </c>
      <c r="B1002" s="32" t="s">
        <v>161</v>
      </c>
      <c r="C1002" s="27" t="s">
        <v>131</v>
      </c>
      <c r="D1002" s="28"/>
      <c r="E1002" s="28"/>
      <c r="F1002" s="29" t="n">
        <f aca="false">'📋 Matches'!E66</f>
        <v>0</v>
      </c>
      <c r="G1002" s="29" t="n">
        <f aca="false">'📋 Matches'!F66</f>
        <v>0</v>
      </c>
      <c r="H1002" s="30" t="s">
        <v>148</v>
      </c>
      <c r="I1002" s="30" t="s">
        <v>148</v>
      </c>
      <c r="J1002" s="30" t="s">
        <v>148</v>
      </c>
      <c r="K1002" s="30" t="s">
        <v>148</v>
      </c>
      <c r="L1002" s="30" t="s">
        <v>148</v>
      </c>
    </row>
    <row r="1003" customFormat="false" ht="18" hidden="false" customHeight="true" outlineLevel="0" collapsed="false">
      <c r="A1003" s="25" t="s">
        <v>114</v>
      </c>
      <c r="B1003" s="32" t="s">
        <v>161</v>
      </c>
      <c r="C1003" s="27" t="s">
        <v>132</v>
      </c>
      <c r="D1003" s="28"/>
      <c r="E1003" s="28"/>
      <c r="F1003" s="29" t="n">
        <f aca="false">'📋 Matches'!E67</f>
        <v>0</v>
      </c>
      <c r="G1003" s="29" t="n">
        <f aca="false">'📋 Matches'!F67</f>
        <v>0</v>
      </c>
      <c r="H1003" s="30" t="s">
        <v>148</v>
      </c>
      <c r="I1003" s="30" t="s">
        <v>148</v>
      </c>
      <c r="J1003" s="30" t="s">
        <v>148</v>
      </c>
      <c r="K1003" s="30" t="s">
        <v>148</v>
      </c>
      <c r="L1003" s="30" t="s">
        <v>148</v>
      </c>
    </row>
    <row r="1004" customFormat="false" ht="18" hidden="false" customHeight="true" outlineLevel="0" collapsed="false">
      <c r="A1004" s="25" t="s">
        <v>114</v>
      </c>
      <c r="B1004" s="32" t="s">
        <v>161</v>
      </c>
      <c r="C1004" s="27" t="s">
        <v>133</v>
      </c>
      <c r="D1004" s="28"/>
      <c r="E1004" s="28"/>
      <c r="F1004" s="29" t="n">
        <f aca="false">'📋 Matches'!E68</f>
        <v>0</v>
      </c>
      <c r="G1004" s="29" t="n">
        <f aca="false">'📋 Matches'!F68</f>
        <v>0</v>
      </c>
      <c r="H1004" s="30" t="s">
        <v>148</v>
      </c>
      <c r="I1004" s="30" t="s">
        <v>148</v>
      </c>
      <c r="J1004" s="30" t="s">
        <v>148</v>
      </c>
      <c r="K1004" s="30" t="s">
        <v>148</v>
      </c>
      <c r="L1004" s="30" t="s">
        <v>148</v>
      </c>
    </row>
    <row r="1005" customFormat="false" ht="18" hidden="false" customHeight="true" outlineLevel="0" collapsed="false">
      <c r="A1005" s="25" t="s">
        <v>114</v>
      </c>
      <c r="B1005" s="32" t="s">
        <v>161</v>
      </c>
      <c r="C1005" s="27" t="s">
        <v>134</v>
      </c>
      <c r="D1005" s="28"/>
      <c r="E1005" s="28"/>
      <c r="F1005" s="29" t="n">
        <f aca="false">'📋 Matches'!E69</f>
        <v>0</v>
      </c>
      <c r="G1005" s="29" t="n">
        <f aca="false">'📋 Matches'!F69</f>
        <v>0</v>
      </c>
      <c r="H1005" s="30" t="s">
        <v>148</v>
      </c>
      <c r="I1005" s="30" t="s">
        <v>148</v>
      </c>
      <c r="J1005" s="30" t="s">
        <v>148</v>
      </c>
      <c r="K1005" s="30" t="s">
        <v>148</v>
      </c>
      <c r="L1005" s="30" t="s">
        <v>148</v>
      </c>
    </row>
    <row r="1006" customFormat="false" ht="18" hidden="false" customHeight="true" outlineLevel="0" collapsed="false">
      <c r="A1006" s="25" t="s">
        <v>114</v>
      </c>
      <c r="B1006" s="32" t="s">
        <v>161</v>
      </c>
      <c r="C1006" s="27" t="s">
        <v>135</v>
      </c>
      <c r="D1006" s="28"/>
      <c r="E1006" s="28"/>
      <c r="F1006" s="29" t="n">
        <f aca="false">'📋 Matches'!E70</f>
        <v>0</v>
      </c>
      <c r="G1006" s="29" t="n">
        <f aca="false">'📋 Matches'!F70</f>
        <v>0</v>
      </c>
      <c r="H1006" s="30" t="s">
        <v>148</v>
      </c>
      <c r="I1006" s="30" t="s">
        <v>148</v>
      </c>
      <c r="J1006" s="30" t="s">
        <v>148</v>
      </c>
      <c r="K1006" s="30" t="s">
        <v>148</v>
      </c>
      <c r="L1006" s="30" t="s">
        <v>148</v>
      </c>
    </row>
    <row r="1007" customFormat="false" ht="18" hidden="false" customHeight="true" outlineLevel="0" collapsed="false">
      <c r="A1007" s="25" t="s">
        <v>114</v>
      </c>
      <c r="B1007" s="32" t="s">
        <v>161</v>
      </c>
      <c r="C1007" s="27" t="s">
        <v>136</v>
      </c>
      <c r="D1007" s="28"/>
      <c r="E1007" s="28"/>
      <c r="F1007" s="29" t="n">
        <f aca="false">'📋 Matches'!E71</f>
        <v>0</v>
      </c>
      <c r="G1007" s="29" t="n">
        <f aca="false">'📋 Matches'!F71</f>
        <v>0</v>
      </c>
      <c r="H1007" s="30" t="s">
        <v>148</v>
      </c>
      <c r="I1007" s="30" t="s">
        <v>148</v>
      </c>
      <c r="J1007" s="30" t="s">
        <v>148</v>
      </c>
      <c r="K1007" s="30" t="s">
        <v>148</v>
      </c>
      <c r="L1007" s="30" t="s">
        <v>148</v>
      </c>
    </row>
    <row r="1008" customFormat="false" ht="18" hidden="false" customHeight="true" outlineLevel="0" collapsed="false">
      <c r="A1008" s="25" t="s">
        <v>114</v>
      </c>
      <c r="B1008" s="32" t="s">
        <v>161</v>
      </c>
      <c r="C1008" s="27" t="s">
        <v>137</v>
      </c>
      <c r="D1008" s="28"/>
      <c r="E1008" s="28"/>
      <c r="F1008" s="29" t="n">
        <f aca="false">'📋 Matches'!E72</f>
        <v>0</v>
      </c>
      <c r="G1008" s="29" t="n">
        <f aca="false">'📋 Matches'!F72</f>
        <v>0</v>
      </c>
      <c r="H1008" s="30" t="s">
        <v>148</v>
      </c>
      <c r="I1008" s="30" t="s">
        <v>148</v>
      </c>
      <c r="J1008" s="30" t="s">
        <v>148</v>
      </c>
      <c r="K1008" s="30" t="s">
        <v>148</v>
      </c>
      <c r="L1008" s="30" t="s">
        <v>148</v>
      </c>
    </row>
    <row r="1009" customFormat="false" ht="18" hidden="false" customHeight="true" outlineLevel="0" collapsed="false">
      <c r="A1009" s="25" t="s">
        <v>114</v>
      </c>
      <c r="B1009" s="32" t="s">
        <v>161</v>
      </c>
      <c r="C1009" s="27" t="s">
        <v>138</v>
      </c>
      <c r="D1009" s="28"/>
      <c r="E1009" s="28"/>
      <c r="F1009" s="29" t="n">
        <f aca="false">'📋 Matches'!E73</f>
        <v>0</v>
      </c>
      <c r="G1009" s="29" t="n">
        <f aca="false">'📋 Matches'!F73</f>
        <v>0</v>
      </c>
      <c r="H1009" s="30" t="s">
        <v>148</v>
      </c>
      <c r="I1009" s="30" t="s">
        <v>148</v>
      </c>
      <c r="J1009" s="30" t="s">
        <v>148</v>
      </c>
      <c r="K1009" s="30" t="s">
        <v>148</v>
      </c>
      <c r="L1009" s="30" t="s">
        <v>148</v>
      </c>
    </row>
    <row r="1010" customFormat="false" ht="18" hidden="false" customHeight="true" outlineLevel="0" collapsed="false">
      <c r="A1010" s="17" t="s">
        <v>9</v>
      </c>
      <c r="B1010" s="31" t="s">
        <v>162</v>
      </c>
      <c r="C1010" s="19" t="s">
        <v>10</v>
      </c>
      <c r="D1010" s="20" t="n">
        <v>3</v>
      </c>
      <c r="E1010" s="20" t="n">
        <v>2</v>
      </c>
      <c r="F1010" s="21" t="n">
        <f aca="false">'📋 Matches'!E2</f>
        <v>2</v>
      </c>
      <c r="G1010" s="21" t="n">
        <f aca="false">'📋 Matches'!F2</f>
        <v>0</v>
      </c>
      <c r="H1010" s="22" t="n">
        <f aca="false">IF(AND(ISNUMBER(F1010),ISNUMBER(G1010)),IF(SIGN(D1010-E1010)=SIGN(F1010-G1010),48,0),"")</f>
        <v>48</v>
      </c>
      <c r="I1010" s="22" t="n">
        <f aca="false">IF(AND(ISNUMBER(F1010),ISNUMBER(G1010)),IF(D1010=F1010,15,0),"")</f>
        <v>0</v>
      </c>
      <c r="J1010" s="22" t="n">
        <f aca="false">IF(AND(ISNUMBER(F1010),ISNUMBER(G1010)),IF(E1010=G1010,15,0),"")</f>
        <v>0</v>
      </c>
      <c r="K1010" s="22" t="n">
        <f aca="false">IF(AND(ISNUMBER(F1010),ISNUMBER(G1010)),IF(ABS(D1010-E1010)=ABS(F1010-G1010),12,0),"")</f>
        <v>0</v>
      </c>
      <c r="L1010" s="23" t="n">
        <f aca="false">IF(ISNUMBER(H1010),H1010+I1010+J1010+K1010,"")</f>
        <v>48</v>
      </c>
    </row>
    <row r="1011" customFormat="false" ht="18" hidden="false" customHeight="true" outlineLevel="0" collapsed="false">
      <c r="A1011" s="17" t="s">
        <v>9</v>
      </c>
      <c r="B1011" s="31" t="s">
        <v>162</v>
      </c>
      <c r="C1011" s="19" t="s">
        <v>14</v>
      </c>
      <c r="D1011" s="20" t="n">
        <v>2</v>
      </c>
      <c r="E1011" s="20" t="n">
        <v>1</v>
      </c>
      <c r="F1011" s="21" t="n">
        <f aca="false">'📋 Matches'!E3</f>
        <v>2</v>
      </c>
      <c r="G1011" s="21" t="n">
        <f aca="false">'📋 Matches'!F3</f>
        <v>1</v>
      </c>
      <c r="H1011" s="22" t="n">
        <f aca="false">IF(AND(ISNUMBER(F1011),ISNUMBER(G1011)),IF(SIGN(D1011-E1011)=SIGN(F1011-G1011),48,0),"")</f>
        <v>48</v>
      </c>
      <c r="I1011" s="22" t="n">
        <f aca="false">IF(AND(ISNUMBER(F1011),ISNUMBER(G1011)),IF(D1011=F1011,15,0),"")</f>
        <v>15</v>
      </c>
      <c r="J1011" s="22" t="n">
        <f aca="false">IF(AND(ISNUMBER(F1011),ISNUMBER(G1011)),IF(E1011=G1011,15,0),"")</f>
        <v>15</v>
      </c>
      <c r="K1011" s="22" t="n">
        <f aca="false">IF(AND(ISNUMBER(F1011),ISNUMBER(G1011)),IF(ABS(D1011-E1011)=ABS(F1011-G1011),12,0),"")</f>
        <v>12</v>
      </c>
      <c r="L1011" s="23" t="n">
        <f aca="false">IF(ISNUMBER(H1011),H1011+I1011+J1011+K1011,"")</f>
        <v>90</v>
      </c>
    </row>
    <row r="1012" customFormat="false" ht="18" hidden="false" customHeight="true" outlineLevel="0" collapsed="false">
      <c r="A1012" s="17" t="s">
        <v>9</v>
      </c>
      <c r="B1012" s="31" t="s">
        <v>162</v>
      </c>
      <c r="C1012" s="19" t="s">
        <v>17</v>
      </c>
      <c r="D1012" s="20" t="n">
        <v>1</v>
      </c>
      <c r="E1012" s="20" t="n">
        <v>0</v>
      </c>
      <c r="F1012" s="21" t="n">
        <f aca="false">'📋 Matches'!E4</f>
        <v>1</v>
      </c>
      <c r="G1012" s="21" t="n">
        <f aca="false">'📋 Matches'!F4</f>
        <v>1</v>
      </c>
      <c r="H1012" s="22" t="n">
        <f aca="false">IF(AND(ISNUMBER(F1012),ISNUMBER(G1012)),IF(SIGN(D1012-E1012)=SIGN(F1012-G1012),48,0),"")</f>
        <v>0</v>
      </c>
      <c r="I1012" s="22" t="n">
        <f aca="false">IF(AND(ISNUMBER(F1012),ISNUMBER(G1012)),IF(D1012=F1012,15,0),"")</f>
        <v>15</v>
      </c>
      <c r="J1012" s="22" t="n">
        <f aca="false">IF(AND(ISNUMBER(F1012),ISNUMBER(G1012)),IF(E1012=G1012,15,0),"")</f>
        <v>0</v>
      </c>
      <c r="K1012" s="22" t="n">
        <f aca="false">IF(AND(ISNUMBER(F1012),ISNUMBER(G1012)),IF(ABS(D1012-E1012)=ABS(F1012-G1012),12,0),"")</f>
        <v>0</v>
      </c>
      <c r="L1012" s="23" t="n">
        <f aca="false">IF(ISNUMBER(H1012),H1012+I1012+J1012+K1012,"")</f>
        <v>15</v>
      </c>
    </row>
    <row r="1013" customFormat="false" ht="18" hidden="false" customHeight="true" outlineLevel="0" collapsed="false">
      <c r="A1013" s="17" t="s">
        <v>9</v>
      </c>
      <c r="B1013" s="31" t="s">
        <v>162</v>
      </c>
      <c r="C1013" s="19" t="s">
        <v>20</v>
      </c>
      <c r="D1013" s="20" t="n">
        <v>2</v>
      </c>
      <c r="E1013" s="20" t="n">
        <v>1</v>
      </c>
      <c r="F1013" s="21" t="n">
        <f aca="false">'📋 Matches'!E5</f>
        <v>4</v>
      </c>
      <c r="G1013" s="21" t="n">
        <f aca="false">'📋 Matches'!F5</f>
        <v>1</v>
      </c>
      <c r="H1013" s="22" t="n">
        <f aca="false">IF(AND(ISNUMBER(F1013),ISNUMBER(G1013)),IF(SIGN(D1013-E1013)=SIGN(F1013-G1013),48,0),"")</f>
        <v>48</v>
      </c>
      <c r="I1013" s="22" t="n">
        <f aca="false">IF(AND(ISNUMBER(F1013),ISNUMBER(G1013)),IF(D1013=F1013,15,0),"")</f>
        <v>0</v>
      </c>
      <c r="J1013" s="22" t="n">
        <f aca="false">IF(AND(ISNUMBER(F1013),ISNUMBER(G1013)),IF(E1013=G1013,15,0),"")</f>
        <v>15</v>
      </c>
      <c r="K1013" s="22" t="n">
        <f aca="false">IF(AND(ISNUMBER(F1013),ISNUMBER(G1013)),IF(ABS(D1013-E1013)=ABS(F1013-G1013),12,0),"")</f>
        <v>0</v>
      </c>
      <c r="L1013" s="23" t="n">
        <f aca="false">IF(ISNUMBER(H1013),H1013+I1013+J1013+K1013,"")</f>
        <v>63</v>
      </c>
    </row>
    <row r="1014" customFormat="false" ht="18" hidden="false" customHeight="true" outlineLevel="0" collapsed="false">
      <c r="A1014" s="17" t="s">
        <v>9</v>
      </c>
      <c r="B1014" s="31" t="s">
        <v>162</v>
      </c>
      <c r="C1014" s="19" t="s">
        <v>23</v>
      </c>
      <c r="D1014" s="20" t="n">
        <v>3</v>
      </c>
      <c r="E1014" s="20" t="n">
        <v>2</v>
      </c>
      <c r="F1014" s="21" t="n">
        <f aca="false">'📋 Matches'!E6</f>
        <v>0</v>
      </c>
      <c r="G1014" s="21" t="n">
        <f aca="false">'📋 Matches'!F6</f>
        <v>0</v>
      </c>
      <c r="H1014" s="22" t="str">
        <f aca="false">IF(AND(ISNUMBER(F1014),ISNUMBER(G1014)),IF(SIGN(D1014-E1014)=SIGN(F1014-G1014),48,0),"")</f>
        <v/>
      </c>
      <c r="I1014" s="22" t="str">
        <f aca="false">IF(AND(ISNUMBER(F1014),ISNUMBER(G1014)),IF(D1014=F1014,15,0),"")</f>
        <v/>
      </c>
      <c r="J1014" s="22" t="str">
        <f aca="false">IF(AND(ISNUMBER(F1014),ISNUMBER(G1014)),IF(E1014=G1014,15,0),"")</f>
        <v/>
      </c>
      <c r="K1014" s="22" t="str">
        <f aca="false">IF(AND(ISNUMBER(F1014),ISNUMBER(G1014)),IF(ABS(D1014-E1014)=ABS(F1014-G1014),12,0),"")</f>
        <v/>
      </c>
      <c r="L1014" s="23" t="str">
        <f aca="false">IF(ISNUMBER(H1014),H1014+I1014+J1014+K1014,"")</f>
        <v/>
      </c>
    </row>
    <row r="1015" customFormat="false" ht="18" hidden="false" customHeight="true" outlineLevel="0" collapsed="false">
      <c r="A1015" s="17" t="s">
        <v>9</v>
      </c>
      <c r="B1015" s="31" t="s">
        <v>162</v>
      </c>
      <c r="C1015" s="19" t="s">
        <v>27</v>
      </c>
      <c r="D1015" s="20" t="n">
        <v>4</v>
      </c>
      <c r="E1015" s="20" t="n">
        <v>2</v>
      </c>
      <c r="F1015" s="21" t="n">
        <f aca="false">'📋 Matches'!E7</f>
        <v>0</v>
      </c>
      <c r="G1015" s="21" t="n">
        <f aca="false">'📋 Matches'!F7</f>
        <v>0</v>
      </c>
      <c r="H1015" s="22" t="str">
        <f aca="false">IF(AND(ISNUMBER(F1015),ISNUMBER(G1015)),IF(SIGN(D1015-E1015)=SIGN(F1015-G1015),48,0),"")</f>
        <v/>
      </c>
      <c r="I1015" s="22" t="str">
        <f aca="false">IF(AND(ISNUMBER(F1015),ISNUMBER(G1015)),IF(D1015=F1015,15,0),"")</f>
        <v/>
      </c>
      <c r="J1015" s="22" t="str">
        <f aca="false">IF(AND(ISNUMBER(F1015),ISNUMBER(G1015)),IF(E1015=G1015,15,0),"")</f>
        <v/>
      </c>
      <c r="K1015" s="22" t="str">
        <f aca="false">IF(AND(ISNUMBER(F1015),ISNUMBER(G1015)),IF(ABS(D1015-E1015)=ABS(F1015-G1015),12,0),"")</f>
        <v/>
      </c>
      <c r="L1015" s="23" t="str">
        <f aca="false">IF(ISNUMBER(H1015),H1015+I1015+J1015+K1015,"")</f>
        <v/>
      </c>
    </row>
    <row r="1016" customFormat="false" ht="18" hidden="false" customHeight="true" outlineLevel="0" collapsed="false">
      <c r="A1016" s="17" t="s">
        <v>9</v>
      </c>
      <c r="B1016" s="31" t="s">
        <v>162</v>
      </c>
      <c r="C1016" s="19" t="s">
        <v>30</v>
      </c>
      <c r="D1016" s="20" t="n">
        <v>0</v>
      </c>
      <c r="E1016" s="20" t="n">
        <v>1</v>
      </c>
      <c r="F1016" s="21" t="n">
        <f aca="false">'📋 Matches'!E8</f>
        <v>0</v>
      </c>
      <c r="G1016" s="21" t="n">
        <f aca="false">'📋 Matches'!F8</f>
        <v>0</v>
      </c>
      <c r="H1016" s="22" t="str">
        <f aca="false">IF(AND(ISNUMBER(F1016),ISNUMBER(G1016)),IF(SIGN(D1016-E1016)=SIGN(F1016-G1016),48,0),"")</f>
        <v/>
      </c>
      <c r="I1016" s="22" t="str">
        <f aca="false">IF(AND(ISNUMBER(F1016),ISNUMBER(G1016)),IF(D1016=F1016,15,0),"")</f>
        <v/>
      </c>
      <c r="J1016" s="22" t="str">
        <f aca="false">IF(AND(ISNUMBER(F1016),ISNUMBER(G1016)),IF(E1016=G1016,15,0),"")</f>
        <v/>
      </c>
      <c r="K1016" s="22" t="str">
        <f aca="false">IF(AND(ISNUMBER(F1016),ISNUMBER(G1016)),IF(ABS(D1016-E1016)=ABS(F1016-G1016),12,0),"")</f>
        <v/>
      </c>
      <c r="L1016" s="23" t="str">
        <f aca="false">IF(ISNUMBER(H1016),H1016+I1016+J1016+K1016,"")</f>
        <v/>
      </c>
    </row>
    <row r="1017" customFormat="false" ht="18" hidden="false" customHeight="true" outlineLevel="0" collapsed="false">
      <c r="A1017" s="17" t="s">
        <v>9</v>
      </c>
      <c r="B1017" s="31" t="s">
        <v>162</v>
      </c>
      <c r="C1017" s="19" t="s">
        <v>33</v>
      </c>
      <c r="D1017" s="20" t="n">
        <v>2</v>
      </c>
      <c r="E1017" s="20" t="n">
        <v>0</v>
      </c>
      <c r="F1017" s="21" t="n">
        <f aca="false">'📋 Matches'!E9</f>
        <v>0</v>
      </c>
      <c r="G1017" s="21" t="n">
        <f aca="false">'📋 Matches'!F9</f>
        <v>0</v>
      </c>
      <c r="H1017" s="22" t="str">
        <f aca="false">IF(AND(ISNUMBER(F1017),ISNUMBER(G1017)),IF(SIGN(D1017-E1017)=SIGN(F1017-G1017),48,0),"")</f>
        <v/>
      </c>
      <c r="I1017" s="22" t="str">
        <f aca="false">IF(AND(ISNUMBER(F1017),ISNUMBER(G1017)),IF(D1017=F1017,15,0),"")</f>
        <v/>
      </c>
      <c r="J1017" s="22" t="str">
        <f aca="false">IF(AND(ISNUMBER(F1017),ISNUMBER(G1017)),IF(E1017=G1017,15,0),"")</f>
        <v/>
      </c>
      <c r="K1017" s="22" t="str">
        <f aca="false">IF(AND(ISNUMBER(F1017),ISNUMBER(G1017)),IF(ABS(D1017-E1017)=ABS(F1017-G1017),12,0),"")</f>
        <v/>
      </c>
      <c r="L1017" s="23" t="str">
        <f aca="false">IF(ISNUMBER(H1017),H1017+I1017+J1017+K1017,"")</f>
        <v/>
      </c>
    </row>
    <row r="1018" customFormat="false" ht="18" hidden="false" customHeight="true" outlineLevel="0" collapsed="false">
      <c r="A1018" s="17" t="s">
        <v>9</v>
      </c>
      <c r="B1018" s="31" t="s">
        <v>162</v>
      </c>
      <c r="C1018" s="19" t="s">
        <v>36</v>
      </c>
      <c r="D1018" s="20" t="n">
        <v>3</v>
      </c>
      <c r="E1018" s="20" t="n">
        <v>0</v>
      </c>
      <c r="F1018" s="21" t="n">
        <f aca="false">'📋 Matches'!E10</f>
        <v>0</v>
      </c>
      <c r="G1018" s="21" t="n">
        <f aca="false">'📋 Matches'!F10</f>
        <v>0</v>
      </c>
      <c r="H1018" s="22" t="str">
        <f aca="false">IF(AND(ISNUMBER(F1018),ISNUMBER(G1018)),IF(SIGN(D1018-E1018)=SIGN(F1018-G1018),48,0),"")</f>
        <v/>
      </c>
      <c r="I1018" s="22" t="str">
        <f aca="false">IF(AND(ISNUMBER(F1018),ISNUMBER(G1018)),IF(D1018=F1018,15,0),"")</f>
        <v/>
      </c>
      <c r="J1018" s="22" t="str">
        <f aca="false">IF(AND(ISNUMBER(F1018),ISNUMBER(G1018)),IF(E1018=G1018,15,0),"")</f>
        <v/>
      </c>
      <c r="K1018" s="22" t="str">
        <f aca="false">IF(AND(ISNUMBER(F1018),ISNUMBER(G1018)),IF(ABS(D1018-E1018)=ABS(F1018-G1018),12,0),"")</f>
        <v/>
      </c>
      <c r="L1018" s="23" t="str">
        <f aca="false">IF(ISNUMBER(H1018),H1018+I1018+J1018+K1018,"")</f>
        <v/>
      </c>
    </row>
    <row r="1019" customFormat="false" ht="18" hidden="false" customHeight="true" outlineLevel="0" collapsed="false">
      <c r="A1019" s="17" t="s">
        <v>9</v>
      </c>
      <c r="B1019" s="31" t="s">
        <v>162</v>
      </c>
      <c r="C1019" s="19" t="s">
        <v>39</v>
      </c>
      <c r="D1019" s="20" t="n">
        <v>2</v>
      </c>
      <c r="E1019" s="20" t="n">
        <v>3</v>
      </c>
      <c r="F1019" s="21" t="n">
        <f aca="false">'📋 Matches'!E11</f>
        <v>0</v>
      </c>
      <c r="G1019" s="21" t="n">
        <f aca="false">'📋 Matches'!F11</f>
        <v>0</v>
      </c>
      <c r="H1019" s="22" t="str">
        <f aca="false">IF(AND(ISNUMBER(F1019),ISNUMBER(G1019)),IF(SIGN(D1019-E1019)=SIGN(F1019-G1019),48,0),"")</f>
        <v/>
      </c>
      <c r="I1019" s="22" t="str">
        <f aca="false">IF(AND(ISNUMBER(F1019),ISNUMBER(G1019)),IF(D1019=F1019,15,0),"")</f>
        <v/>
      </c>
      <c r="J1019" s="22" t="str">
        <f aca="false">IF(AND(ISNUMBER(F1019),ISNUMBER(G1019)),IF(E1019=G1019,15,0),"")</f>
        <v/>
      </c>
      <c r="K1019" s="22" t="str">
        <f aca="false">IF(AND(ISNUMBER(F1019),ISNUMBER(G1019)),IF(ABS(D1019-E1019)=ABS(F1019-G1019),12,0),"")</f>
        <v/>
      </c>
      <c r="L1019" s="23" t="str">
        <f aca="false">IF(ISNUMBER(H1019),H1019+I1019+J1019+K1019,"")</f>
        <v/>
      </c>
    </row>
    <row r="1020" customFormat="false" ht="18" hidden="false" customHeight="true" outlineLevel="0" collapsed="false">
      <c r="A1020" s="17" t="s">
        <v>9</v>
      </c>
      <c r="B1020" s="31" t="s">
        <v>162</v>
      </c>
      <c r="C1020" s="19" t="s">
        <v>42</v>
      </c>
      <c r="D1020" s="20" t="n">
        <v>3</v>
      </c>
      <c r="E1020" s="20" t="n">
        <v>1</v>
      </c>
      <c r="F1020" s="21" t="n">
        <f aca="false">'📋 Matches'!E12</f>
        <v>0</v>
      </c>
      <c r="G1020" s="21" t="n">
        <f aca="false">'📋 Matches'!F12</f>
        <v>0</v>
      </c>
      <c r="H1020" s="22" t="str">
        <f aca="false">IF(AND(ISNUMBER(F1020),ISNUMBER(G1020)),IF(SIGN(D1020-E1020)=SIGN(F1020-G1020),48,0),"")</f>
        <v/>
      </c>
      <c r="I1020" s="22" t="str">
        <f aca="false">IF(AND(ISNUMBER(F1020),ISNUMBER(G1020)),IF(D1020=F1020,15,0),"")</f>
        <v/>
      </c>
      <c r="J1020" s="22" t="str">
        <f aca="false">IF(AND(ISNUMBER(F1020),ISNUMBER(G1020)),IF(E1020=G1020,15,0),"")</f>
        <v/>
      </c>
      <c r="K1020" s="22" t="str">
        <f aca="false">IF(AND(ISNUMBER(F1020),ISNUMBER(G1020)),IF(ABS(D1020-E1020)=ABS(F1020-G1020),12,0),"")</f>
        <v/>
      </c>
      <c r="L1020" s="23" t="str">
        <f aca="false">IF(ISNUMBER(H1020),H1020+I1020+J1020+K1020,"")</f>
        <v/>
      </c>
    </row>
    <row r="1021" customFormat="false" ht="18" hidden="false" customHeight="true" outlineLevel="0" collapsed="false">
      <c r="A1021" s="17" t="s">
        <v>9</v>
      </c>
      <c r="B1021" s="31" t="s">
        <v>162</v>
      </c>
      <c r="C1021" s="19" t="s">
        <v>45</v>
      </c>
      <c r="D1021" s="20" t="n">
        <v>1</v>
      </c>
      <c r="E1021" s="20" t="n">
        <v>3</v>
      </c>
      <c r="F1021" s="21" t="n">
        <f aca="false">'📋 Matches'!E13</f>
        <v>0</v>
      </c>
      <c r="G1021" s="21" t="n">
        <f aca="false">'📋 Matches'!F13</f>
        <v>0</v>
      </c>
      <c r="H1021" s="22" t="str">
        <f aca="false">IF(AND(ISNUMBER(F1021),ISNUMBER(G1021)),IF(SIGN(D1021-E1021)=SIGN(F1021-G1021),48,0),"")</f>
        <v/>
      </c>
      <c r="I1021" s="22" t="str">
        <f aca="false">IF(AND(ISNUMBER(F1021),ISNUMBER(G1021)),IF(D1021=F1021,15,0),"")</f>
        <v/>
      </c>
      <c r="J1021" s="22" t="str">
        <f aca="false">IF(AND(ISNUMBER(F1021),ISNUMBER(G1021)),IF(E1021=G1021,15,0),"")</f>
        <v/>
      </c>
      <c r="K1021" s="22" t="str">
        <f aca="false">IF(AND(ISNUMBER(F1021),ISNUMBER(G1021)),IF(ABS(D1021-E1021)=ABS(F1021-G1021),12,0),"")</f>
        <v/>
      </c>
      <c r="L1021" s="23" t="str">
        <f aca="false">IF(ISNUMBER(H1021),H1021+I1021+J1021+K1021,"")</f>
        <v/>
      </c>
    </row>
    <row r="1022" customFormat="false" ht="18" hidden="false" customHeight="true" outlineLevel="0" collapsed="false">
      <c r="A1022" s="17" t="s">
        <v>9</v>
      </c>
      <c r="B1022" s="31" t="s">
        <v>162</v>
      </c>
      <c r="C1022" s="19" t="s">
        <v>48</v>
      </c>
      <c r="D1022" s="20" t="n">
        <v>2</v>
      </c>
      <c r="E1022" s="20" t="n">
        <v>1</v>
      </c>
      <c r="F1022" s="21" t="n">
        <f aca="false">'📋 Matches'!E14</f>
        <v>0</v>
      </c>
      <c r="G1022" s="21" t="n">
        <f aca="false">'📋 Matches'!F14</f>
        <v>0</v>
      </c>
      <c r="H1022" s="22" t="str">
        <f aca="false">IF(AND(ISNUMBER(F1022),ISNUMBER(G1022)),IF(SIGN(D1022-E1022)=SIGN(F1022-G1022),48,0),"")</f>
        <v/>
      </c>
      <c r="I1022" s="22" t="str">
        <f aca="false">IF(AND(ISNUMBER(F1022),ISNUMBER(G1022)),IF(D1022=F1022,15,0),"")</f>
        <v/>
      </c>
      <c r="J1022" s="22" t="str">
        <f aca="false">IF(AND(ISNUMBER(F1022),ISNUMBER(G1022)),IF(E1022=G1022,15,0),"")</f>
        <v/>
      </c>
      <c r="K1022" s="22" t="str">
        <f aca="false">IF(AND(ISNUMBER(F1022),ISNUMBER(G1022)),IF(ABS(D1022-E1022)=ABS(F1022-G1022),12,0),"")</f>
        <v/>
      </c>
      <c r="L1022" s="23" t="str">
        <f aca="false">IF(ISNUMBER(H1022),H1022+I1022+J1022+K1022,"")</f>
        <v/>
      </c>
    </row>
    <row r="1023" customFormat="false" ht="18" hidden="false" customHeight="true" outlineLevel="0" collapsed="false">
      <c r="A1023" s="17" t="s">
        <v>9</v>
      </c>
      <c r="B1023" s="31" t="s">
        <v>162</v>
      </c>
      <c r="C1023" s="19" t="s">
        <v>51</v>
      </c>
      <c r="D1023" s="20" t="n">
        <v>2</v>
      </c>
      <c r="E1023" s="20" t="n">
        <v>2</v>
      </c>
      <c r="F1023" s="21" t="n">
        <f aca="false">'📋 Matches'!E15</f>
        <v>0</v>
      </c>
      <c r="G1023" s="21" t="n">
        <f aca="false">'📋 Matches'!F15</f>
        <v>0</v>
      </c>
      <c r="H1023" s="22" t="str">
        <f aca="false">IF(AND(ISNUMBER(F1023),ISNUMBER(G1023)),IF(SIGN(D1023-E1023)=SIGN(F1023-G1023),48,0),"")</f>
        <v/>
      </c>
      <c r="I1023" s="22" t="str">
        <f aca="false">IF(AND(ISNUMBER(F1023),ISNUMBER(G1023)),IF(D1023=F1023,15,0),"")</f>
        <v/>
      </c>
      <c r="J1023" s="22" t="str">
        <f aca="false">IF(AND(ISNUMBER(F1023),ISNUMBER(G1023)),IF(E1023=G1023,15,0),"")</f>
        <v/>
      </c>
      <c r="K1023" s="22" t="str">
        <f aca="false">IF(AND(ISNUMBER(F1023),ISNUMBER(G1023)),IF(ABS(D1023-E1023)=ABS(F1023-G1023),12,0),"")</f>
        <v/>
      </c>
      <c r="L1023" s="23" t="str">
        <f aca="false">IF(ISNUMBER(H1023),H1023+I1023+J1023+K1023,"")</f>
        <v/>
      </c>
    </row>
    <row r="1024" customFormat="false" ht="18" hidden="false" customHeight="true" outlineLevel="0" collapsed="false">
      <c r="A1024" s="17" t="s">
        <v>9</v>
      </c>
      <c r="B1024" s="31" t="s">
        <v>162</v>
      </c>
      <c r="C1024" s="19" t="s">
        <v>54</v>
      </c>
      <c r="D1024" s="20" t="n">
        <v>3</v>
      </c>
      <c r="E1024" s="20" t="n">
        <v>1</v>
      </c>
      <c r="F1024" s="21" t="n">
        <f aca="false">'📋 Matches'!E16</f>
        <v>0</v>
      </c>
      <c r="G1024" s="21" t="n">
        <f aca="false">'📋 Matches'!F16</f>
        <v>0</v>
      </c>
      <c r="H1024" s="22" t="str">
        <f aca="false">IF(AND(ISNUMBER(F1024),ISNUMBER(G1024)),IF(SIGN(D1024-E1024)=SIGN(F1024-G1024),48,0),"")</f>
        <v/>
      </c>
      <c r="I1024" s="22" t="str">
        <f aca="false">IF(AND(ISNUMBER(F1024),ISNUMBER(G1024)),IF(D1024=F1024,15,0),"")</f>
        <v/>
      </c>
      <c r="J1024" s="22" t="str">
        <f aca="false">IF(AND(ISNUMBER(F1024),ISNUMBER(G1024)),IF(E1024=G1024,15,0),"")</f>
        <v/>
      </c>
      <c r="K1024" s="22" t="str">
        <f aca="false">IF(AND(ISNUMBER(F1024),ISNUMBER(G1024)),IF(ABS(D1024-E1024)=ABS(F1024-G1024),12,0),"")</f>
        <v/>
      </c>
      <c r="L1024" s="23" t="str">
        <f aca="false">IF(ISNUMBER(H1024),H1024+I1024+J1024+K1024,"")</f>
        <v/>
      </c>
    </row>
    <row r="1025" customFormat="false" ht="18" hidden="false" customHeight="true" outlineLevel="0" collapsed="false">
      <c r="A1025" s="17" t="s">
        <v>9</v>
      </c>
      <c r="B1025" s="31" t="s">
        <v>162</v>
      </c>
      <c r="C1025" s="19" t="s">
        <v>57</v>
      </c>
      <c r="D1025" s="20" t="n">
        <v>0</v>
      </c>
      <c r="E1025" s="20" t="n">
        <v>1</v>
      </c>
      <c r="F1025" s="21" t="n">
        <f aca="false">'📋 Matches'!E17</f>
        <v>0</v>
      </c>
      <c r="G1025" s="21" t="n">
        <f aca="false">'📋 Matches'!F17</f>
        <v>0</v>
      </c>
      <c r="H1025" s="22" t="str">
        <f aca="false">IF(AND(ISNUMBER(F1025),ISNUMBER(G1025)),IF(SIGN(D1025-E1025)=SIGN(F1025-G1025),48,0),"")</f>
        <v/>
      </c>
      <c r="I1025" s="22" t="str">
        <f aca="false">IF(AND(ISNUMBER(F1025),ISNUMBER(G1025)),IF(D1025=F1025,15,0),"")</f>
        <v/>
      </c>
      <c r="J1025" s="22" t="str">
        <f aca="false">IF(AND(ISNUMBER(F1025),ISNUMBER(G1025)),IF(E1025=G1025,15,0),"")</f>
        <v/>
      </c>
      <c r="K1025" s="22" t="str">
        <f aca="false">IF(AND(ISNUMBER(F1025),ISNUMBER(G1025)),IF(ABS(D1025-E1025)=ABS(F1025-G1025),12,0),"")</f>
        <v/>
      </c>
      <c r="L1025" s="23" t="str">
        <f aca="false">IF(ISNUMBER(H1025),H1025+I1025+J1025+K1025,"")</f>
        <v/>
      </c>
    </row>
    <row r="1026" customFormat="false" ht="18" hidden="false" customHeight="true" outlineLevel="0" collapsed="false">
      <c r="A1026" s="17" t="s">
        <v>9</v>
      </c>
      <c r="B1026" s="31" t="s">
        <v>162</v>
      </c>
      <c r="C1026" s="19" t="s">
        <v>60</v>
      </c>
      <c r="D1026" s="20" t="n">
        <v>1</v>
      </c>
      <c r="E1026" s="20" t="n">
        <v>3</v>
      </c>
      <c r="F1026" s="21" t="n">
        <f aca="false">'📋 Matches'!E18</f>
        <v>0</v>
      </c>
      <c r="G1026" s="21" t="n">
        <f aca="false">'📋 Matches'!F18</f>
        <v>0</v>
      </c>
      <c r="H1026" s="22" t="str">
        <f aca="false">IF(AND(ISNUMBER(F1026),ISNUMBER(G1026)),IF(SIGN(D1026-E1026)=SIGN(F1026-G1026),48,0),"")</f>
        <v/>
      </c>
      <c r="I1026" s="22" t="str">
        <f aca="false">IF(AND(ISNUMBER(F1026),ISNUMBER(G1026)),IF(D1026=F1026,15,0),"")</f>
        <v/>
      </c>
      <c r="J1026" s="22" t="str">
        <f aca="false">IF(AND(ISNUMBER(F1026),ISNUMBER(G1026)),IF(E1026=G1026,15,0),"")</f>
        <v/>
      </c>
      <c r="K1026" s="22" t="str">
        <f aca="false">IF(AND(ISNUMBER(F1026),ISNUMBER(G1026)),IF(ABS(D1026-E1026)=ABS(F1026-G1026),12,0),"")</f>
        <v/>
      </c>
      <c r="L1026" s="23" t="str">
        <f aca="false">IF(ISNUMBER(H1026),H1026+I1026+J1026+K1026,"")</f>
        <v/>
      </c>
    </row>
    <row r="1027" customFormat="false" ht="18" hidden="false" customHeight="true" outlineLevel="0" collapsed="false">
      <c r="A1027" s="17" t="s">
        <v>9</v>
      </c>
      <c r="B1027" s="31" t="s">
        <v>162</v>
      </c>
      <c r="C1027" s="19" t="s">
        <v>63</v>
      </c>
      <c r="D1027" s="20" t="n">
        <v>1</v>
      </c>
      <c r="E1027" s="20" t="n">
        <v>1</v>
      </c>
      <c r="F1027" s="21" t="n">
        <f aca="false">'📋 Matches'!E19</f>
        <v>0</v>
      </c>
      <c r="G1027" s="21" t="n">
        <f aca="false">'📋 Matches'!F19</f>
        <v>0</v>
      </c>
      <c r="H1027" s="22" t="str">
        <f aca="false">IF(AND(ISNUMBER(F1027),ISNUMBER(G1027)),IF(SIGN(D1027-E1027)=SIGN(F1027-G1027),48,0),"")</f>
        <v/>
      </c>
      <c r="I1027" s="22" t="str">
        <f aca="false">IF(AND(ISNUMBER(F1027),ISNUMBER(G1027)),IF(D1027=F1027,15,0),"")</f>
        <v/>
      </c>
      <c r="J1027" s="22" t="str">
        <f aca="false">IF(AND(ISNUMBER(F1027),ISNUMBER(G1027)),IF(E1027=G1027,15,0),"")</f>
        <v/>
      </c>
      <c r="K1027" s="22" t="str">
        <f aca="false">IF(AND(ISNUMBER(F1027),ISNUMBER(G1027)),IF(ABS(D1027-E1027)=ABS(F1027-G1027),12,0),"")</f>
        <v/>
      </c>
      <c r="L1027" s="23" t="str">
        <f aca="false">IF(ISNUMBER(H1027),H1027+I1027+J1027+K1027,"")</f>
        <v/>
      </c>
    </row>
    <row r="1028" customFormat="false" ht="18" hidden="false" customHeight="true" outlineLevel="0" collapsed="false">
      <c r="A1028" s="17" t="s">
        <v>9</v>
      </c>
      <c r="B1028" s="31" t="s">
        <v>162</v>
      </c>
      <c r="C1028" s="19" t="s">
        <v>66</v>
      </c>
      <c r="D1028" s="20" t="n">
        <v>4</v>
      </c>
      <c r="E1028" s="20" t="n">
        <v>3</v>
      </c>
      <c r="F1028" s="21" t="n">
        <f aca="false">'📋 Matches'!E20</f>
        <v>0</v>
      </c>
      <c r="G1028" s="21" t="n">
        <f aca="false">'📋 Matches'!F20</f>
        <v>0</v>
      </c>
      <c r="H1028" s="22" t="str">
        <f aca="false">IF(AND(ISNUMBER(F1028),ISNUMBER(G1028)),IF(SIGN(D1028-E1028)=SIGN(F1028-G1028),48,0),"")</f>
        <v/>
      </c>
      <c r="I1028" s="22" t="str">
        <f aca="false">IF(AND(ISNUMBER(F1028),ISNUMBER(G1028)),IF(D1028=F1028,15,0),"")</f>
        <v/>
      </c>
      <c r="J1028" s="22" t="str">
        <f aca="false">IF(AND(ISNUMBER(F1028),ISNUMBER(G1028)),IF(E1028=G1028,15,0),"")</f>
        <v/>
      </c>
      <c r="K1028" s="22" t="str">
        <f aca="false">IF(AND(ISNUMBER(F1028),ISNUMBER(G1028)),IF(ABS(D1028-E1028)=ABS(F1028-G1028),12,0),"")</f>
        <v/>
      </c>
      <c r="L1028" s="23" t="str">
        <f aca="false">IF(ISNUMBER(H1028),H1028+I1028+J1028+K1028,"")</f>
        <v/>
      </c>
    </row>
    <row r="1029" customFormat="false" ht="18" hidden="false" customHeight="true" outlineLevel="0" collapsed="false">
      <c r="A1029" s="17" t="s">
        <v>9</v>
      </c>
      <c r="B1029" s="31" t="s">
        <v>162</v>
      </c>
      <c r="C1029" s="19" t="s">
        <v>69</v>
      </c>
      <c r="D1029" s="20" t="n">
        <v>2</v>
      </c>
      <c r="E1029" s="20" t="n">
        <v>2</v>
      </c>
      <c r="F1029" s="21" t="n">
        <f aca="false">'📋 Matches'!E21</f>
        <v>0</v>
      </c>
      <c r="G1029" s="21" t="n">
        <f aca="false">'📋 Matches'!F21</f>
        <v>0</v>
      </c>
      <c r="H1029" s="22" t="str">
        <f aca="false">IF(AND(ISNUMBER(F1029),ISNUMBER(G1029)),IF(SIGN(D1029-E1029)=SIGN(F1029-G1029),48,0),"")</f>
        <v/>
      </c>
      <c r="I1029" s="22" t="str">
        <f aca="false">IF(AND(ISNUMBER(F1029),ISNUMBER(G1029)),IF(D1029=F1029,15,0),"")</f>
        <v/>
      </c>
      <c r="J1029" s="22" t="str">
        <f aca="false">IF(AND(ISNUMBER(F1029),ISNUMBER(G1029)),IF(E1029=G1029,15,0),"")</f>
        <v/>
      </c>
      <c r="K1029" s="22" t="str">
        <f aca="false">IF(AND(ISNUMBER(F1029),ISNUMBER(G1029)),IF(ABS(D1029-E1029)=ABS(F1029-G1029),12,0),"")</f>
        <v/>
      </c>
      <c r="L1029" s="23" t="str">
        <f aca="false">IF(ISNUMBER(H1029),H1029+I1029+J1029+K1029,"")</f>
        <v/>
      </c>
    </row>
    <row r="1030" customFormat="false" ht="18" hidden="false" customHeight="true" outlineLevel="0" collapsed="false">
      <c r="A1030" s="17" t="s">
        <v>9</v>
      </c>
      <c r="B1030" s="31" t="s">
        <v>162</v>
      </c>
      <c r="C1030" s="19" t="s">
        <v>72</v>
      </c>
      <c r="D1030" s="20" t="n">
        <v>1</v>
      </c>
      <c r="E1030" s="20" t="n">
        <v>3</v>
      </c>
      <c r="F1030" s="21" t="n">
        <f aca="false">'📋 Matches'!E22</f>
        <v>0</v>
      </c>
      <c r="G1030" s="21" t="n">
        <f aca="false">'📋 Matches'!F22</f>
        <v>0</v>
      </c>
      <c r="H1030" s="22" t="str">
        <f aca="false">IF(AND(ISNUMBER(F1030),ISNUMBER(G1030)),IF(SIGN(D1030-E1030)=SIGN(F1030-G1030),48,0),"")</f>
        <v/>
      </c>
      <c r="I1030" s="22" t="str">
        <f aca="false">IF(AND(ISNUMBER(F1030),ISNUMBER(G1030)),IF(D1030=F1030,15,0),"")</f>
        <v/>
      </c>
      <c r="J1030" s="22" t="str">
        <f aca="false">IF(AND(ISNUMBER(F1030),ISNUMBER(G1030)),IF(E1030=G1030,15,0),"")</f>
        <v/>
      </c>
      <c r="K1030" s="22" t="str">
        <f aca="false">IF(AND(ISNUMBER(F1030),ISNUMBER(G1030)),IF(ABS(D1030-E1030)=ABS(F1030-G1030),12,0),"")</f>
        <v/>
      </c>
      <c r="L1030" s="23" t="str">
        <f aca="false">IF(ISNUMBER(H1030),H1030+I1030+J1030+K1030,"")</f>
        <v/>
      </c>
    </row>
    <row r="1031" customFormat="false" ht="18" hidden="false" customHeight="true" outlineLevel="0" collapsed="false">
      <c r="A1031" s="17" t="s">
        <v>9</v>
      </c>
      <c r="B1031" s="31" t="s">
        <v>162</v>
      </c>
      <c r="C1031" s="19" t="s">
        <v>75</v>
      </c>
      <c r="D1031" s="20" t="n">
        <v>3</v>
      </c>
      <c r="E1031" s="20" t="n">
        <v>1</v>
      </c>
      <c r="F1031" s="21" t="n">
        <f aca="false">'📋 Matches'!E23</f>
        <v>0</v>
      </c>
      <c r="G1031" s="21" t="n">
        <f aca="false">'📋 Matches'!F23</f>
        <v>0</v>
      </c>
      <c r="H1031" s="22" t="str">
        <f aca="false">IF(AND(ISNUMBER(F1031),ISNUMBER(G1031)),IF(SIGN(D1031-E1031)=SIGN(F1031-G1031),48,0),"")</f>
        <v/>
      </c>
      <c r="I1031" s="22" t="str">
        <f aca="false">IF(AND(ISNUMBER(F1031),ISNUMBER(G1031)),IF(D1031=F1031,15,0),"")</f>
        <v/>
      </c>
      <c r="J1031" s="22" t="str">
        <f aca="false">IF(AND(ISNUMBER(F1031),ISNUMBER(G1031)),IF(E1031=G1031,15,0),"")</f>
        <v/>
      </c>
      <c r="K1031" s="22" t="str">
        <f aca="false">IF(AND(ISNUMBER(F1031),ISNUMBER(G1031)),IF(ABS(D1031-E1031)=ABS(F1031-G1031),12,0),"")</f>
        <v/>
      </c>
      <c r="L1031" s="23" t="str">
        <f aca="false">IF(ISNUMBER(H1031),H1031+I1031+J1031+K1031,"")</f>
        <v/>
      </c>
    </row>
    <row r="1032" customFormat="false" ht="18" hidden="false" customHeight="true" outlineLevel="0" collapsed="false">
      <c r="A1032" s="17" t="s">
        <v>9</v>
      </c>
      <c r="B1032" s="31" t="s">
        <v>162</v>
      </c>
      <c r="C1032" s="19" t="s">
        <v>78</v>
      </c>
      <c r="D1032" s="20" t="n">
        <v>3</v>
      </c>
      <c r="E1032" s="20" t="n">
        <v>1</v>
      </c>
      <c r="F1032" s="21" t="n">
        <f aca="false">'📋 Matches'!E24</f>
        <v>0</v>
      </c>
      <c r="G1032" s="21" t="n">
        <f aca="false">'📋 Matches'!F24</f>
        <v>0</v>
      </c>
      <c r="H1032" s="22" t="str">
        <f aca="false">IF(AND(ISNUMBER(F1032),ISNUMBER(G1032)),IF(SIGN(D1032-E1032)=SIGN(F1032-G1032),48,0),"")</f>
        <v/>
      </c>
      <c r="I1032" s="22" t="str">
        <f aca="false">IF(AND(ISNUMBER(F1032),ISNUMBER(G1032)),IF(D1032=F1032,15,0),"")</f>
        <v/>
      </c>
      <c r="J1032" s="22" t="str">
        <f aca="false">IF(AND(ISNUMBER(F1032),ISNUMBER(G1032)),IF(E1032=G1032,15,0),"")</f>
        <v/>
      </c>
      <c r="K1032" s="22" t="str">
        <f aca="false">IF(AND(ISNUMBER(F1032),ISNUMBER(G1032)),IF(ABS(D1032-E1032)=ABS(F1032-G1032),12,0),"")</f>
        <v/>
      </c>
      <c r="L1032" s="23" t="str">
        <f aca="false">IF(ISNUMBER(H1032),H1032+I1032+J1032+K1032,"")</f>
        <v/>
      </c>
    </row>
    <row r="1033" customFormat="false" ht="18" hidden="false" customHeight="true" outlineLevel="0" collapsed="false">
      <c r="A1033" s="17" t="s">
        <v>9</v>
      </c>
      <c r="B1033" s="31" t="s">
        <v>162</v>
      </c>
      <c r="C1033" s="19" t="s">
        <v>81</v>
      </c>
      <c r="D1033" s="20" t="n">
        <v>0</v>
      </c>
      <c r="E1033" s="20" t="n">
        <v>3</v>
      </c>
      <c r="F1033" s="21" t="n">
        <f aca="false">'📋 Matches'!E25</f>
        <v>0</v>
      </c>
      <c r="G1033" s="21" t="n">
        <f aca="false">'📋 Matches'!F25</f>
        <v>0</v>
      </c>
      <c r="H1033" s="22" t="str">
        <f aca="false">IF(AND(ISNUMBER(F1033),ISNUMBER(G1033)),IF(SIGN(D1033-E1033)=SIGN(F1033-G1033),48,0),"")</f>
        <v/>
      </c>
      <c r="I1033" s="22" t="str">
        <f aca="false">IF(AND(ISNUMBER(F1033),ISNUMBER(G1033)),IF(D1033=F1033,15,0),"")</f>
        <v/>
      </c>
      <c r="J1033" s="22" t="str">
        <f aca="false">IF(AND(ISNUMBER(F1033),ISNUMBER(G1033)),IF(E1033=G1033,15,0),"")</f>
        <v/>
      </c>
      <c r="K1033" s="22" t="str">
        <f aca="false">IF(AND(ISNUMBER(F1033),ISNUMBER(G1033)),IF(ABS(D1033-E1033)=ABS(F1033-G1033),12,0),"")</f>
        <v/>
      </c>
      <c r="L1033" s="23" t="str">
        <f aca="false">IF(ISNUMBER(H1033),H1033+I1033+J1033+K1033,"")</f>
        <v/>
      </c>
    </row>
    <row r="1034" customFormat="false" ht="18" hidden="false" customHeight="true" outlineLevel="0" collapsed="false">
      <c r="A1034" s="17" t="s">
        <v>84</v>
      </c>
      <c r="B1034" s="31" t="s">
        <v>162</v>
      </c>
      <c r="C1034" s="19" t="s">
        <v>85</v>
      </c>
      <c r="D1034" s="20"/>
      <c r="E1034" s="20"/>
      <c r="F1034" s="21" t="n">
        <f aca="false">'📋 Matches'!E26</f>
        <v>0</v>
      </c>
      <c r="G1034" s="21" t="n">
        <f aca="false">'📋 Matches'!F26</f>
        <v>0</v>
      </c>
      <c r="H1034" s="24" t="s">
        <v>148</v>
      </c>
      <c r="I1034" s="24" t="s">
        <v>148</v>
      </c>
      <c r="J1034" s="24" t="s">
        <v>148</v>
      </c>
      <c r="K1034" s="24" t="s">
        <v>148</v>
      </c>
      <c r="L1034" s="24" t="s">
        <v>148</v>
      </c>
    </row>
    <row r="1035" customFormat="false" ht="18" hidden="false" customHeight="true" outlineLevel="0" collapsed="false">
      <c r="A1035" s="17" t="s">
        <v>84</v>
      </c>
      <c r="B1035" s="31" t="s">
        <v>162</v>
      </c>
      <c r="C1035" s="19" t="s">
        <v>87</v>
      </c>
      <c r="D1035" s="20"/>
      <c r="E1035" s="20"/>
      <c r="F1035" s="21" t="n">
        <f aca="false">'📋 Matches'!E27</f>
        <v>0</v>
      </c>
      <c r="G1035" s="21" t="n">
        <f aca="false">'📋 Matches'!F27</f>
        <v>0</v>
      </c>
      <c r="H1035" s="24" t="s">
        <v>148</v>
      </c>
      <c r="I1035" s="24" t="s">
        <v>148</v>
      </c>
      <c r="J1035" s="24" t="s">
        <v>148</v>
      </c>
      <c r="K1035" s="24" t="s">
        <v>148</v>
      </c>
      <c r="L1035" s="24" t="s">
        <v>148</v>
      </c>
    </row>
    <row r="1036" customFormat="false" ht="18" hidden="false" customHeight="true" outlineLevel="0" collapsed="false">
      <c r="A1036" s="17" t="s">
        <v>84</v>
      </c>
      <c r="B1036" s="31" t="s">
        <v>162</v>
      </c>
      <c r="C1036" s="19" t="s">
        <v>89</v>
      </c>
      <c r="D1036" s="20"/>
      <c r="E1036" s="20"/>
      <c r="F1036" s="21" t="n">
        <f aca="false">'📋 Matches'!E28</f>
        <v>0</v>
      </c>
      <c r="G1036" s="21" t="n">
        <f aca="false">'📋 Matches'!F28</f>
        <v>0</v>
      </c>
      <c r="H1036" s="24" t="s">
        <v>148</v>
      </c>
      <c r="I1036" s="24" t="s">
        <v>148</v>
      </c>
      <c r="J1036" s="24" t="s">
        <v>148</v>
      </c>
      <c r="K1036" s="24" t="s">
        <v>148</v>
      </c>
      <c r="L1036" s="24" t="s">
        <v>148</v>
      </c>
    </row>
    <row r="1037" customFormat="false" ht="18" hidden="false" customHeight="true" outlineLevel="0" collapsed="false">
      <c r="A1037" s="17" t="s">
        <v>84</v>
      </c>
      <c r="B1037" s="31" t="s">
        <v>162</v>
      </c>
      <c r="C1037" s="19" t="s">
        <v>90</v>
      </c>
      <c r="D1037" s="20"/>
      <c r="E1037" s="20"/>
      <c r="F1037" s="21" t="n">
        <f aca="false">'📋 Matches'!E29</f>
        <v>0</v>
      </c>
      <c r="G1037" s="21" t="n">
        <f aca="false">'📋 Matches'!F29</f>
        <v>0</v>
      </c>
      <c r="H1037" s="24" t="s">
        <v>148</v>
      </c>
      <c r="I1037" s="24" t="s">
        <v>148</v>
      </c>
      <c r="J1037" s="24" t="s">
        <v>148</v>
      </c>
      <c r="K1037" s="24" t="s">
        <v>148</v>
      </c>
      <c r="L1037" s="24" t="s">
        <v>148</v>
      </c>
    </row>
    <row r="1038" customFormat="false" ht="18" hidden="false" customHeight="true" outlineLevel="0" collapsed="false">
      <c r="A1038" s="17" t="s">
        <v>84</v>
      </c>
      <c r="B1038" s="31" t="s">
        <v>162</v>
      </c>
      <c r="C1038" s="19" t="s">
        <v>91</v>
      </c>
      <c r="D1038" s="20"/>
      <c r="E1038" s="20"/>
      <c r="F1038" s="21" t="n">
        <f aca="false">'📋 Matches'!E30</f>
        <v>0</v>
      </c>
      <c r="G1038" s="21" t="n">
        <f aca="false">'📋 Matches'!F30</f>
        <v>0</v>
      </c>
      <c r="H1038" s="24" t="s">
        <v>148</v>
      </c>
      <c r="I1038" s="24" t="s">
        <v>148</v>
      </c>
      <c r="J1038" s="24" t="s">
        <v>148</v>
      </c>
      <c r="K1038" s="24" t="s">
        <v>148</v>
      </c>
      <c r="L1038" s="24" t="s">
        <v>148</v>
      </c>
    </row>
    <row r="1039" customFormat="false" ht="18" hidden="false" customHeight="true" outlineLevel="0" collapsed="false">
      <c r="A1039" s="17" t="s">
        <v>84</v>
      </c>
      <c r="B1039" s="31" t="s">
        <v>162</v>
      </c>
      <c r="C1039" s="19" t="s">
        <v>92</v>
      </c>
      <c r="D1039" s="20"/>
      <c r="E1039" s="20"/>
      <c r="F1039" s="21" t="n">
        <f aca="false">'📋 Matches'!E31</f>
        <v>0</v>
      </c>
      <c r="G1039" s="21" t="n">
        <f aca="false">'📋 Matches'!F31</f>
        <v>0</v>
      </c>
      <c r="H1039" s="24" t="s">
        <v>148</v>
      </c>
      <c r="I1039" s="24" t="s">
        <v>148</v>
      </c>
      <c r="J1039" s="24" t="s">
        <v>148</v>
      </c>
      <c r="K1039" s="24" t="s">
        <v>148</v>
      </c>
      <c r="L1039" s="24" t="s">
        <v>148</v>
      </c>
    </row>
    <row r="1040" customFormat="false" ht="18" hidden="false" customHeight="true" outlineLevel="0" collapsed="false">
      <c r="A1040" s="17" t="s">
        <v>84</v>
      </c>
      <c r="B1040" s="31" t="s">
        <v>162</v>
      </c>
      <c r="C1040" s="19" t="s">
        <v>93</v>
      </c>
      <c r="D1040" s="20"/>
      <c r="E1040" s="20"/>
      <c r="F1040" s="21" t="n">
        <f aca="false">'📋 Matches'!E32</f>
        <v>0</v>
      </c>
      <c r="G1040" s="21" t="n">
        <f aca="false">'📋 Matches'!F32</f>
        <v>0</v>
      </c>
      <c r="H1040" s="24" t="s">
        <v>148</v>
      </c>
      <c r="I1040" s="24" t="s">
        <v>148</v>
      </c>
      <c r="J1040" s="24" t="s">
        <v>148</v>
      </c>
      <c r="K1040" s="24" t="s">
        <v>148</v>
      </c>
      <c r="L1040" s="24" t="s">
        <v>148</v>
      </c>
    </row>
    <row r="1041" customFormat="false" ht="18" hidden="false" customHeight="true" outlineLevel="0" collapsed="false">
      <c r="A1041" s="17" t="s">
        <v>84</v>
      </c>
      <c r="B1041" s="31" t="s">
        <v>162</v>
      </c>
      <c r="C1041" s="19" t="s">
        <v>94</v>
      </c>
      <c r="D1041" s="20"/>
      <c r="E1041" s="20"/>
      <c r="F1041" s="21" t="n">
        <f aca="false">'📋 Matches'!E33</f>
        <v>0</v>
      </c>
      <c r="G1041" s="21" t="n">
        <f aca="false">'📋 Matches'!F33</f>
        <v>0</v>
      </c>
      <c r="H1041" s="24" t="s">
        <v>148</v>
      </c>
      <c r="I1041" s="24" t="s">
        <v>148</v>
      </c>
      <c r="J1041" s="24" t="s">
        <v>148</v>
      </c>
      <c r="K1041" s="24" t="s">
        <v>148</v>
      </c>
      <c r="L1041" s="24" t="s">
        <v>148</v>
      </c>
    </row>
    <row r="1042" customFormat="false" ht="18" hidden="false" customHeight="true" outlineLevel="0" collapsed="false">
      <c r="A1042" s="17" t="s">
        <v>84</v>
      </c>
      <c r="B1042" s="31" t="s">
        <v>162</v>
      </c>
      <c r="C1042" s="19" t="s">
        <v>96</v>
      </c>
      <c r="D1042" s="20"/>
      <c r="E1042" s="20"/>
      <c r="F1042" s="21" t="n">
        <f aca="false">'📋 Matches'!E34</f>
        <v>0</v>
      </c>
      <c r="G1042" s="21" t="n">
        <f aca="false">'📋 Matches'!F34</f>
        <v>0</v>
      </c>
      <c r="H1042" s="24" t="s">
        <v>148</v>
      </c>
      <c r="I1042" s="24" t="s">
        <v>148</v>
      </c>
      <c r="J1042" s="24" t="s">
        <v>148</v>
      </c>
      <c r="K1042" s="24" t="s">
        <v>148</v>
      </c>
      <c r="L1042" s="24" t="s">
        <v>148</v>
      </c>
    </row>
    <row r="1043" customFormat="false" ht="18" hidden="false" customHeight="true" outlineLevel="0" collapsed="false">
      <c r="A1043" s="17" t="s">
        <v>84</v>
      </c>
      <c r="B1043" s="31" t="s">
        <v>162</v>
      </c>
      <c r="C1043" s="19" t="s">
        <v>97</v>
      </c>
      <c r="D1043" s="20"/>
      <c r="E1043" s="20"/>
      <c r="F1043" s="21" t="n">
        <f aca="false">'📋 Matches'!E35</f>
        <v>0</v>
      </c>
      <c r="G1043" s="21" t="n">
        <f aca="false">'📋 Matches'!F35</f>
        <v>0</v>
      </c>
      <c r="H1043" s="24" t="s">
        <v>148</v>
      </c>
      <c r="I1043" s="24" t="s">
        <v>148</v>
      </c>
      <c r="J1043" s="24" t="s">
        <v>148</v>
      </c>
      <c r="K1043" s="24" t="s">
        <v>148</v>
      </c>
      <c r="L1043" s="24" t="s">
        <v>148</v>
      </c>
    </row>
    <row r="1044" customFormat="false" ht="18" hidden="false" customHeight="true" outlineLevel="0" collapsed="false">
      <c r="A1044" s="17" t="s">
        <v>84</v>
      </c>
      <c r="B1044" s="31" t="s">
        <v>162</v>
      </c>
      <c r="C1044" s="19" t="s">
        <v>98</v>
      </c>
      <c r="D1044" s="20"/>
      <c r="E1044" s="20"/>
      <c r="F1044" s="21" t="n">
        <f aca="false">'📋 Matches'!E36</f>
        <v>0</v>
      </c>
      <c r="G1044" s="21" t="n">
        <f aca="false">'📋 Matches'!F36</f>
        <v>0</v>
      </c>
      <c r="H1044" s="24" t="s">
        <v>148</v>
      </c>
      <c r="I1044" s="24" t="s">
        <v>148</v>
      </c>
      <c r="J1044" s="24" t="s">
        <v>148</v>
      </c>
      <c r="K1044" s="24" t="s">
        <v>148</v>
      </c>
      <c r="L1044" s="24" t="s">
        <v>148</v>
      </c>
    </row>
    <row r="1045" customFormat="false" ht="18" hidden="false" customHeight="true" outlineLevel="0" collapsed="false">
      <c r="A1045" s="17" t="s">
        <v>84</v>
      </c>
      <c r="B1045" s="31" t="s">
        <v>162</v>
      </c>
      <c r="C1045" s="19" t="s">
        <v>100</v>
      </c>
      <c r="D1045" s="20"/>
      <c r="E1045" s="20"/>
      <c r="F1045" s="21" t="n">
        <f aca="false">'📋 Matches'!E37</f>
        <v>0</v>
      </c>
      <c r="G1045" s="21" t="n">
        <f aca="false">'📋 Matches'!F37</f>
        <v>0</v>
      </c>
      <c r="H1045" s="24" t="s">
        <v>148</v>
      </c>
      <c r="I1045" s="24" t="s">
        <v>148</v>
      </c>
      <c r="J1045" s="24" t="s">
        <v>148</v>
      </c>
      <c r="K1045" s="24" t="s">
        <v>148</v>
      </c>
      <c r="L1045" s="24" t="s">
        <v>148</v>
      </c>
    </row>
    <row r="1046" customFormat="false" ht="18" hidden="false" customHeight="true" outlineLevel="0" collapsed="false">
      <c r="A1046" s="17" t="s">
        <v>84</v>
      </c>
      <c r="B1046" s="31" t="s">
        <v>162</v>
      </c>
      <c r="C1046" s="19" t="s">
        <v>101</v>
      </c>
      <c r="D1046" s="20"/>
      <c r="E1046" s="20"/>
      <c r="F1046" s="21" t="n">
        <f aca="false">'📋 Matches'!E38</f>
        <v>0</v>
      </c>
      <c r="G1046" s="21" t="n">
        <f aca="false">'📋 Matches'!F38</f>
        <v>0</v>
      </c>
      <c r="H1046" s="24" t="s">
        <v>148</v>
      </c>
      <c r="I1046" s="24" t="s">
        <v>148</v>
      </c>
      <c r="J1046" s="24" t="s">
        <v>148</v>
      </c>
      <c r="K1046" s="24" t="s">
        <v>148</v>
      </c>
      <c r="L1046" s="24" t="s">
        <v>148</v>
      </c>
    </row>
    <row r="1047" customFormat="false" ht="18" hidden="false" customHeight="true" outlineLevel="0" collapsed="false">
      <c r="A1047" s="17" t="s">
        <v>84</v>
      </c>
      <c r="B1047" s="31" t="s">
        <v>162</v>
      </c>
      <c r="C1047" s="19" t="s">
        <v>102</v>
      </c>
      <c r="D1047" s="20"/>
      <c r="E1047" s="20"/>
      <c r="F1047" s="21" t="n">
        <f aca="false">'📋 Matches'!E39</f>
        <v>0</v>
      </c>
      <c r="G1047" s="21" t="n">
        <f aca="false">'📋 Matches'!F39</f>
        <v>0</v>
      </c>
      <c r="H1047" s="24" t="s">
        <v>148</v>
      </c>
      <c r="I1047" s="24" t="s">
        <v>148</v>
      </c>
      <c r="J1047" s="24" t="s">
        <v>148</v>
      </c>
      <c r="K1047" s="24" t="s">
        <v>148</v>
      </c>
      <c r="L1047" s="24" t="s">
        <v>148</v>
      </c>
    </row>
    <row r="1048" customFormat="false" ht="18" hidden="false" customHeight="true" outlineLevel="0" collapsed="false">
      <c r="A1048" s="17" t="s">
        <v>84</v>
      </c>
      <c r="B1048" s="31" t="s">
        <v>162</v>
      </c>
      <c r="C1048" s="19" t="s">
        <v>103</v>
      </c>
      <c r="D1048" s="20"/>
      <c r="E1048" s="20"/>
      <c r="F1048" s="21" t="n">
        <f aca="false">'📋 Matches'!E40</f>
        <v>0</v>
      </c>
      <c r="G1048" s="21" t="n">
        <f aca="false">'📋 Matches'!F40</f>
        <v>0</v>
      </c>
      <c r="H1048" s="24" t="s">
        <v>148</v>
      </c>
      <c r="I1048" s="24" t="s">
        <v>148</v>
      </c>
      <c r="J1048" s="24" t="s">
        <v>148</v>
      </c>
      <c r="K1048" s="24" t="s">
        <v>148</v>
      </c>
      <c r="L1048" s="24" t="s">
        <v>148</v>
      </c>
    </row>
    <row r="1049" customFormat="false" ht="18" hidden="false" customHeight="true" outlineLevel="0" collapsed="false">
      <c r="A1049" s="17" t="s">
        <v>84</v>
      </c>
      <c r="B1049" s="31" t="s">
        <v>162</v>
      </c>
      <c r="C1049" s="19" t="s">
        <v>104</v>
      </c>
      <c r="D1049" s="20"/>
      <c r="E1049" s="20"/>
      <c r="F1049" s="21" t="n">
        <f aca="false">'📋 Matches'!E41</f>
        <v>0</v>
      </c>
      <c r="G1049" s="21" t="n">
        <f aca="false">'📋 Matches'!F41</f>
        <v>0</v>
      </c>
      <c r="H1049" s="24" t="s">
        <v>148</v>
      </c>
      <c r="I1049" s="24" t="s">
        <v>148</v>
      </c>
      <c r="J1049" s="24" t="s">
        <v>148</v>
      </c>
      <c r="K1049" s="24" t="s">
        <v>148</v>
      </c>
      <c r="L1049" s="24" t="s">
        <v>148</v>
      </c>
    </row>
    <row r="1050" customFormat="false" ht="18" hidden="false" customHeight="true" outlineLevel="0" collapsed="false">
      <c r="A1050" s="17" t="s">
        <v>84</v>
      </c>
      <c r="B1050" s="31" t="s">
        <v>162</v>
      </c>
      <c r="C1050" s="19" t="s">
        <v>105</v>
      </c>
      <c r="D1050" s="20"/>
      <c r="E1050" s="20"/>
      <c r="F1050" s="21" t="n">
        <f aca="false">'📋 Matches'!E42</f>
        <v>0</v>
      </c>
      <c r="G1050" s="21" t="n">
        <f aca="false">'📋 Matches'!F42</f>
        <v>0</v>
      </c>
      <c r="H1050" s="24" t="s">
        <v>148</v>
      </c>
      <c r="I1050" s="24" t="s">
        <v>148</v>
      </c>
      <c r="J1050" s="24" t="s">
        <v>148</v>
      </c>
      <c r="K1050" s="24" t="s">
        <v>148</v>
      </c>
      <c r="L1050" s="24" t="s">
        <v>148</v>
      </c>
    </row>
    <row r="1051" customFormat="false" ht="18" hidden="false" customHeight="true" outlineLevel="0" collapsed="false">
      <c r="A1051" s="17" t="s">
        <v>84</v>
      </c>
      <c r="B1051" s="31" t="s">
        <v>162</v>
      </c>
      <c r="C1051" s="19" t="s">
        <v>106</v>
      </c>
      <c r="D1051" s="20"/>
      <c r="E1051" s="20"/>
      <c r="F1051" s="21" t="n">
        <f aca="false">'📋 Matches'!E43</f>
        <v>0</v>
      </c>
      <c r="G1051" s="21" t="n">
        <f aca="false">'📋 Matches'!F43</f>
        <v>0</v>
      </c>
      <c r="H1051" s="24" t="s">
        <v>148</v>
      </c>
      <c r="I1051" s="24" t="s">
        <v>148</v>
      </c>
      <c r="J1051" s="24" t="s">
        <v>148</v>
      </c>
      <c r="K1051" s="24" t="s">
        <v>148</v>
      </c>
      <c r="L1051" s="24" t="s">
        <v>148</v>
      </c>
    </row>
    <row r="1052" customFormat="false" ht="18" hidden="false" customHeight="true" outlineLevel="0" collapsed="false">
      <c r="A1052" s="17" t="s">
        <v>84</v>
      </c>
      <c r="B1052" s="31" t="s">
        <v>162</v>
      </c>
      <c r="C1052" s="19" t="s">
        <v>107</v>
      </c>
      <c r="D1052" s="20"/>
      <c r="E1052" s="20"/>
      <c r="F1052" s="21" t="n">
        <f aca="false">'📋 Matches'!E44</f>
        <v>0</v>
      </c>
      <c r="G1052" s="21" t="n">
        <f aca="false">'📋 Matches'!F44</f>
        <v>0</v>
      </c>
      <c r="H1052" s="24" t="s">
        <v>148</v>
      </c>
      <c r="I1052" s="24" t="s">
        <v>148</v>
      </c>
      <c r="J1052" s="24" t="s">
        <v>148</v>
      </c>
      <c r="K1052" s="24" t="s">
        <v>148</v>
      </c>
      <c r="L1052" s="24" t="s">
        <v>148</v>
      </c>
    </row>
    <row r="1053" customFormat="false" ht="18" hidden="false" customHeight="true" outlineLevel="0" collapsed="false">
      <c r="A1053" s="17" t="s">
        <v>84</v>
      </c>
      <c r="B1053" s="31" t="s">
        <v>162</v>
      </c>
      <c r="C1053" s="19" t="s">
        <v>108</v>
      </c>
      <c r="D1053" s="20"/>
      <c r="E1053" s="20"/>
      <c r="F1053" s="21" t="n">
        <f aca="false">'📋 Matches'!E45</f>
        <v>0</v>
      </c>
      <c r="G1053" s="21" t="n">
        <f aca="false">'📋 Matches'!F45</f>
        <v>0</v>
      </c>
      <c r="H1053" s="24" t="s">
        <v>148</v>
      </c>
      <c r="I1053" s="24" t="s">
        <v>148</v>
      </c>
      <c r="J1053" s="24" t="s">
        <v>148</v>
      </c>
      <c r="K1053" s="24" t="s">
        <v>148</v>
      </c>
      <c r="L1053" s="24" t="s">
        <v>148</v>
      </c>
    </row>
    <row r="1054" customFormat="false" ht="18" hidden="false" customHeight="true" outlineLevel="0" collapsed="false">
      <c r="A1054" s="17" t="s">
        <v>84</v>
      </c>
      <c r="B1054" s="31" t="s">
        <v>162</v>
      </c>
      <c r="C1054" s="19" t="s">
        <v>109</v>
      </c>
      <c r="D1054" s="20"/>
      <c r="E1054" s="20"/>
      <c r="F1054" s="21" t="n">
        <f aca="false">'📋 Matches'!E46</f>
        <v>0</v>
      </c>
      <c r="G1054" s="21" t="n">
        <f aca="false">'📋 Matches'!F46</f>
        <v>0</v>
      </c>
      <c r="H1054" s="24" t="s">
        <v>148</v>
      </c>
      <c r="I1054" s="24" t="s">
        <v>148</v>
      </c>
      <c r="J1054" s="24" t="s">
        <v>148</v>
      </c>
      <c r="K1054" s="24" t="s">
        <v>148</v>
      </c>
      <c r="L1054" s="24" t="s">
        <v>148</v>
      </c>
    </row>
    <row r="1055" customFormat="false" ht="18" hidden="false" customHeight="true" outlineLevel="0" collapsed="false">
      <c r="A1055" s="17" t="s">
        <v>84</v>
      </c>
      <c r="B1055" s="31" t="s">
        <v>162</v>
      </c>
      <c r="C1055" s="19" t="s">
        <v>110</v>
      </c>
      <c r="D1055" s="20"/>
      <c r="E1055" s="20"/>
      <c r="F1055" s="21" t="n">
        <f aca="false">'📋 Matches'!E47</f>
        <v>0</v>
      </c>
      <c r="G1055" s="21" t="n">
        <f aca="false">'📋 Matches'!F47</f>
        <v>0</v>
      </c>
      <c r="H1055" s="24" t="s">
        <v>148</v>
      </c>
      <c r="I1055" s="24" t="s">
        <v>148</v>
      </c>
      <c r="J1055" s="24" t="s">
        <v>148</v>
      </c>
      <c r="K1055" s="24" t="s">
        <v>148</v>
      </c>
      <c r="L1055" s="24" t="s">
        <v>148</v>
      </c>
    </row>
    <row r="1056" customFormat="false" ht="18" hidden="false" customHeight="true" outlineLevel="0" collapsed="false">
      <c r="A1056" s="17" t="s">
        <v>84</v>
      </c>
      <c r="B1056" s="31" t="s">
        <v>162</v>
      </c>
      <c r="C1056" s="19" t="s">
        <v>111</v>
      </c>
      <c r="D1056" s="20"/>
      <c r="E1056" s="20"/>
      <c r="F1056" s="21" t="n">
        <f aca="false">'📋 Matches'!E48</f>
        <v>0</v>
      </c>
      <c r="G1056" s="21" t="n">
        <f aca="false">'📋 Matches'!F48</f>
        <v>0</v>
      </c>
      <c r="H1056" s="24" t="s">
        <v>148</v>
      </c>
      <c r="I1056" s="24" t="s">
        <v>148</v>
      </c>
      <c r="J1056" s="24" t="s">
        <v>148</v>
      </c>
      <c r="K1056" s="24" t="s">
        <v>148</v>
      </c>
      <c r="L1056" s="24" t="s">
        <v>148</v>
      </c>
    </row>
    <row r="1057" customFormat="false" ht="18" hidden="false" customHeight="true" outlineLevel="0" collapsed="false">
      <c r="A1057" s="17" t="s">
        <v>84</v>
      </c>
      <c r="B1057" s="31" t="s">
        <v>162</v>
      </c>
      <c r="C1057" s="19" t="s">
        <v>112</v>
      </c>
      <c r="D1057" s="20"/>
      <c r="E1057" s="20"/>
      <c r="F1057" s="21" t="n">
        <f aca="false">'📋 Matches'!E49</f>
        <v>0</v>
      </c>
      <c r="G1057" s="21" t="n">
        <f aca="false">'📋 Matches'!F49</f>
        <v>0</v>
      </c>
      <c r="H1057" s="24" t="s">
        <v>148</v>
      </c>
      <c r="I1057" s="24" t="s">
        <v>148</v>
      </c>
      <c r="J1057" s="24" t="s">
        <v>148</v>
      </c>
      <c r="K1057" s="24" t="s">
        <v>148</v>
      </c>
      <c r="L1057" s="24" t="s">
        <v>148</v>
      </c>
    </row>
    <row r="1058" customFormat="false" ht="18" hidden="false" customHeight="true" outlineLevel="0" collapsed="false">
      <c r="A1058" s="17" t="s">
        <v>114</v>
      </c>
      <c r="B1058" s="31" t="s">
        <v>162</v>
      </c>
      <c r="C1058" s="19" t="s">
        <v>115</v>
      </c>
      <c r="D1058" s="20"/>
      <c r="E1058" s="20"/>
      <c r="F1058" s="21" t="n">
        <f aca="false">'📋 Matches'!E50</f>
        <v>0</v>
      </c>
      <c r="G1058" s="21" t="n">
        <f aca="false">'📋 Matches'!F50</f>
        <v>0</v>
      </c>
      <c r="H1058" s="24" t="s">
        <v>148</v>
      </c>
      <c r="I1058" s="24" t="s">
        <v>148</v>
      </c>
      <c r="J1058" s="24" t="s">
        <v>148</v>
      </c>
      <c r="K1058" s="24" t="s">
        <v>148</v>
      </c>
      <c r="L1058" s="24" t="s">
        <v>148</v>
      </c>
    </row>
    <row r="1059" customFormat="false" ht="18" hidden="false" customHeight="true" outlineLevel="0" collapsed="false">
      <c r="A1059" s="17" t="s">
        <v>114</v>
      </c>
      <c r="B1059" s="31" t="s">
        <v>162</v>
      </c>
      <c r="C1059" s="19" t="s">
        <v>116</v>
      </c>
      <c r="D1059" s="20"/>
      <c r="E1059" s="20"/>
      <c r="F1059" s="21" t="n">
        <f aca="false">'📋 Matches'!E51</f>
        <v>0</v>
      </c>
      <c r="G1059" s="21" t="n">
        <f aca="false">'📋 Matches'!F51</f>
        <v>0</v>
      </c>
      <c r="H1059" s="24" t="s">
        <v>148</v>
      </c>
      <c r="I1059" s="24" t="s">
        <v>148</v>
      </c>
      <c r="J1059" s="24" t="s">
        <v>148</v>
      </c>
      <c r="K1059" s="24" t="s">
        <v>148</v>
      </c>
      <c r="L1059" s="24" t="s">
        <v>148</v>
      </c>
    </row>
    <row r="1060" customFormat="false" ht="18" hidden="false" customHeight="true" outlineLevel="0" collapsed="false">
      <c r="A1060" s="17" t="s">
        <v>114</v>
      </c>
      <c r="B1060" s="31" t="s">
        <v>162</v>
      </c>
      <c r="C1060" s="19" t="s">
        <v>117</v>
      </c>
      <c r="D1060" s="20"/>
      <c r="E1060" s="20"/>
      <c r="F1060" s="21" t="n">
        <f aca="false">'📋 Matches'!E52</f>
        <v>0</v>
      </c>
      <c r="G1060" s="21" t="n">
        <f aca="false">'📋 Matches'!F52</f>
        <v>0</v>
      </c>
      <c r="H1060" s="24" t="s">
        <v>148</v>
      </c>
      <c r="I1060" s="24" t="s">
        <v>148</v>
      </c>
      <c r="J1060" s="24" t="s">
        <v>148</v>
      </c>
      <c r="K1060" s="24" t="s">
        <v>148</v>
      </c>
      <c r="L1060" s="24" t="s">
        <v>148</v>
      </c>
    </row>
    <row r="1061" customFormat="false" ht="18" hidden="false" customHeight="true" outlineLevel="0" collapsed="false">
      <c r="A1061" s="17" t="s">
        <v>114</v>
      </c>
      <c r="B1061" s="31" t="s">
        <v>162</v>
      </c>
      <c r="C1061" s="19" t="s">
        <v>118</v>
      </c>
      <c r="D1061" s="20"/>
      <c r="E1061" s="20"/>
      <c r="F1061" s="21" t="n">
        <f aca="false">'📋 Matches'!E53</f>
        <v>0</v>
      </c>
      <c r="G1061" s="21" t="n">
        <f aca="false">'📋 Matches'!F53</f>
        <v>0</v>
      </c>
      <c r="H1061" s="24" t="s">
        <v>148</v>
      </c>
      <c r="I1061" s="24" t="s">
        <v>148</v>
      </c>
      <c r="J1061" s="24" t="s">
        <v>148</v>
      </c>
      <c r="K1061" s="24" t="s">
        <v>148</v>
      </c>
      <c r="L1061" s="24" t="s">
        <v>148</v>
      </c>
    </row>
    <row r="1062" customFormat="false" ht="18" hidden="false" customHeight="true" outlineLevel="0" collapsed="false">
      <c r="A1062" s="17" t="s">
        <v>114</v>
      </c>
      <c r="B1062" s="31" t="s">
        <v>162</v>
      </c>
      <c r="C1062" s="19" t="s">
        <v>119</v>
      </c>
      <c r="D1062" s="20"/>
      <c r="E1062" s="20"/>
      <c r="F1062" s="21" t="n">
        <f aca="false">'📋 Matches'!E54</f>
        <v>0</v>
      </c>
      <c r="G1062" s="21" t="n">
        <f aca="false">'📋 Matches'!F54</f>
        <v>0</v>
      </c>
      <c r="H1062" s="24" t="s">
        <v>148</v>
      </c>
      <c r="I1062" s="24" t="s">
        <v>148</v>
      </c>
      <c r="J1062" s="24" t="s">
        <v>148</v>
      </c>
      <c r="K1062" s="24" t="s">
        <v>148</v>
      </c>
      <c r="L1062" s="24" t="s">
        <v>148</v>
      </c>
    </row>
    <row r="1063" customFormat="false" ht="18" hidden="false" customHeight="true" outlineLevel="0" collapsed="false">
      <c r="A1063" s="17" t="s">
        <v>114</v>
      </c>
      <c r="B1063" s="31" t="s">
        <v>162</v>
      </c>
      <c r="C1063" s="19" t="s">
        <v>120</v>
      </c>
      <c r="D1063" s="20"/>
      <c r="E1063" s="20"/>
      <c r="F1063" s="21" t="n">
        <f aca="false">'📋 Matches'!E55</f>
        <v>0</v>
      </c>
      <c r="G1063" s="21" t="n">
        <f aca="false">'📋 Matches'!F55</f>
        <v>0</v>
      </c>
      <c r="H1063" s="24" t="s">
        <v>148</v>
      </c>
      <c r="I1063" s="24" t="s">
        <v>148</v>
      </c>
      <c r="J1063" s="24" t="s">
        <v>148</v>
      </c>
      <c r="K1063" s="24" t="s">
        <v>148</v>
      </c>
      <c r="L1063" s="24" t="s">
        <v>148</v>
      </c>
    </row>
    <row r="1064" customFormat="false" ht="18" hidden="false" customHeight="true" outlineLevel="0" collapsed="false">
      <c r="A1064" s="17" t="s">
        <v>114</v>
      </c>
      <c r="B1064" s="31" t="s">
        <v>162</v>
      </c>
      <c r="C1064" s="19" t="s">
        <v>121</v>
      </c>
      <c r="D1064" s="20"/>
      <c r="E1064" s="20"/>
      <c r="F1064" s="21" t="n">
        <f aca="false">'📋 Matches'!E56</f>
        <v>0</v>
      </c>
      <c r="G1064" s="21" t="n">
        <f aca="false">'📋 Matches'!F56</f>
        <v>0</v>
      </c>
      <c r="H1064" s="24" t="s">
        <v>148</v>
      </c>
      <c r="I1064" s="24" t="s">
        <v>148</v>
      </c>
      <c r="J1064" s="24" t="s">
        <v>148</v>
      </c>
      <c r="K1064" s="24" t="s">
        <v>148</v>
      </c>
      <c r="L1064" s="24" t="s">
        <v>148</v>
      </c>
    </row>
    <row r="1065" customFormat="false" ht="18" hidden="false" customHeight="true" outlineLevel="0" collapsed="false">
      <c r="A1065" s="17" t="s">
        <v>114</v>
      </c>
      <c r="B1065" s="31" t="s">
        <v>162</v>
      </c>
      <c r="C1065" s="19" t="s">
        <v>122</v>
      </c>
      <c r="D1065" s="20"/>
      <c r="E1065" s="20"/>
      <c r="F1065" s="21" t="n">
        <f aca="false">'📋 Matches'!E57</f>
        <v>0</v>
      </c>
      <c r="G1065" s="21" t="n">
        <f aca="false">'📋 Matches'!F57</f>
        <v>0</v>
      </c>
      <c r="H1065" s="24" t="s">
        <v>148</v>
      </c>
      <c r="I1065" s="24" t="s">
        <v>148</v>
      </c>
      <c r="J1065" s="24" t="s">
        <v>148</v>
      </c>
      <c r="K1065" s="24" t="s">
        <v>148</v>
      </c>
      <c r="L1065" s="24" t="s">
        <v>148</v>
      </c>
    </row>
    <row r="1066" customFormat="false" ht="18" hidden="false" customHeight="true" outlineLevel="0" collapsed="false">
      <c r="A1066" s="17" t="s">
        <v>114</v>
      </c>
      <c r="B1066" s="31" t="s">
        <v>162</v>
      </c>
      <c r="C1066" s="19" t="s">
        <v>123</v>
      </c>
      <c r="D1066" s="20"/>
      <c r="E1066" s="20"/>
      <c r="F1066" s="21" t="n">
        <f aca="false">'📋 Matches'!E58</f>
        <v>0</v>
      </c>
      <c r="G1066" s="21" t="n">
        <f aca="false">'📋 Matches'!F58</f>
        <v>0</v>
      </c>
      <c r="H1066" s="24" t="s">
        <v>148</v>
      </c>
      <c r="I1066" s="24" t="s">
        <v>148</v>
      </c>
      <c r="J1066" s="24" t="s">
        <v>148</v>
      </c>
      <c r="K1066" s="24" t="s">
        <v>148</v>
      </c>
      <c r="L1066" s="24" t="s">
        <v>148</v>
      </c>
    </row>
    <row r="1067" customFormat="false" ht="18" hidden="false" customHeight="true" outlineLevel="0" collapsed="false">
      <c r="A1067" s="17" t="s">
        <v>114</v>
      </c>
      <c r="B1067" s="31" t="s">
        <v>162</v>
      </c>
      <c r="C1067" s="19" t="s">
        <v>124</v>
      </c>
      <c r="D1067" s="20"/>
      <c r="E1067" s="20"/>
      <c r="F1067" s="21" t="n">
        <f aca="false">'📋 Matches'!E59</f>
        <v>0</v>
      </c>
      <c r="G1067" s="21" t="n">
        <f aca="false">'📋 Matches'!F59</f>
        <v>0</v>
      </c>
      <c r="H1067" s="24" t="s">
        <v>148</v>
      </c>
      <c r="I1067" s="24" t="s">
        <v>148</v>
      </c>
      <c r="J1067" s="24" t="s">
        <v>148</v>
      </c>
      <c r="K1067" s="24" t="s">
        <v>148</v>
      </c>
      <c r="L1067" s="24" t="s">
        <v>148</v>
      </c>
    </row>
    <row r="1068" customFormat="false" ht="18" hidden="false" customHeight="true" outlineLevel="0" collapsed="false">
      <c r="A1068" s="17" t="s">
        <v>114</v>
      </c>
      <c r="B1068" s="31" t="s">
        <v>162</v>
      </c>
      <c r="C1068" s="19" t="s">
        <v>125</v>
      </c>
      <c r="D1068" s="20"/>
      <c r="E1068" s="20"/>
      <c r="F1068" s="21" t="n">
        <f aca="false">'📋 Matches'!E60</f>
        <v>0</v>
      </c>
      <c r="G1068" s="21" t="n">
        <f aca="false">'📋 Matches'!F60</f>
        <v>0</v>
      </c>
      <c r="H1068" s="24" t="s">
        <v>148</v>
      </c>
      <c r="I1068" s="24" t="s">
        <v>148</v>
      </c>
      <c r="J1068" s="24" t="s">
        <v>148</v>
      </c>
      <c r="K1068" s="24" t="s">
        <v>148</v>
      </c>
      <c r="L1068" s="24" t="s">
        <v>148</v>
      </c>
    </row>
    <row r="1069" customFormat="false" ht="18" hidden="false" customHeight="true" outlineLevel="0" collapsed="false">
      <c r="A1069" s="17" t="s">
        <v>114</v>
      </c>
      <c r="B1069" s="31" t="s">
        <v>162</v>
      </c>
      <c r="C1069" s="19" t="s">
        <v>126</v>
      </c>
      <c r="D1069" s="20"/>
      <c r="E1069" s="20"/>
      <c r="F1069" s="21" t="n">
        <f aca="false">'📋 Matches'!E61</f>
        <v>0</v>
      </c>
      <c r="G1069" s="21" t="n">
        <f aca="false">'📋 Matches'!F61</f>
        <v>0</v>
      </c>
      <c r="H1069" s="24" t="s">
        <v>148</v>
      </c>
      <c r="I1069" s="24" t="s">
        <v>148</v>
      </c>
      <c r="J1069" s="24" t="s">
        <v>148</v>
      </c>
      <c r="K1069" s="24" t="s">
        <v>148</v>
      </c>
      <c r="L1069" s="24" t="s">
        <v>148</v>
      </c>
    </row>
    <row r="1070" customFormat="false" ht="18" hidden="false" customHeight="true" outlineLevel="0" collapsed="false">
      <c r="A1070" s="17" t="s">
        <v>114</v>
      </c>
      <c r="B1070" s="31" t="s">
        <v>162</v>
      </c>
      <c r="C1070" s="19" t="s">
        <v>127</v>
      </c>
      <c r="D1070" s="20"/>
      <c r="E1070" s="20"/>
      <c r="F1070" s="21" t="n">
        <f aca="false">'📋 Matches'!E62</f>
        <v>0</v>
      </c>
      <c r="G1070" s="21" t="n">
        <f aca="false">'📋 Matches'!F62</f>
        <v>0</v>
      </c>
      <c r="H1070" s="24" t="s">
        <v>148</v>
      </c>
      <c r="I1070" s="24" t="s">
        <v>148</v>
      </c>
      <c r="J1070" s="24" t="s">
        <v>148</v>
      </c>
      <c r="K1070" s="24" t="s">
        <v>148</v>
      </c>
      <c r="L1070" s="24" t="s">
        <v>148</v>
      </c>
    </row>
    <row r="1071" customFormat="false" ht="18" hidden="false" customHeight="true" outlineLevel="0" collapsed="false">
      <c r="A1071" s="17" t="s">
        <v>114</v>
      </c>
      <c r="B1071" s="31" t="s">
        <v>162</v>
      </c>
      <c r="C1071" s="19" t="s">
        <v>128</v>
      </c>
      <c r="D1071" s="20"/>
      <c r="E1071" s="20"/>
      <c r="F1071" s="21" t="n">
        <f aca="false">'📋 Matches'!E63</f>
        <v>0</v>
      </c>
      <c r="G1071" s="21" t="n">
        <f aca="false">'📋 Matches'!F63</f>
        <v>0</v>
      </c>
      <c r="H1071" s="24" t="s">
        <v>148</v>
      </c>
      <c r="I1071" s="24" t="s">
        <v>148</v>
      </c>
      <c r="J1071" s="24" t="s">
        <v>148</v>
      </c>
      <c r="K1071" s="24" t="s">
        <v>148</v>
      </c>
      <c r="L1071" s="24" t="s">
        <v>148</v>
      </c>
    </row>
    <row r="1072" customFormat="false" ht="18" hidden="false" customHeight="true" outlineLevel="0" collapsed="false">
      <c r="A1072" s="17" t="s">
        <v>114</v>
      </c>
      <c r="B1072" s="31" t="s">
        <v>162</v>
      </c>
      <c r="C1072" s="19" t="s">
        <v>129</v>
      </c>
      <c r="D1072" s="20"/>
      <c r="E1072" s="20"/>
      <c r="F1072" s="21" t="n">
        <f aca="false">'📋 Matches'!E64</f>
        <v>0</v>
      </c>
      <c r="G1072" s="21" t="n">
        <f aca="false">'📋 Matches'!F64</f>
        <v>0</v>
      </c>
      <c r="H1072" s="24" t="s">
        <v>148</v>
      </c>
      <c r="I1072" s="24" t="s">
        <v>148</v>
      </c>
      <c r="J1072" s="24" t="s">
        <v>148</v>
      </c>
      <c r="K1072" s="24" t="s">
        <v>148</v>
      </c>
      <c r="L1072" s="24" t="s">
        <v>148</v>
      </c>
    </row>
    <row r="1073" customFormat="false" ht="18" hidden="false" customHeight="true" outlineLevel="0" collapsed="false">
      <c r="A1073" s="17" t="s">
        <v>114</v>
      </c>
      <c r="B1073" s="31" t="s">
        <v>162</v>
      </c>
      <c r="C1073" s="19" t="s">
        <v>130</v>
      </c>
      <c r="D1073" s="20"/>
      <c r="E1073" s="20"/>
      <c r="F1073" s="21" t="n">
        <f aca="false">'📋 Matches'!E65</f>
        <v>0</v>
      </c>
      <c r="G1073" s="21" t="n">
        <f aca="false">'📋 Matches'!F65</f>
        <v>0</v>
      </c>
      <c r="H1073" s="24" t="s">
        <v>148</v>
      </c>
      <c r="I1073" s="24" t="s">
        <v>148</v>
      </c>
      <c r="J1073" s="24" t="s">
        <v>148</v>
      </c>
      <c r="K1073" s="24" t="s">
        <v>148</v>
      </c>
      <c r="L1073" s="24" t="s">
        <v>148</v>
      </c>
    </row>
    <row r="1074" customFormat="false" ht="18" hidden="false" customHeight="true" outlineLevel="0" collapsed="false">
      <c r="A1074" s="17" t="s">
        <v>114</v>
      </c>
      <c r="B1074" s="31" t="s">
        <v>162</v>
      </c>
      <c r="C1074" s="19" t="s">
        <v>131</v>
      </c>
      <c r="D1074" s="20"/>
      <c r="E1074" s="20"/>
      <c r="F1074" s="21" t="n">
        <f aca="false">'📋 Matches'!E66</f>
        <v>0</v>
      </c>
      <c r="G1074" s="21" t="n">
        <f aca="false">'📋 Matches'!F66</f>
        <v>0</v>
      </c>
      <c r="H1074" s="24" t="s">
        <v>148</v>
      </c>
      <c r="I1074" s="24" t="s">
        <v>148</v>
      </c>
      <c r="J1074" s="24" t="s">
        <v>148</v>
      </c>
      <c r="K1074" s="24" t="s">
        <v>148</v>
      </c>
      <c r="L1074" s="24" t="s">
        <v>148</v>
      </c>
    </row>
    <row r="1075" customFormat="false" ht="18" hidden="false" customHeight="true" outlineLevel="0" collapsed="false">
      <c r="A1075" s="17" t="s">
        <v>114</v>
      </c>
      <c r="B1075" s="31" t="s">
        <v>162</v>
      </c>
      <c r="C1075" s="19" t="s">
        <v>132</v>
      </c>
      <c r="D1075" s="20"/>
      <c r="E1075" s="20"/>
      <c r="F1075" s="21" t="n">
        <f aca="false">'📋 Matches'!E67</f>
        <v>0</v>
      </c>
      <c r="G1075" s="21" t="n">
        <f aca="false">'📋 Matches'!F67</f>
        <v>0</v>
      </c>
      <c r="H1075" s="24" t="s">
        <v>148</v>
      </c>
      <c r="I1075" s="24" t="s">
        <v>148</v>
      </c>
      <c r="J1075" s="24" t="s">
        <v>148</v>
      </c>
      <c r="K1075" s="24" t="s">
        <v>148</v>
      </c>
      <c r="L1075" s="24" t="s">
        <v>148</v>
      </c>
    </row>
    <row r="1076" customFormat="false" ht="18" hidden="false" customHeight="true" outlineLevel="0" collapsed="false">
      <c r="A1076" s="17" t="s">
        <v>114</v>
      </c>
      <c r="B1076" s="31" t="s">
        <v>162</v>
      </c>
      <c r="C1076" s="19" t="s">
        <v>133</v>
      </c>
      <c r="D1076" s="20"/>
      <c r="E1076" s="20"/>
      <c r="F1076" s="21" t="n">
        <f aca="false">'📋 Matches'!E68</f>
        <v>0</v>
      </c>
      <c r="G1076" s="21" t="n">
        <f aca="false">'📋 Matches'!F68</f>
        <v>0</v>
      </c>
      <c r="H1076" s="24" t="s">
        <v>148</v>
      </c>
      <c r="I1076" s="24" t="s">
        <v>148</v>
      </c>
      <c r="J1076" s="24" t="s">
        <v>148</v>
      </c>
      <c r="K1076" s="24" t="s">
        <v>148</v>
      </c>
      <c r="L1076" s="24" t="s">
        <v>148</v>
      </c>
    </row>
    <row r="1077" customFormat="false" ht="18" hidden="false" customHeight="true" outlineLevel="0" collapsed="false">
      <c r="A1077" s="17" t="s">
        <v>114</v>
      </c>
      <c r="B1077" s="31" t="s">
        <v>162</v>
      </c>
      <c r="C1077" s="19" t="s">
        <v>134</v>
      </c>
      <c r="D1077" s="20"/>
      <c r="E1077" s="20"/>
      <c r="F1077" s="21" t="n">
        <f aca="false">'📋 Matches'!E69</f>
        <v>0</v>
      </c>
      <c r="G1077" s="21" t="n">
        <f aca="false">'📋 Matches'!F69</f>
        <v>0</v>
      </c>
      <c r="H1077" s="24" t="s">
        <v>148</v>
      </c>
      <c r="I1077" s="24" t="s">
        <v>148</v>
      </c>
      <c r="J1077" s="24" t="s">
        <v>148</v>
      </c>
      <c r="K1077" s="24" t="s">
        <v>148</v>
      </c>
      <c r="L1077" s="24" t="s">
        <v>148</v>
      </c>
    </row>
    <row r="1078" customFormat="false" ht="18" hidden="false" customHeight="true" outlineLevel="0" collapsed="false">
      <c r="A1078" s="17" t="s">
        <v>114</v>
      </c>
      <c r="B1078" s="31" t="s">
        <v>162</v>
      </c>
      <c r="C1078" s="19" t="s">
        <v>135</v>
      </c>
      <c r="D1078" s="20"/>
      <c r="E1078" s="20"/>
      <c r="F1078" s="21" t="n">
        <f aca="false">'📋 Matches'!E70</f>
        <v>0</v>
      </c>
      <c r="G1078" s="21" t="n">
        <f aca="false">'📋 Matches'!F70</f>
        <v>0</v>
      </c>
      <c r="H1078" s="24" t="s">
        <v>148</v>
      </c>
      <c r="I1078" s="24" t="s">
        <v>148</v>
      </c>
      <c r="J1078" s="24" t="s">
        <v>148</v>
      </c>
      <c r="K1078" s="24" t="s">
        <v>148</v>
      </c>
      <c r="L1078" s="24" t="s">
        <v>148</v>
      </c>
    </row>
    <row r="1079" customFormat="false" ht="18" hidden="false" customHeight="true" outlineLevel="0" collapsed="false">
      <c r="A1079" s="17" t="s">
        <v>114</v>
      </c>
      <c r="B1079" s="31" t="s">
        <v>162</v>
      </c>
      <c r="C1079" s="19" t="s">
        <v>136</v>
      </c>
      <c r="D1079" s="20"/>
      <c r="E1079" s="20"/>
      <c r="F1079" s="21" t="n">
        <f aca="false">'📋 Matches'!E71</f>
        <v>0</v>
      </c>
      <c r="G1079" s="21" t="n">
        <f aca="false">'📋 Matches'!F71</f>
        <v>0</v>
      </c>
      <c r="H1079" s="24" t="s">
        <v>148</v>
      </c>
      <c r="I1079" s="24" t="s">
        <v>148</v>
      </c>
      <c r="J1079" s="24" t="s">
        <v>148</v>
      </c>
      <c r="K1079" s="24" t="s">
        <v>148</v>
      </c>
      <c r="L1079" s="24" t="s">
        <v>148</v>
      </c>
    </row>
    <row r="1080" customFormat="false" ht="18" hidden="false" customHeight="true" outlineLevel="0" collapsed="false">
      <c r="A1080" s="17" t="s">
        <v>114</v>
      </c>
      <c r="B1080" s="31" t="s">
        <v>162</v>
      </c>
      <c r="C1080" s="19" t="s">
        <v>137</v>
      </c>
      <c r="D1080" s="20"/>
      <c r="E1080" s="20"/>
      <c r="F1080" s="21" t="n">
        <f aca="false">'📋 Matches'!E72</f>
        <v>0</v>
      </c>
      <c r="G1080" s="21" t="n">
        <f aca="false">'📋 Matches'!F72</f>
        <v>0</v>
      </c>
      <c r="H1080" s="24" t="s">
        <v>148</v>
      </c>
      <c r="I1080" s="24" t="s">
        <v>148</v>
      </c>
      <c r="J1080" s="24" t="s">
        <v>148</v>
      </c>
      <c r="K1080" s="24" t="s">
        <v>148</v>
      </c>
      <c r="L1080" s="24" t="s">
        <v>148</v>
      </c>
    </row>
    <row r="1081" customFormat="false" ht="18" hidden="false" customHeight="true" outlineLevel="0" collapsed="false">
      <c r="A1081" s="17" t="s">
        <v>114</v>
      </c>
      <c r="B1081" s="31" t="s">
        <v>162</v>
      </c>
      <c r="C1081" s="19" t="s">
        <v>138</v>
      </c>
      <c r="D1081" s="20"/>
      <c r="E1081" s="20"/>
      <c r="F1081" s="21" t="n">
        <f aca="false">'📋 Matches'!E73</f>
        <v>0</v>
      </c>
      <c r="G1081" s="21" t="n">
        <f aca="false">'📋 Matches'!F73</f>
        <v>0</v>
      </c>
      <c r="H1081" s="24" t="s">
        <v>148</v>
      </c>
      <c r="I1081" s="24" t="s">
        <v>148</v>
      </c>
      <c r="J1081" s="24" t="s">
        <v>148</v>
      </c>
      <c r="K1081" s="24" t="s">
        <v>148</v>
      </c>
      <c r="L1081" s="24" t="s">
        <v>148</v>
      </c>
    </row>
    <row r="1082" customFormat="false" ht="18" hidden="false" customHeight="true" outlineLevel="0" collapsed="false">
      <c r="A1082" s="25" t="s">
        <v>9</v>
      </c>
      <c r="B1082" s="26" t="s">
        <v>163</v>
      </c>
      <c r="C1082" s="27" t="s">
        <v>10</v>
      </c>
      <c r="D1082" s="28" t="n">
        <v>3</v>
      </c>
      <c r="E1082" s="28" t="n">
        <v>1</v>
      </c>
      <c r="F1082" s="29" t="n">
        <f aca="false">'📋 Matches'!E2</f>
        <v>2</v>
      </c>
      <c r="G1082" s="29" t="n">
        <f aca="false">'📋 Matches'!F2</f>
        <v>0</v>
      </c>
      <c r="H1082" s="22" t="n">
        <f aca="false">IF(AND(ISNUMBER(F1082),ISNUMBER(G1082)),IF(SIGN(D1082-E1082)=SIGN(F1082-G1082),48,0),"")</f>
        <v>48</v>
      </c>
      <c r="I1082" s="22" t="n">
        <f aca="false">IF(AND(ISNUMBER(F1082),ISNUMBER(G1082)),IF(D1082=F1082,15,0),"")</f>
        <v>0</v>
      </c>
      <c r="J1082" s="22" t="n">
        <f aca="false">IF(AND(ISNUMBER(F1082),ISNUMBER(G1082)),IF(E1082=G1082,15,0),"")</f>
        <v>0</v>
      </c>
      <c r="K1082" s="22" t="n">
        <f aca="false">IF(AND(ISNUMBER(F1082),ISNUMBER(G1082)),IF(ABS(D1082-E1082)=ABS(F1082-G1082),12,0),"")</f>
        <v>12</v>
      </c>
      <c r="L1082" s="23" t="n">
        <f aca="false">IF(ISNUMBER(H1082),H1082+I1082+J1082+K1082,"")</f>
        <v>60</v>
      </c>
    </row>
    <row r="1083" customFormat="false" ht="18" hidden="false" customHeight="true" outlineLevel="0" collapsed="false">
      <c r="A1083" s="25" t="s">
        <v>9</v>
      </c>
      <c r="B1083" s="26" t="s">
        <v>163</v>
      </c>
      <c r="C1083" s="27" t="s">
        <v>14</v>
      </c>
      <c r="D1083" s="28" t="n">
        <v>2</v>
      </c>
      <c r="E1083" s="28" t="n">
        <v>1</v>
      </c>
      <c r="F1083" s="29" t="n">
        <f aca="false">'📋 Matches'!E3</f>
        <v>2</v>
      </c>
      <c r="G1083" s="29" t="n">
        <f aca="false">'📋 Matches'!F3</f>
        <v>1</v>
      </c>
      <c r="H1083" s="22" t="n">
        <f aca="false">IF(AND(ISNUMBER(F1083),ISNUMBER(G1083)),IF(SIGN(D1083-E1083)=SIGN(F1083-G1083),48,0),"")</f>
        <v>48</v>
      </c>
      <c r="I1083" s="22" t="n">
        <f aca="false">IF(AND(ISNUMBER(F1083),ISNUMBER(G1083)),IF(D1083=F1083,15,0),"")</f>
        <v>15</v>
      </c>
      <c r="J1083" s="22" t="n">
        <f aca="false">IF(AND(ISNUMBER(F1083),ISNUMBER(G1083)),IF(E1083=G1083,15,0),"")</f>
        <v>15</v>
      </c>
      <c r="K1083" s="22" t="n">
        <f aca="false">IF(AND(ISNUMBER(F1083),ISNUMBER(G1083)),IF(ABS(D1083-E1083)=ABS(F1083-G1083),12,0),"")</f>
        <v>12</v>
      </c>
      <c r="L1083" s="23" t="n">
        <f aca="false">IF(ISNUMBER(H1083),H1083+I1083+J1083+K1083,"")</f>
        <v>90</v>
      </c>
    </row>
    <row r="1084" customFormat="false" ht="18" hidden="false" customHeight="true" outlineLevel="0" collapsed="false">
      <c r="A1084" s="25" t="s">
        <v>9</v>
      </c>
      <c r="B1084" s="26" t="s">
        <v>163</v>
      </c>
      <c r="C1084" s="27" t="s">
        <v>17</v>
      </c>
      <c r="D1084" s="28" t="n">
        <v>2</v>
      </c>
      <c r="E1084" s="28" t="n">
        <v>0</v>
      </c>
      <c r="F1084" s="29" t="n">
        <f aca="false">'📋 Matches'!E4</f>
        <v>1</v>
      </c>
      <c r="G1084" s="29" t="n">
        <f aca="false">'📋 Matches'!F4</f>
        <v>1</v>
      </c>
      <c r="H1084" s="22" t="n">
        <f aca="false">IF(AND(ISNUMBER(F1084),ISNUMBER(G1084)),IF(SIGN(D1084-E1084)=SIGN(F1084-G1084),48,0),"")</f>
        <v>0</v>
      </c>
      <c r="I1084" s="22" t="n">
        <f aca="false">IF(AND(ISNUMBER(F1084),ISNUMBER(G1084)),IF(D1084=F1084,15,0),"")</f>
        <v>0</v>
      </c>
      <c r="J1084" s="22" t="n">
        <f aca="false">IF(AND(ISNUMBER(F1084),ISNUMBER(G1084)),IF(E1084=G1084,15,0),"")</f>
        <v>0</v>
      </c>
      <c r="K1084" s="22" t="n">
        <f aca="false">IF(AND(ISNUMBER(F1084),ISNUMBER(G1084)),IF(ABS(D1084-E1084)=ABS(F1084-G1084),12,0),"")</f>
        <v>0</v>
      </c>
      <c r="L1084" s="23" t="n">
        <f aca="false">IF(ISNUMBER(H1084),H1084+I1084+J1084+K1084,"")</f>
        <v>0</v>
      </c>
    </row>
    <row r="1085" customFormat="false" ht="18" hidden="false" customHeight="true" outlineLevel="0" collapsed="false">
      <c r="A1085" s="25" t="s">
        <v>9</v>
      </c>
      <c r="B1085" s="26" t="s">
        <v>163</v>
      </c>
      <c r="C1085" s="27" t="s">
        <v>20</v>
      </c>
      <c r="D1085" s="28" t="n">
        <v>1</v>
      </c>
      <c r="E1085" s="28" t="n">
        <v>1</v>
      </c>
      <c r="F1085" s="29" t="n">
        <f aca="false">'📋 Matches'!E5</f>
        <v>4</v>
      </c>
      <c r="G1085" s="29" t="n">
        <f aca="false">'📋 Matches'!F5</f>
        <v>1</v>
      </c>
      <c r="H1085" s="22" t="n">
        <f aca="false">IF(AND(ISNUMBER(F1085),ISNUMBER(G1085)),IF(SIGN(D1085-E1085)=SIGN(F1085-G1085),48,0),"")</f>
        <v>0</v>
      </c>
      <c r="I1085" s="22" t="n">
        <f aca="false">IF(AND(ISNUMBER(F1085),ISNUMBER(G1085)),IF(D1085=F1085,15,0),"")</f>
        <v>0</v>
      </c>
      <c r="J1085" s="22" t="n">
        <f aca="false">IF(AND(ISNUMBER(F1085),ISNUMBER(G1085)),IF(E1085=G1085,15,0),"")</f>
        <v>15</v>
      </c>
      <c r="K1085" s="22" t="n">
        <f aca="false">IF(AND(ISNUMBER(F1085),ISNUMBER(G1085)),IF(ABS(D1085-E1085)=ABS(F1085-G1085),12,0),"")</f>
        <v>0</v>
      </c>
      <c r="L1085" s="23" t="n">
        <f aca="false">IF(ISNUMBER(H1085),H1085+I1085+J1085+K1085,"")</f>
        <v>15</v>
      </c>
    </row>
    <row r="1086" customFormat="false" ht="18" hidden="false" customHeight="true" outlineLevel="0" collapsed="false">
      <c r="A1086" s="25" t="s">
        <v>9</v>
      </c>
      <c r="B1086" s="26" t="s">
        <v>163</v>
      </c>
      <c r="C1086" s="27" t="s">
        <v>23</v>
      </c>
      <c r="D1086" s="28" t="n">
        <v>0</v>
      </c>
      <c r="E1086" s="28" t="n">
        <v>4</v>
      </c>
      <c r="F1086" s="29" t="n">
        <f aca="false">'📋 Matches'!E6</f>
        <v>0</v>
      </c>
      <c r="G1086" s="29" t="n">
        <f aca="false">'📋 Matches'!F6</f>
        <v>0</v>
      </c>
      <c r="H1086" s="22" t="str">
        <f aca="false">IF(AND(ISNUMBER(F1086),ISNUMBER(G1086)),IF(SIGN(D1086-E1086)=SIGN(F1086-G1086),48,0),"")</f>
        <v/>
      </c>
      <c r="I1086" s="22" t="str">
        <f aca="false">IF(AND(ISNUMBER(F1086),ISNUMBER(G1086)),IF(D1086=F1086,15,0),"")</f>
        <v/>
      </c>
      <c r="J1086" s="22" t="str">
        <f aca="false">IF(AND(ISNUMBER(F1086),ISNUMBER(G1086)),IF(E1086=G1086,15,0),"")</f>
        <v/>
      </c>
      <c r="K1086" s="22" t="str">
        <f aca="false">IF(AND(ISNUMBER(F1086),ISNUMBER(G1086)),IF(ABS(D1086-E1086)=ABS(F1086-G1086),12,0),"")</f>
        <v/>
      </c>
      <c r="L1086" s="23" t="str">
        <f aca="false">IF(ISNUMBER(H1086),H1086+I1086+J1086+K1086,"")</f>
        <v/>
      </c>
    </row>
    <row r="1087" customFormat="false" ht="18" hidden="false" customHeight="true" outlineLevel="0" collapsed="false">
      <c r="A1087" s="25" t="s">
        <v>9</v>
      </c>
      <c r="B1087" s="26" t="s">
        <v>163</v>
      </c>
      <c r="C1087" s="27" t="s">
        <v>27</v>
      </c>
      <c r="D1087" s="28" t="n">
        <v>2</v>
      </c>
      <c r="E1087" s="28" t="n">
        <v>0</v>
      </c>
      <c r="F1087" s="29" t="n">
        <f aca="false">'📋 Matches'!E7</f>
        <v>0</v>
      </c>
      <c r="G1087" s="29" t="n">
        <f aca="false">'📋 Matches'!F7</f>
        <v>0</v>
      </c>
      <c r="H1087" s="22" t="str">
        <f aca="false">IF(AND(ISNUMBER(F1087),ISNUMBER(G1087)),IF(SIGN(D1087-E1087)=SIGN(F1087-G1087),48,0),"")</f>
        <v/>
      </c>
      <c r="I1087" s="22" t="str">
        <f aca="false">IF(AND(ISNUMBER(F1087),ISNUMBER(G1087)),IF(D1087=F1087,15,0),"")</f>
        <v/>
      </c>
      <c r="J1087" s="22" t="str">
        <f aca="false">IF(AND(ISNUMBER(F1087),ISNUMBER(G1087)),IF(E1087=G1087,15,0),"")</f>
        <v/>
      </c>
      <c r="K1087" s="22" t="str">
        <f aca="false">IF(AND(ISNUMBER(F1087),ISNUMBER(G1087)),IF(ABS(D1087-E1087)=ABS(F1087-G1087),12,0),"")</f>
        <v/>
      </c>
      <c r="L1087" s="23" t="str">
        <f aca="false">IF(ISNUMBER(H1087),H1087+I1087+J1087+K1087,"")</f>
        <v/>
      </c>
    </row>
    <row r="1088" customFormat="false" ht="18" hidden="false" customHeight="true" outlineLevel="0" collapsed="false">
      <c r="A1088" s="25" t="s">
        <v>9</v>
      </c>
      <c r="B1088" s="26" t="s">
        <v>163</v>
      </c>
      <c r="C1088" s="27" t="s">
        <v>30</v>
      </c>
      <c r="D1088" s="28" t="n">
        <v>0</v>
      </c>
      <c r="E1088" s="28" t="n">
        <v>3</v>
      </c>
      <c r="F1088" s="29" t="n">
        <f aca="false">'📋 Matches'!E8</f>
        <v>0</v>
      </c>
      <c r="G1088" s="29" t="n">
        <f aca="false">'📋 Matches'!F8</f>
        <v>0</v>
      </c>
      <c r="H1088" s="22" t="str">
        <f aca="false">IF(AND(ISNUMBER(F1088),ISNUMBER(G1088)),IF(SIGN(D1088-E1088)=SIGN(F1088-G1088),48,0),"")</f>
        <v/>
      </c>
      <c r="I1088" s="22" t="str">
        <f aca="false">IF(AND(ISNUMBER(F1088),ISNUMBER(G1088)),IF(D1088=F1088,15,0),"")</f>
        <v/>
      </c>
      <c r="J1088" s="22" t="str">
        <f aca="false">IF(AND(ISNUMBER(F1088),ISNUMBER(G1088)),IF(E1088=G1088,15,0),"")</f>
        <v/>
      </c>
      <c r="K1088" s="22" t="str">
        <f aca="false">IF(AND(ISNUMBER(F1088),ISNUMBER(G1088)),IF(ABS(D1088-E1088)=ABS(F1088-G1088),12,0),"")</f>
        <v/>
      </c>
      <c r="L1088" s="23" t="str">
        <f aca="false">IF(ISNUMBER(H1088),H1088+I1088+J1088+K1088,"")</f>
        <v/>
      </c>
    </row>
    <row r="1089" customFormat="false" ht="18" hidden="false" customHeight="true" outlineLevel="0" collapsed="false">
      <c r="A1089" s="25" t="s">
        <v>9</v>
      </c>
      <c r="B1089" s="26" t="s">
        <v>163</v>
      </c>
      <c r="C1089" s="27" t="s">
        <v>33</v>
      </c>
      <c r="D1089" s="28" t="n">
        <v>0</v>
      </c>
      <c r="E1089" s="28" t="n">
        <v>2</v>
      </c>
      <c r="F1089" s="29" t="n">
        <f aca="false">'📋 Matches'!E9</f>
        <v>0</v>
      </c>
      <c r="G1089" s="29" t="n">
        <f aca="false">'📋 Matches'!F9</f>
        <v>0</v>
      </c>
      <c r="H1089" s="22" t="str">
        <f aca="false">IF(AND(ISNUMBER(F1089),ISNUMBER(G1089)),IF(SIGN(D1089-E1089)=SIGN(F1089-G1089),48,0),"")</f>
        <v/>
      </c>
      <c r="I1089" s="22" t="str">
        <f aca="false">IF(AND(ISNUMBER(F1089),ISNUMBER(G1089)),IF(D1089=F1089,15,0),"")</f>
        <v/>
      </c>
      <c r="J1089" s="22" t="str">
        <f aca="false">IF(AND(ISNUMBER(F1089),ISNUMBER(G1089)),IF(E1089=G1089,15,0),"")</f>
        <v/>
      </c>
      <c r="K1089" s="22" t="str">
        <f aca="false">IF(AND(ISNUMBER(F1089),ISNUMBER(G1089)),IF(ABS(D1089-E1089)=ABS(F1089-G1089),12,0),"")</f>
        <v/>
      </c>
      <c r="L1089" s="23" t="str">
        <f aca="false">IF(ISNUMBER(H1089),H1089+I1089+J1089+K1089,"")</f>
        <v/>
      </c>
    </row>
    <row r="1090" customFormat="false" ht="18" hidden="false" customHeight="true" outlineLevel="0" collapsed="false">
      <c r="A1090" s="25" t="s">
        <v>9</v>
      </c>
      <c r="B1090" s="26" t="s">
        <v>163</v>
      </c>
      <c r="C1090" s="27" t="s">
        <v>36</v>
      </c>
      <c r="D1090" s="28" t="n">
        <v>5</v>
      </c>
      <c r="E1090" s="28" t="n">
        <v>0</v>
      </c>
      <c r="F1090" s="29" t="n">
        <f aca="false">'📋 Matches'!E10</f>
        <v>0</v>
      </c>
      <c r="G1090" s="29" t="n">
        <f aca="false">'📋 Matches'!F10</f>
        <v>0</v>
      </c>
      <c r="H1090" s="22" t="str">
        <f aca="false">IF(AND(ISNUMBER(F1090),ISNUMBER(G1090)),IF(SIGN(D1090-E1090)=SIGN(F1090-G1090),48,0),"")</f>
        <v/>
      </c>
      <c r="I1090" s="22" t="str">
        <f aca="false">IF(AND(ISNUMBER(F1090),ISNUMBER(G1090)),IF(D1090=F1090,15,0),"")</f>
        <v/>
      </c>
      <c r="J1090" s="22" t="str">
        <f aca="false">IF(AND(ISNUMBER(F1090),ISNUMBER(G1090)),IF(E1090=G1090,15,0),"")</f>
        <v/>
      </c>
      <c r="K1090" s="22" t="str">
        <f aca="false">IF(AND(ISNUMBER(F1090),ISNUMBER(G1090)),IF(ABS(D1090-E1090)=ABS(F1090-G1090),12,0),"")</f>
        <v/>
      </c>
      <c r="L1090" s="23" t="str">
        <f aca="false">IF(ISNUMBER(H1090),H1090+I1090+J1090+K1090,"")</f>
        <v/>
      </c>
    </row>
    <row r="1091" customFormat="false" ht="18" hidden="false" customHeight="true" outlineLevel="0" collapsed="false">
      <c r="A1091" s="25" t="s">
        <v>9</v>
      </c>
      <c r="B1091" s="26" t="s">
        <v>163</v>
      </c>
      <c r="C1091" s="27" t="s">
        <v>39</v>
      </c>
      <c r="D1091" s="28" t="n">
        <v>2</v>
      </c>
      <c r="E1091" s="28" t="n">
        <v>3</v>
      </c>
      <c r="F1091" s="29" t="n">
        <f aca="false">'📋 Matches'!E11</f>
        <v>0</v>
      </c>
      <c r="G1091" s="29" t="n">
        <f aca="false">'📋 Matches'!F11</f>
        <v>0</v>
      </c>
      <c r="H1091" s="22" t="str">
        <f aca="false">IF(AND(ISNUMBER(F1091),ISNUMBER(G1091)),IF(SIGN(D1091-E1091)=SIGN(F1091-G1091),48,0),"")</f>
        <v/>
      </c>
      <c r="I1091" s="22" t="str">
        <f aca="false">IF(AND(ISNUMBER(F1091),ISNUMBER(G1091)),IF(D1091=F1091,15,0),"")</f>
        <v/>
      </c>
      <c r="J1091" s="22" t="str">
        <f aca="false">IF(AND(ISNUMBER(F1091),ISNUMBER(G1091)),IF(E1091=G1091,15,0),"")</f>
        <v/>
      </c>
      <c r="K1091" s="22" t="str">
        <f aca="false">IF(AND(ISNUMBER(F1091),ISNUMBER(G1091)),IF(ABS(D1091-E1091)=ABS(F1091-G1091),12,0),"")</f>
        <v/>
      </c>
      <c r="L1091" s="23" t="str">
        <f aca="false">IF(ISNUMBER(H1091),H1091+I1091+J1091+K1091,"")</f>
        <v/>
      </c>
    </row>
    <row r="1092" customFormat="false" ht="18" hidden="false" customHeight="true" outlineLevel="0" collapsed="false">
      <c r="A1092" s="25" t="s">
        <v>9</v>
      </c>
      <c r="B1092" s="26" t="s">
        <v>163</v>
      </c>
      <c r="C1092" s="27" t="s">
        <v>42</v>
      </c>
      <c r="D1092" s="28" t="n">
        <v>1</v>
      </c>
      <c r="E1092" s="28" t="n">
        <v>2</v>
      </c>
      <c r="F1092" s="29" t="n">
        <f aca="false">'📋 Matches'!E12</f>
        <v>0</v>
      </c>
      <c r="G1092" s="29" t="n">
        <f aca="false">'📋 Matches'!F12</f>
        <v>0</v>
      </c>
      <c r="H1092" s="22" t="str">
        <f aca="false">IF(AND(ISNUMBER(F1092),ISNUMBER(G1092)),IF(SIGN(D1092-E1092)=SIGN(F1092-G1092),48,0),"")</f>
        <v/>
      </c>
      <c r="I1092" s="22" t="str">
        <f aca="false">IF(AND(ISNUMBER(F1092),ISNUMBER(G1092)),IF(D1092=F1092,15,0),"")</f>
        <v/>
      </c>
      <c r="J1092" s="22" t="str">
        <f aca="false">IF(AND(ISNUMBER(F1092),ISNUMBER(G1092)),IF(E1092=G1092,15,0),"")</f>
        <v/>
      </c>
      <c r="K1092" s="22" t="str">
        <f aca="false">IF(AND(ISNUMBER(F1092),ISNUMBER(G1092)),IF(ABS(D1092-E1092)=ABS(F1092-G1092),12,0),"")</f>
        <v/>
      </c>
      <c r="L1092" s="23" t="str">
        <f aca="false">IF(ISNUMBER(H1092),H1092+I1092+J1092+K1092,"")</f>
        <v/>
      </c>
    </row>
    <row r="1093" customFormat="false" ht="18" hidden="false" customHeight="true" outlineLevel="0" collapsed="false">
      <c r="A1093" s="25" t="s">
        <v>9</v>
      </c>
      <c r="B1093" s="26" t="s">
        <v>163</v>
      </c>
      <c r="C1093" s="27" t="s">
        <v>45</v>
      </c>
      <c r="D1093" s="28" t="n">
        <v>1</v>
      </c>
      <c r="E1093" s="28" t="n">
        <v>0</v>
      </c>
      <c r="F1093" s="29" t="n">
        <f aca="false">'📋 Matches'!E13</f>
        <v>0</v>
      </c>
      <c r="G1093" s="29" t="n">
        <f aca="false">'📋 Matches'!F13</f>
        <v>0</v>
      </c>
      <c r="H1093" s="22" t="str">
        <f aca="false">IF(AND(ISNUMBER(F1093),ISNUMBER(G1093)),IF(SIGN(D1093-E1093)=SIGN(F1093-G1093),48,0),"")</f>
        <v/>
      </c>
      <c r="I1093" s="22" t="str">
        <f aca="false">IF(AND(ISNUMBER(F1093),ISNUMBER(G1093)),IF(D1093=F1093,15,0),"")</f>
        <v/>
      </c>
      <c r="J1093" s="22" t="str">
        <f aca="false">IF(AND(ISNUMBER(F1093),ISNUMBER(G1093)),IF(E1093=G1093,15,0),"")</f>
        <v/>
      </c>
      <c r="K1093" s="22" t="str">
        <f aca="false">IF(AND(ISNUMBER(F1093),ISNUMBER(G1093)),IF(ABS(D1093-E1093)=ABS(F1093-G1093),12,0),"")</f>
        <v/>
      </c>
      <c r="L1093" s="23" t="str">
        <f aca="false">IF(ISNUMBER(H1093),H1093+I1093+J1093+K1093,"")</f>
        <v/>
      </c>
    </row>
    <row r="1094" customFormat="false" ht="18" hidden="false" customHeight="true" outlineLevel="0" collapsed="false">
      <c r="A1094" s="25" t="s">
        <v>9</v>
      </c>
      <c r="B1094" s="26" t="s">
        <v>163</v>
      </c>
      <c r="C1094" s="27" t="s">
        <v>48</v>
      </c>
      <c r="D1094" s="28" t="n">
        <v>4</v>
      </c>
      <c r="E1094" s="28" t="n">
        <v>0</v>
      </c>
      <c r="F1094" s="29" t="n">
        <f aca="false">'📋 Matches'!E14</f>
        <v>0</v>
      </c>
      <c r="G1094" s="29" t="n">
        <f aca="false">'📋 Matches'!F14</f>
        <v>0</v>
      </c>
      <c r="H1094" s="22" t="str">
        <f aca="false">IF(AND(ISNUMBER(F1094),ISNUMBER(G1094)),IF(SIGN(D1094-E1094)=SIGN(F1094-G1094),48,0),"")</f>
        <v/>
      </c>
      <c r="I1094" s="22" t="str">
        <f aca="false">IF(AND(ISNUMBER(F1094),ISNUMBER(G1094)),IF(D1094=F1094,15,0),"")</f>
        <v/>
      </c>
      <c r="J1094" s="22" t="str">
        <f aca="false">IF(AND(ISNUMBER(F1094),ISNUMBER(G1094)),IF(E1094=G1094,15,0),"")</f>
        <v/>
      </c>
      <c r="K1094" s="22" t="str">
        <f aca="false">IF(AND(ISNUMBER(F1094),ISNUMBER(G1094)),IF(ABS(D1094-E1094)=ABS(F1094-G1094),12,0),"")</f>
        <v/>
      </c>
      <c r="L1094" s="23" t="str">
        <f aca="false">IF(ISNUMBER(H1094),H1094+I1094+J1094+K1094,"")</f>
        <v/>
      </c>
    </row>
    <row r="1095" customFormat="false" ht="18" hidden="false" customHeight="true" outlineLevel="0" collapsed="false">
      <c r="A1095" s="25" t="s">
        <v>9</v>
      </c>
      <c r="B1095" s="26" t="s">
        <v>163</v>
      </c>
      <c r="C1095" s="27" t="s">
        <v>51</v>
      </c>
      <c r="D1095" s="28" t="n">
        <v>1</v>
      </c>
      <c r="E1095" s="28" t="n">
        <v>0</v>
      </c>
      <c r="F1095" s="29" t="n">
        <f aca="false">'📋 Matches'!E15</f>
        <v>0</v>
      </c>
      <c r="G1095" s="29" t="n">
        <f aca="false">'📋 Matches'!F15</f>
        <v>0</v>
      </c>
      <c r="H1095" s="22" t="str">
        <f aca="false">IF(AND(ISNUMBER(F1095),ISNUMBER(G1095)),IF(SIGN(D1095-E1095)=SIGN(F1095-G1095),48,0),"")</f>
        <v/>
      </c>
      <c r="I1095" s="22" t="str">
        <f aca="false">IF(AND(ISNUMBER(F1095),ISNUMBER(G1095)),IF(D1095=F1095,15,0),"")</f>
        <v/>
      </c>
      <c r="J1095" s="22" t="str">
        <f aca="false">IF(AND(ISNUMBER(F1095),ISNUMBER(G1095)),IF(E1095=G1095,15,0),"")</f>
        <v/>
      </c>
      <c r="K1095" s="22" t="str">
        <f aca="false">IF(AND(ISNUMBER(F1095),ISNUMBER(G1095)),IF(ABS(D1095-E1095)=ABS(F1095-G1095),12,0),"")</f>
        <v/>
      </c>
      <c r="L1095" s="23" t="str">
        <f aca="false">IF(ISNUMBER(H1095),H1095+I1095+J1095+K1095,"")</f>
        <v/>
      </c>
    </row>
    <row r="1096" customFormat="false" ht="18" hidden="false" customHeight="true" outlineLevel="0" collapsed="false">
      <c r="A1096" s="25" t="s">
        <v>9</v>
      </c>
      <c r="B1096" s="26" t="s">
        <v>163</v>
      </c>
      <c r="C1096" s="27" t="s">
        <v>54</v>
      </c>
      <c r="D1096" s="28" t="n">
        <v>0</v>
      </c>
      <c r="E1096" s="28" t="n">
        <v>3</v>
      </c>
      <c r="F1096" s="29" t="n">
        <f aca="false">'📋 Matches'!E16</f>
        <v>0</v>
      </c>
      <c r="G1096" s="29" t="n">
        <f aca="false">'📋 Matches'!F16</f>
        <v>0</v>
      </c>
      <c r="H1096" s="22" t="str">
        <f aca="false">IF(AND(ISNUMBER(F1096),ISNUMBER(G1096)),IF(SIGN(D1096-E1096)=SIGN(F1096-G1096),48,0),"")</f>
        <v/>
      </c>
      <c r="I1096" s="22" t="str">
        <f aca="false">IF(AND(ISNUMBER(F1096),ISNUMBER(G1096)),IF(D1096=F1096,15,0),"")</f>
        <v/>
      </c>
      <c r="J1096" s="22" t="str">
        <f aca="false">IF(AND(ISNUMBER(F1096),ISNUMBER(G1096)),IF(E1096=G1096,15,0),"")</f>
        <v/>
      </c>
      <c r="K1096" s="22" t="str">
        <f aca="false">IF(AND(ISNUMBER(F1096),ISNUMBER(G1096)),IF(ABS(D1096-E1096)=ABS(F1096-G1096),12,0),"")</f>
        <v/>
      </c>
      <c r="L1096" s="23" t="str">
        <f aca="false">IF(ISNUMBER(H1096),H1096+I1096+J1096+K1096,"")</f>
        <v/>
      </c>
    </row>
    <row r="1097" customFormat="false" ht="18" hidden="false" customHeight="true" outlineLevel="0" collapsed="false">
      <c r="A1097" s="25" t="s">
        <v>9</v>
      </c>
      <c r="B1097" s="26" t="s">
        <v>163</v>
      </c>
      <c r="C1097" s="27" t="s">
        <v>57</v>
      </c>
      <c r="D1097" s="28" t="n">
        <v>2</v>
      </c>
      <c r="E1097" s="28" t="n">
        <v>0</v>
      </c>
      <c r="F1097" s="29" t="n">
        <f aca="false">'📋 Matches'!E17</f>
        <v>0</v>
      </c>
      <c r="G1097" s="29" t="n">
        <f aca="false">'📋 Matches'!F17</f>
        <v>0</v>
      </c>
      <c r="H1097" s="22" t="str">
        <f aca="false">IF(AND(ISNUMBER(F1097),ISNUMBER(G1097)),IF(SIGN(D1097-E1097)=SIGN(F1097-G1097),48,0),"")</f>
        <v/>
      </c>
      <c r="I1097" s="22" t="str">
        <f aca="false">IF(AND(ISNUMBER(F1097),ISNUMBER(G1097)),IF(D1097=F1097,15,0),"")</f>
        <v/>
      </c>
      <c r="J1097" s="22" t="str">
        <f aca="false">IF(AND(ISNUMBER(F1097),ISNUMBER(G1097)),IF(E1097=G1097,15,0),"")</f>
        <v/>
      </c>
      <c r="K1097" s="22" t="str">
        <f aca="false">IF(AND(ISNUMBER(F1097),ISNUMBER(G1097)),IF(ABS(D1097-E1097)=ABS(F1097-G1097),12,0),"")</f>
        <v/>
      </c>
      <c r="L1097" s="23" t="str">
        <f aca="false">IF(ISNUMBER(H1097),H1097+I1097+J1097+K1097,"")</f>
        <v/>
      </c>
    </row>
    <row r="1098" customFormat="false" ht="18" hidden="false" customHeight="true" outlineLevel="0" collapsed="false">
      <c r="A1098" s="25" t="s">
        <v>9</v>
      </c>
      <c r="B1098" s="26" t="s">
        <v>163</v>
      </c>
      <c r="C1098" s="27" t="s">
        <v>60</v>
      </c>
      <c r="D1098" s="28" t="n">
        <v>3</v>
      </c>
      <c r="E1098" s="28" t="n">
        <v>0</v>
      </c>
      <c r="F1098" s="29" t="n">
        <f aca="false">'📋 Matches'!E18</f>
        <v>0</v>
      </c>
      <c r="G1098" s="29" t="n">
        <f aca="false">'📋 Matches'!F18</f>
        <v>0</v>
      </c>
      <c r="H1098" s="22" t="str">
        <f aca="false">IF(AND(ISNUMBER(F1098),ISNUMBER(G1098)),IF(SIGN(D1098-E1098)=SIGN(F1098-G1098),48,0),"")</f>
        <v/>
      </c>
      <c r="I1098" s="22" t="str">
        <f aca="false">IF(AND(ISNUMBER(F1098),ISNUMBER(G1098)),IF(D1098=F1098,15,0),"")</f>
        <v/>
      </c>
      <c r="J1098" s="22" t="str">
        <f aca="false">IF(AND(ISNUMBER(F1098),ISNUMBER(G1098)),IF(E1098=G1098,15,0),"")</f>
        <v/>
      </c>
      <c r="K1098" s="22" t="str">
        <f aca="false">IF(AND(ISNUMBER(F1098),ISNUMBER(G1098)),IF(ABS(D1098-E1098)=ABS(F1098-G1098),12,0),"")</f>
        <v/>
      </c>
      <c r="L1098" s="23" t="str">
        <f aca="false">IF(ISNUMBER(H1098),H1098+I1098+J1098+K1098,"")</f>
        <v/>
      </c>
    </row>
    <row r="1099" customFormat="false" ht="18" hidden="false" customHeight="true" outlineLevel="0" collapsed="false">
      <c r="A1099" s="25" t="s">
        <v>9</v>
      </c>
      <c r="B1099" s="26" t="s">
        <v>163</v>
      </c>
      <c r="C1099" s="27" t="s">
        <v>63</v>
      </c>
      <c r="D1099" s="28" t="n">
        <v>1</v>
      </c>
      <c r="E1099" s="28" t="n">
        <v>5</v>
      </c>
      <c r="F1099" s="29" t="n">
        <f aca="false">'📋 Matches'!E19</f>
        <v>0</v>
      </c>
      <c r="G1099" s="29" t="n">
        <f aca="false">'📋 Matches'!F19</f>
        <v>0</v>
      </c>
      <c r="H1099" s="22" t="str">
        <f aca="false">IF(AND(ISNUMBER(F1099),ISNUMBER(G1099)),IF(SIGN(D1099-E1099)=SIGN(F1099-G1099),48,0),"")</f>
        <v/>
      </c>
      <c r="I1099" s="22" t="str">
        <f aca="false">IF(AND(ISNUMBER(F1099),ISNUMBER(G1099)),IF(D1099=F1099,15,0),"")</f>
        <v/>
      </c>
      <c r="J1099" s="22" t="str">
        <f aca="false">IF(AND(ISNUMBER(F1099),ISNUMBER(G1099)),IF(E1099=G1099,15,0),"")</f>
        <v/>
      </c>
      <c r="K1099" s="22" t="str">
        <f aca="false">IF(AND(ISNUMBER(F1099),ISNUMBER(G1099)),IF(ABS(D1099-E1099)=ABS(F1099-G1099),12,0),"")</f>
        <v/>
      </c>
      <c r="L1099" s="23" t="str">
        <f aca="false">IF(ISNUMBER(H1099),H1099+I1099+J1099+K1099,"")</f>
        <v/>
      </c>
    </row>
    <row r="1100" customFormat="false" ht="18" hidden="false" customHeight="true" outlineLevel="0" collapsed="false">
      <c r="A1100" s="25" t="s">
        <v>9</v>
      </c>
      <c r="B1100" s="26" t="s">
        <v>163</v>
      </c>
      <c r="C1100" s="27" t="s">
        <v>66</v>
      </c>
      <c r="D1100" s="28" t="n">
        <v>3</v>
      </c>
      <c r="E1100" s="28" t="n">
        <v>0</v>
      </c>
      <c r="F1100" s="29" t="n">
        <f aca="false">'📋 Matches'!E20</f>
        <v>0</v>
      </c>
      <c r="G1100" s="29" t="n">
        <f aca="false">'📋 Matches'!F20</f>
        <v>0</v>
      </c>
      <c r="H1100" s="22" t="str">
        <f aca="false">IF(AND(ISNUMBER(F1100),ISNUMBER(G1100)),IF(SIGN(D1100-E1100)=SIGN(F1100-G1100),48,0),"")</f>
        <v/>
      </c>
      <c r="I1100" s="22" t="str">
        <f aca="false">IF(AND(ISNUMBER(F1100),ISNUMBER(G1100)),IF(D1100=F1100,15,0),"")</f>
        <v/>
      </c>
      <c r="J1100" s="22" t="str">
        <f aca="false">IF(AND(ISNUMBER(F1100),ISNUMBER(G1100)),IF(E1100=G1100,15,0),"")</f>
        <v/>
      </c>
      <c r="K1100" s="22" t="str">
        <f aca="false">IF(AND(ISNUMBER(F1100),ISNUMBER(G1100)),IF(ABS(D1100-E1100)=ABS(F1100-G1100),12,0),"")</f>
        <v/>
      </c>
      <c r="L1100" s="23" t="str">
        <f aca="false">IF(ISNUMBER(H1100),H1100+I1100+J1100+K1100,"")</f>
        <v/>
      </c>
    </row>
    <row r="1101" customFormat="false" ht="18" hidden="false" customHeight="true" outlineLevel="0" collapsed="false">
      <c r="A1101" s="25" t="s">
        <v>9</v>
      </c>
      <c r="B1101" s="26" t="s">
        <v>163</v>
      </c>
      <c r="C1101" s="27" t="s">
        <v>69</v>
      </c>
      <c r="D1101" s="28" t="n">
        <v>3</v>
      </c>
      <c r="E1101" s="28" t="n">
        <v>0</v>
      </c>
      <c r="F1101" s="29" t="n">
        <f aca="false">'📋 Matches'!E21</f>
        <v>0</v>
      </c>
      <c r="G1101" s="29" t="n">
        <f aca="false">'📋 Matches'!F21</f>
        <v>0</v>
      </c>
      <c r="H1101" s="22" t="str">
        <f aca="false">IF(AND(ISNUMBER(F1101),ISNUMBER(G1101)),IF(SIGN(D1101-E1101)=SIGN(F1101-G1101),48,0),"")</f>
        <v/>
      </c>
      <c r="I1101" s="22" t="str">
        <f aca="false">IF(AND(ISNUMBER(F1101),ISNUMBER(G1101)),IF(D1101=F1101,15,0),"")</f>
        <v/>
      </c>
      <c r="J1101" s="22" t="str">
        <f aca="false">IF(AND(ISNUMBER(F1101),ISNUMBER(G1101)),IF(E1101=G1101,15,0),"")</f>
        <v/>
      </c>
      <c r="K1101" s="22" t="str">
        <f aca="false">IF(AND(ISNUMBER(F1101),ISNUMBER(G1101)),IF(ABS(D1101-E1101)=ABS(F1101-G1101),12,0),"")</f>
        <v/>
      </c>
      <c r="L1101" s="23" t="str">
        <f aca="false">IF(ISNUMBER(H1101),H1101+I1101+J1101+K1101,"")</f>
        <v/>
      </c>
    </row>
    <row r="1102" customFormat="false" ht="18" hidden="false" customHeight="true" outlineLevel="0" collapsed="false">
      <c r="A1102" s="25" t="s">
        <v>9</v>
      </c>
      <c r="B1102" s="26" t="s">
        <v>163</v>
      </c>
      <c r="C1102" s="27" t="s">
        <v>72</v>
      </c>
      <c r="D1102" s="28" t="n">
        <v>4</v>
      </c>
      <c r="E1102" s="28" t="n">
        <v>0</v>
      </c>
      <c r="F1102" s="29" t="n">
        <f aca="false">'📋 Matches'!E22</f>
        <v>0</v>
      </c>
      <c r="G1102" s="29" t="n">
        <f aca="false">'📋 Matches'!F22</f>
        <v>0</v>
      </c>
      <c r="H1102" s="22" t="str">
        <f aca="false">IF(AND(ISNUMBER(F1102),ISNUMBER(G1102)),IF(SIGN(D1102-E1102)=SIGN(F1102-G1102),48,0),"")</f>
        <v/>
      </c>
      <c r="I1102" s="22" t="str">
        <f aca="false">IF(AND(ISNUMBER(F1102),ISNUMBER(G1102)),IF(D1102=F1102,15,0),"")</f>
        <v/>
      </c>
      <c r="J1102" s="22" t="str">
        <f aca="false">IF(AND(ISNUMBER(F1102),ISNUMBER(G1102)),IF(E1102=G1102,15,0),"")</f>
        <v/>
      </c>
      <c r="K1102" s="22" t="str">
        <f aca="false">IF(AND(ISNUMBER(F1102),ISNUMBER(G1102)),IF(ABS(D1102-E1102)=ABS(F1102-G1102),12,0),"")</f>
        <v/>
      </c>
      <c r="L1102" s="23" t="str">
        <f aca="false">IF(ISNUMBER(H1102),H1102+I1102+J1102+K1102,"")</f>
        <v/>
      </c>
    </row>
    <row r="1103" customFormat="false" ht="18" hidden="false" customHeight="true" outlineLevel="0" collapsed="false">
      <c r="A1103" s="25" t="s">
        <v>9</v>
      </c>
      <c r="B1103" s="26" t="s">
        <v>163</v>
      </c>
      <c r="C1103" s="27" t="s">
        <v>75</v>
      </c>
      <c r="D1103" s="28" t="n">
        <v>2</v>
      </c>
      <c r="E1103" s="28" t="n">
        <v>0</v>
      </c>
      <c r="F1103" s="29" t="n">
        <f aca="false">'📋 Matches'!E23</f>
        <v>0</v>
      </c>
      <c r="G1103" s="29" t="n">
        <f aca="false">'📋 Matches'!F23</f>
        <v>0</v>
      </c>
      <c r="H1103" s="22" t="str">
        <f aca="false">IF(AND(ISNUMBER(F1103),ISNUMBER(G1103)),IF(SIGN(D1103-E1103)=SIGN(F1103-G1103),48,0),"")</f>
        <v/>
      </c>
      <c r="I1103" s="22" t="str">
        <f aca="false">IF(AND(ISNUMBER(F1103),ISNUMBER(G1103)),IF(D1103=F1103,15,0),"")</f>
        <v/>
      </c>
      <c r="J1103" s="22" t="str">
        <f aca="false">IF(AND(ISNUMBER(F1103),ISNUMBER(G1103)),IF(E1103=G1103,15,0),"")</f>
        <v/>
      </c>
      <c r="K1103" s="22" t="str">
        <f aca="false">IF(AND(ISNUMBER(F1103),ISNUMBER(G1103)),IF(ABS(D1103-E1103)=ABS(F1103-G1103),12,0),"")</f>
        <v/>
      </c>
      <c r="L1103" s="23" t="str">
        <f aca="false">IF(ISNUMBER(H1103),H1103+I1103+J1103+K1103,"")</f>
        <v/>
      </c>
    </row>
    <row r="1104" customFormat="false" ht="18" hidden="false" customHeight="true" outlineLevel="0" collapsed="false">
      <c r="A1104" s="25" t="s">
        <v>9</v>
      </c>
      <c r="B1104" s="26" t="s">
        <v>163</v>
      </c>
      <c r="C1104" s="27" t="s">
        <v>78</v>
      </c>
      <c r="D1104" s="28" t="n">
        <v>2</v>
      </c>
      <c r="E1104" s="28" t="n">
        <v>0</v>
      </c>
      <c r="F1104" s="29" t="n">
        <f aca="false">'📋 Matches'!E24</f>
        <v>0</v>
      </c>
      <c r="G1104" s="29" t="n">
        <f aca="false">'📋 Matches'!F24</f>
        <v>0</v>
      </c>
      <c r="H1104" s="22" t="str">
        <f aca="false">IF(AND(ISNUMBER(F1104),ISNUMBER(G1104)),IF(SIGN(D1104-E1104)=SIGN(F1104-G1104),48,0),"")</f>
        <v/>
      </c>
      <c r="I1104" s="22" t="str">
        <f aca="false">IF(AND(ISNUMBER(F1104),ISNUMBER(G1104)),IF(D1104=F1104,15,0),"")</f>
        <v/>
      </c>
      <c r="J1104" s="22" t="str">
        <f aca="false">IF(AND(ISNUMBER(F1104),ISNUMBER(G1104)),IF(E1104=G1104,15,0),"")</f>
        <v/>
      </c>
      <c r="K1104" s="22" t="str">
        <f aca="false">IF(AND(ISNUMBER(F1104),ISNUMBER(G1104)),IF(ABS(D1104-E1104)=ABS(F1104-G1104),12,0),"")</f>
        <v/>
      </c>
      <c r="L1104" s="23" t="str">
        <f aca="false">IF(ISNUMBER(H1104),H1104+I1104+J1104+K1104,"")</f>
        <v/>
      </c>
    </row>
    <row r="1105" customFormat="false" ht="18" hidden="false" customHeight="true" outlineLevel="0" collapsed="false">
      <c r="A1105" s="25" t="s">
        <v>9</v>
      </c>
      <c r="B1105" s="26" t="s">
        <v>163</v>
      </c>
      <c r="C1105" s="27" t="s">
        <v>81</v>
      </c>
      <c r="D1105" s="28" t="n">
        <v>0</v>
      </c>
      <c r="E1105" s="28" t="n">
        <v>4</v>
      </c>
      <c r="F1105" s="29" t="n">
        <f aca="false">'📋 Matches'!E25</f>
        <v>0</v>
      </c>
      <c r="G1105" s="29" t="n">
        <f aca="false">'📋 Matches'!F25</f>
        <v>0</v>
      </c>
      <c r="H1105" s="22" t="str">
        <f aca="false">IF(AND(ISNUMBER(F1105),ISNUMBER(G1105)),IF(SIGN(D1105-E1105)=SIGN(F1105-G1105),48,0),"")</f>
        <v/>
      </c>
      <c r="I1105" s="22" t="str">
        <f aca="false">IF(AND(ISNUMBER(F1105),ISNUMBER(G1105)),IF(D1105=F1105,15,0),"")</f>
        <v/>
      </c>
      <c r="J1105" s="22" t="str">
        <f aca="false">IF(AND(ISNUMBER(F1105),ISNUMBER(G1105)),IF(E1105=G1105,15,0),"")</f>
        <v/>
      </c>
      <c r="K1105" s="22" t="str">
        <f aca="false">IF(AND(ISNUMBER(F1105),ISNUMBER(G1105)),IF(ABS(D1105-E1105)=ABS(F1105-G1105),12,0),"")</f>
        <v/>
      </c>
      <c r="L1105" s="23" t="str">
        <f aca="false">IF(ISNUMBER(H1105),H1105+I1105+J1105+K1105,"")</f>
        <v/>
      </c>
    </row>
    <row r="1106" customFormat="false" ht="18" hidden="false" customHeight="true" outlineLevel="0" collapsed="false">
      <c r="A1106" s="25" t="s">
        <v>84</v>
      </c>
      <c r="B1106" s="26" t="s">
        <v>163</v>
      </c>
      <c r="C1106" s="27" t="s">
        <v>85</v>
      </c>
      <c r="D1106" s="28"/>
      <c r="E1106" s="28"/>
      <c r="F1106" s="29" t="n">
        <f aca="false">'📋 Matches'!E26</f>
        <v>0</v>
      </c>
      <c r="G1106" s="29" t="n">
        <f aca="false">'📋 Matches'!F26</f>
        <v>0</v>
      </c>
      <c r="H1106" s="30" t="s">
        <v>148</v>
      </c>
      <c r="I1106" s="30" t="s">
        <v>148</v>
      </c>
      <c r="J1106" s="30" t="s">
        <v>148</v>
      </c>
      <c r="K1106" s="30" t="s">
        <v>148</v>
      </c>
      <c r="L1106" s="30" t="s">
        <v>148</v>
      </c>
    </row>
    <row r="1107" customFormat="false" ht="18" hidden="false" customHeight="true" outlineLevel="0" collapsed="false">
      <c r="A1107" s="25" t="s">
        <v>84</v>
      </c>
      <c r="B1107" s="26" t="s">
        <v>163</v>
      </c>
      <c r="C1107" s="27" t="s">
        <v>87</v>
      </c>
      <c r="D1107" s="28"/>
      <c r="E1107" s="28"/>
      <c r="F1107" s="29" t="n">
        <f aca="false">'📋 Matches'!E27</f>
        <v>0</v>
      </c>
      <c r="G1107" s="29" t="n">
        <f aca="false">'📋 Matches'!F27</f>
        <v>0</v>
      </c>
      <c r="H1107" s="30" t="s">
        <v>148</v>
      </c>
      <c r="I1107" s="30" t="s">
        <v>148</v>
      </c>
      <c r="J1107" s="30" t="s">
        <v>148</v>
      </c>
      <c r="K1107" s="30" t="s">
        <v>148</v>
      </c>
      <c r="L1107" s="30" t="s">
        <v>148</v>
      </c>
    </row>
    <row r="1108" customFormat="false" ht="18" hidden="false" customHeight="true" outlineLevel="0" collapsed="false">
      <c r="A1108" s="25" t="s">
        <v>84</v>
      </c>
      <c r="B1108" s="26" t="s">
        <v>163</v>
      </c>
      <c r="C1108" s="27" t="s">
        <v>89</v>
      </c>
      <c r="D1108" s="28"/>
      <c r="E1108" s="28"/>
      <c r="F1108" s="29" t="n">
        <f aca="false">'📋 Matches'!E28</f>
        <v>0</v>
      </c>
      <c r="G1108" s="29" t="n">
        <f aca="false">'📋 Matches'!F28</f>
        <v>0</v>
      </c>
      <c r="H1108" s="30" t="s">
        <v>148</v>
      </c>
      <c r="I1108" s="30" t="s">
        <v>148</v>
      </c>
      <c r="J1108" s="30" t="s">
        <v>148</v>
      </c>
      <c r="K1108" s="30" t="s">
        <v>148</v>
      </c>
      <c r="L1108" s="30" t="s">
        <v>148</v>
      </c>
    </row>
    <row r="1109" customFormat="false" ht="18" hidden="false" customHeight="true" outlineLevel="0" collapsed="false">
      <c r="A1109" s="25" t="s">
        <v>84</v>
      </c>
      <c r="B1109" s="26" t="s">
        <v>163</v>
      </c>
      <c r="C1109" s="27" t="s">
        <v>90</v>
      </c>
      <c r="D1109" s="28"/>
      <c r="E1109" s="28"/>
      <c r="F1109" s="29" t="n">
        <f aca="false">'📋 Matches'!E29</f>
        <v>0</v>
      </c>
      <c r="G1109" s="29" t="n">
        <f aca="false">'📋 Matches'!F29</f>
        <v>0</v>
      </c>
      <c r="H1109" s="30" t="s">
        <v>148</v>
      </c>
      <c r="I1109" s="30" t="s">
        <v>148</v>
      </c>
      <c r="J1109" s="30" t="s">
        <v>148</v>
      </c>
      <c r="K1109" s="30" t="s">
        <v>148</v>
      </c>
      <c r="L1109" s="30" t="s">
        <v>148</v>
      </c>
    </row>
    <row r="1110" customFormat="false" ht="18" hidden="false" customHeight="true" outlineLevel="0" collapsed="false">
      <c r="A1110" s="25" t="s">
        <v>84</v>
      </c>
      <c r="B1110" s="26" t="s">
        <v>163</v>
      </c>
      <c r="C1110" s="27" t="s">
        <v>91</v>
      </c>
      <c r="D1110" s="28"/>
      <c r="E1110" s="28"/>
      <c r="F1110" s="29" t="n">
        <f aca="false">'📋 Matches'!E30</f>
        <v>0</v>
      </c>
      <c r="G1110" s="29" t="n">
        <f aca="false">'📋 Matches'!F30</f>
        <v>0</v>
      </c>
      <c r="H1110" s="30" t="s">
        <v>148</v>
      </c>
      <c r="I1110" s="30" t="s">
        <v>148</v>
      </c>
      <c r="J1110" s="30" t="s">
        <v>148</v>
      </c>
      <c r="K1110" s="30" t="s">
        <v>148</v>
      </c>
      <c r="L1110" s="30" t="s">
        <v>148</v>
      </c>
    </row>
    <row r="1111" customFormat="false" ht="18" hidden="false" customHeight="true" outlineLevel="0" collapsed="false">
      <c r="A1111" s="25" t="s">
        <v>84</v>
      </c>
      <c r="B1111" s="26" t="s">
        <v>163</v>
      </c>
      <c r="C1111" s="27" t="s">
        <v>92</v>
      </c>
      <c r="D1111" s="28"/>
      <c r="E1111" s="28"/>
      <c r="F1111" s="29" t="n">
        <f aca="false">'📋 Matches'!E31</f>
        <v>0</v>
      </c>
      <c r="G1111" s="29" t="n">
        <f aca="false">'📋 Matches'!F31</f>
        <v>0</v>
      </c>
      <c r="H1111" s="30" t="s">
        <v>148</v>
      </c>
      <c r="I1111" s="30" t="s">
        <v>148</v>
      </c>
      <c r="J1111" s="30" t="s">
        <v>148</v>
      </c>
      <c r="K1111" s="30" t="s">
        <v>148</v>
      </c>
      <c r="L1111" s="30" t="s">
        <v>148</v>
      </c>
    </row>
    <row r="1112" customFormat="false" ht="18" hidden="false" customHeight="true" outlineLevel="0" collapsed="false">
      <c r="A1112" s="25" t="s">
        <v>84</v>
      </c>
      <c r="B1112" s="26" t="s">
        <v>163</v>
      </c>
      <c r="C1112" s="27" t="s">
        <v>93</v>
      </c>
      <c r="D1112" s="28"/>
      <c r="E1112" s="28"/>
      <c r="F1112" s="29" t="n">
        <f aca="false">'📋 Matches'!E32</f>
        <v>0</v>
      </c>
      <c r="G1112" s="29" t="n">
        <f aca="false">'📋 Matches'!F32</f>
        <v>0</v>
      </c>
      <c r="H1112" s="30" t="s">
        <v>148</v>
      </c>
      <c r="I1112" s="30" t="s">
        <v>148</v>
      </c>
      <c r="J1112" s="30" t="s">
        <v>148</v>
      </c>
      <c r="K1112" s="30" t="s">
        <v>148</v>
      </c>
      <c r="L1112" s="30" t="s">
        <v>148</v>
      </c>
    </row>
    <row r="1113" customFormat="false" ht="18" hidden="false" customHeight="true" outlineLevel="0" collapsed="false">
      <c r="A1113" s="25" t="s">
        <v>84</v>
      </c>
      <c r="B1113" s="26" t="s">
        <v>163</v>
      </c>
      <c r="C1113" s="27" t="s">
        <v>94</v>
      </c>
      <c r="D1113" s="28"/>
      <c r="E1113" s="28"/>
      <c r="F1113" s="29" t="n">
        <f aca="false">'📋 Matches'!E33</f>
        <v>0</v>
      </c>
      <c r="G1113" s="29" t="n">
        <f aca="false">'📋 Matches'!F33</f>
        <v>0</v>
      </c>
      <c r="H1113" s="30" t="s">
        <v>148</v>
      </c>
      <c r="I1113" s="30" t="s">
        <v>148</v>
      </c>
      <c r="J1113" s="30" t="s">
        <v>148</v>
      </c>
      <c r="K1113" s="30" t="s">
        <v>148</v>
      </c>
      <c r="L1113" s="30" t="s">
        <v>148</v>
      </c>
    </row>
    <row r="1114" customFormat="false" ht="18" hidden="false" customHeight="true" outlineLevel="0" collapsed="false">
      <c r="A1114" s="25" t="s">
        <v>84</v>
      </c>
      <c r="B1114" s="26" t="s">
        <v>163</v>
      </c>
      <c r="C1114" s="27" t="s">
        <v>96</v>
      </c>
      <c r="D1114" s="28"/>
      <c r="E1114" s="28"/>
      <c r="F1114" s="29" t="n">
        <f aca="false">'📋 Matches'!E34</f>
        <v>0</v>
      </c>
      <c r="G1114" s="29" t="n">
        <f aca="false">'📋 Matches'!F34</f>
        <v>0</v>
      </c>
      <c r="H1114" s="30" t="s">
        <v>148</v>
      </c>
      <c r="I1114" s="30" t="s">
        <v>148</v>
      </c>
      <c r="J1114" s="30" t="s">
        <v>148</v>
      </c>
      <c r="K1114" s="30" t="s">
        <v>148</v>
      </c>
      <c r="L1114" s="30" t="s">
        <v>148</v>
      </c>
    </row>
    <row r="1115" customFormat="false" ht="18" hidden="false" customHeight="true" outlineLevel="0" collapsed="false">
      <c r="A1115" s="25" t="s">
        <v>84</v>
      </c>
      <c r="B1115" s="26" t="s">
        <v>163</v>
      </c>
      <c r="C1115" s="27" t="s">
        <v>97</v>
      </c>
      <c r="D1115" s="28"/>
      <c r="E1115" s="28"/>
      <c r="F1115" s="29" t="n">
        <f aca="false">'📋 Matches'!E35</f>
        <v>0</v>
      </c>
      <c r="G1115" s="29" t="n">
        <f aca="false">'📋 Matches'!F35</f>
        <v>0</v>
      </c>
      <c r="H1115" s="30" t="s">
        <v>148</v>
      </c>
      <c r="I1115" s="30" t="s">
        <v>148</v>
      </c>
      <c r="J1115" s="30" t="s">
        <v>148</v>
      </c>
      <c r="K1115" s="30" t="s">
        <v>148</v>
      </c>
      <c r="L1115" s="30" t="s">
        <v>148</v>
      </c>
    </row>
    <row r="1116" customFormat="false" ht="18" hidden="false" customHeight="true" outlineLevel="0" collapsed="false">
      <c r="A1116" s="25" t="s">
        <v>84</v>
      </c>
      <c r="B1116" s="26" t="s">
        <v>163</v>
      </c>
      <c r="C1116" s="27" t="s">
        <v>98</v>
      </c>
      <c r="D1116" s="28"/>
      <c r="E1116" s="28"/>
      <c r="F1116" s="29" t="n">
        <f aca="false">'📋 Matches'!E36</f>
        <v>0</v>
      </c>
      <c r="G1116" s="29" t="n">
        <f aca="false">'📋 Matches'!F36</f>
        <v>0</v>
      </c>
      <c r="H1116" s="30" t="s">
        <v>148</v>
      </c>
      <c r="I1116" s="30" t="s">
        <v>148</v>
      </c>
      <c r="J1116" s="30" t="s">
        <v>148</v>
      </c>
      <c r="K1116" s="30" t="s">
        <v>148</v>
      </c>
      <c r="L1116" s="30" t="s">
        <v>148</v>
      </c>
    </row>
    <row r="1117" customFormat="false" ht="18" hidden="false" customHeight="true" outlineLevel="0" collapsed="false">
      <c r="A1117" s="25" t="s">
        <v>84</v>
      </c>
      <c r="B1117" s="26" t="s">
        <v>163</v>
      </c>
      <c r="C1117" s="27" t="s">
        <v>100</v>
      </c>
      <c r="D1117" s="28"/>
      <c r="E1117" s="28"/>
      <c r="F1117" s="29" t="n">
        <f aca="false">'📋 Matches'!E37</f>
        <v>0</v>
      </c>
      <c r="G1117" s="29" t="n">
        <f aca="false">'📋 Matches'!F37</f>
        <v>0</v>
      </c>
      <c r="H1117" s="30" t="s">
        <v>148</v>
      </c>
      <c r="I1117" s="30" t="s">
        <v>148</v>
      </c>
      <c r="J1117" s="30" t="s">
        <v>148</v>
      </c>
      <c r="K1117" s="30" t="s">
        <v>148</v>
      </c>
      <c r="L1117" s="30" t="s">
        <v>148</v>
      </c>
    </row>
    <row r="1118" customFormat="false" ht="18" hidden="false" customHeight="true" outlineLevel="0" collapsed="false">
      <c r="A1118" s="25" t="s">
        <v>84</v>
      </c>
      <c r="B1118" s="26" t="s">
        <v>163</v>
      </c>
      <c r="C1118" s="27" t="s">
        <v>101</v>
      </c>
      <c r="D1118" s="28"/>
      <c r="E1118" s="28"/>
      <c r="F1118" s="29" t="n">
        <f aca="false">'📋 Matches'!E38</f>
        <v>0</v>
      </c>
      <c r="G1118" s="29" t="n">
        <f aca="false">'📋 Matches'!F38</f>
        <v>0</v>
      </c>
      <c r="H1118" s="30" t="s">
        <v>148</v>
      </c>
      <c r="I1118" s="30" t="s">
        <v>148</v>
      </c>
      <c r="J1118" s="30" t="s">
        <v>148</v>
      </c>
      <c r="K1118" s="30" t="s">
        <v>148</v>
      </c>
      <c r="L1118" s="30" t="s">
        <v>148</v>
      </c>
    </row>
    <row r="1119" customFormat="false" ht="18" hidden="false" customHeight="true" outlineLevel="0" collapsed="false">
      <c r="A1119" s="25" t="s">
        <v>84</v>
      </c>
      <c r="B1119" s="26" t="s">
        <v>163</v>
      </c>
      <c r="C1119" s="27" t="s">
        <v>102</v>
      </c>
      <c r="D1119" s="28"/>
      <c r="E1119" s="28"/>
      <c r="F1119" s="29" t="n">
        <f aca="false">'📋 Matches'!E39</f>
        <v>0</v>
      </c>
      <c r="G1119" s="29" t="n">
        <f aca="false">'📋 Matches'!F39</f>
        <v>0</v>
      </c>
      <c r="H1119" s="30" t="s">
        <v>148</v>
      </c>
      <c r="I1119" s="30" t="s">
        <v>148</v>
      </c>
      <c r="J1119" s="30" t="s">
        <v>148</v>
      </c>
      <c r="K1119" s="30" t="s">
        <v>148</v>
      </c>
      <c r="L1119" s="30" t="s">
        <v>148</v>
      </c>
    </row>
    <row r="1120" customFormat="false" ht="18" hidden="false" customHeight="true" outlineLevel="0" collapsed="false">
      <c r="A1120" s="25" t="s">
        <v>84</v>
      </c>
      <c r="B1120" s="26" t="s">
        <v>163</v>
      </c>
      <c r="C1120" s="27" t="s">
        <v>103</v>
      </c>
      <c r="D1120" s="28"/>
      <c r="E1120" s="28"/>
      <c r="F1120" s="29" t="n">
        <f aca="false">'📋 Matches'!E40</f>
        <v>0</v>
      </c>
      <c r="G1120" s="29" t="n">
        <f aca="false">'📋 Matches'!F40</f>
        <v>0</v>
      </c>
      <c r="H1120" s="30" t="s">
        <v>148</v>
      </c>
      <c r="I1120" s="30" t="s">
        <v>148</v>
      </c>
      <c r="J1120" s="30" t="s">
        <v>148</v>
      </c>
      <c r="K1120" s="30" t="s">
        <v>148</v>
      </c>
      <c r="L1120" s="30" t="s">
        <v>148</v>
      </c>
    </row>
    <row r="1121" customFormat="false" ht="18" hidden="false" customHeight="true" outlineLevel="0" collapsed="false">
      <c r="A1121" s="25" t="s">
        <v>84</v>
      </c>
      <c r="B1121" s="26" t="s">
        <v>163</v>
      </c>
      <c r="C1121" s="27" t="s">
        <v>104</v>
      </c>
      <c r="D1121" s="28"/>
      <c r="E1121" s="28"/>
      <c r="F1121" s="29" t="n">
        <f aca="false">'📋 Matches'!E41</f>
        <v>0</v>
      </c>
      <c r="G1121" s="29" t="n">
        <f aca="false">'📋 Matches'!F41</f>
        <v>0</v>
      </c>
      <c r="H1121" s="30" t="s">
        <v>148</v>
      </c>
      <c r="I1121" s="30" t="s">
        <v>148</v>
      </c>
      <c r="J1121" s="30" t="s">
        <v>148</v>
      </c>
      <c r="K1121" s="30" t="s">
        <v>148</v>
      </c>
      <c r="L1121" s="30" t="s">
        <v>148</v>
      </c>
    </row>
    <row r="1122" customFormat="false" ht="18" hidden="false" customHeight="true" outlineLevel="0" collapsed="false">
      <c r="A1122" s="25" t="s">
        <v>84</v>
      </c>
      <c r="B1122" s="26" t="s">
        <v>163</v>
      </c>
      <c r="C1122" s="27" t="s">
        <v>105</v>
      </c>
      <c r="D1122" s="28"/>
      <c r="E1122" s="28"/>
      <c r="F1122" s="29" t="n">
        <f aca="false">'📋 Matches'!E42</f>
        <v>0</v>
      </c>
      <c r="G1122" s="29" t="n">
        <f aca="false">'📋 Matches'!F42</f>
        <v>0</v>
      </c>
      <c r="H1122" s="30" t="s">
        <v>148</v>
      </c>
      <c r="I1122" s="30" t="s">
        <v>148</v>
      </c>
      <c r="J1122" s="30" t="s">
        <v>148</v>
      </c>
      <c r="K1122" s="30" t="s">
        <v>148</v>
      </c>
      <c r="L1122" s="30" t="s">
        <v>148</v>
      </c>
    </row>
    <row r="1123" customFormat="false" ht="18" hidden="false" customHeight="true" outlineLevel="0" collapsed="false">
      <c r="A1123" s="25" t="s">
        <v>84</v>
      </c>
      <c r="B1123" s="26" t="s">
        <v>163</v>
      </c>
      <c r="C1123" s="27" t="s">
        <v>106</v>
      </c>
      <c r="D1123" s="28"/>
      <c r="E1123" s="28"/>
      <c r="F1123" s="29" t="n">
        <f aca="false">'📋 Matches'!E43</f>
        <v>0</v>
      </c>
      <c r="G1123" s="29" t="n">
        <f aca="false">'📋 Matches'!F43</f>
        <v>0</v>
      </c>
      <c r="H1123" s="30" t="s">
        <v>148</v>
      </c>
      <c r="I1123" s="30" t="s">
        <v>148</v>
      </c>
      <c r="J1123" s="30" t="s">
        <v>148</v>
      </c>
      <c r="K1123" s="30" t="s">
        <v>148</v>
      </c>
      <c r="L1123" s="30" t="s">
        <v>148</v>
      </c>
    </row>
    <row r="1124" customFormat="false" ht="18" hidden="false" customHeight="true" outlineLevel="0" collapsed="false">
      <c r="A1124" s="25" t="s">
        <v>84</v>
      </c>
      <c r="B1124" s="26" t="s">
        <v>163</v>
      </c>
      <c r="C1124" s="27" t="s">
        <v>107</v>
      </c>
      <c r="D1124" s="28"/>
      <c r="E1124" s="28"/>
      <c r="F1124" s="29" t="n">
        <f aca="false">'📋 Matches'!E44</f>
        <v>0</v>
      </c>
      <c r="G1124" s="29" t="n">
        <f aca="false">'📋 Matches'!F44</f>
        <v>0</v>
      </c>
      <c r="H1124" s="30" t="s">
        <v>148</v>
      </c>
      <c r="I1124" s="30" t="s">
        <v>148</v>
      </c>
      <c r="J1124" s="30" t="s">
        <v>148</v>
      </c>
      <c r="K1124" s="30" t="s">
        <v>148</v>
      </c>
      <c r="L1124" s="30" t="s">
        <v>148</v>
      </c>
    </row>
    <row r="1125" customFormat="false" ht="18" hidden="false" customHeight="true" outlineLevel="0" collapsed="false">
      <c r="A1125" s="25" t="s">
        <v>84</v>
      </c>
      <c r="B1125" s="26" t="s">
        <v>163</v>
      </c>
      <c r="C1125" s="27" t="s">
        <v>108</v>
      </c>
      <c r="D1125" s="28"/>
      <c r="E1125" s="28"/>
      <c r="F1125" s="29" t="n">
        <f aca="false">'📋 Matches'!E45</f>
        <v>0</v>
      </c>
      <c r="G1125" s="29" t="n">
        <f aca="false">'📋 Matches'!F45</f>
        <v>0</v>
      </c>
      <c r="H1125" s="30" t="s">
        <v>148</v>
      </c>
      <c r="I1125" s="30" t="s">
        <v>148</v>
      </c>
      <c r="J1125" s="30" t="s">
        <v>148</v>
      </c>
      <c r="K1125" s="30" t="s">
        <v>148</v>
      </c>
      <c r="L1125" s="30" t="s">
        <v>148</v>
      </c>
    </row>
    <row r="1126" customFormat="false" ht="18" hidden="false" customHeight="true" outlineLevel="0" collapsed="false">
      <c r="A1126" s="25" t="s">
        <v>84</v>
      </c>
      <c r="B1126" s="26" t="s">
        <v>163</v>
      </c>
      <c r="C1126" s="27" t="s">
        <v>109</v>
      </c>
      <c r="D1126" s="28"/>
      <c r="E1126" s="28"/>
      <c r="F1126" s="29" t="n">
        <f aca="false">'📋 Matches'!E46</f>
        <v>0</v>
      </c>
      <c r="G1126" s="29" t="n">
        <f aca="false">'📋 Matches'!F46</f>
        <v>0</v>
      </c>
      <c r="H1126" s="30" t="s">
        <v>148</v>
      </c>
      <c r="I1126" s="30" t="s">
        <v>148</v>
      </c>
      <c r="J1126" s="30" t="s">
        <v>148</v>
      </c>
      <c r="K1126" s="30" t="s">
        <v>148</v>
      </c>
      <c r="L1126" s="30" t="s">
        <v>148</v>
      </c>
    </row>
    <row r="1127" customFormat="false" ht="18" hidden="false" customHeight="true" outlineLevel="0" collapsed="false">
      <c r="A1127" s="25" t="s">
        <v>84</v>
      </c>
      <c r="B1127" s="26" t="s">
        <v>163</v>
      </c>
      <c r="C1127" s="27" t="s">
        <v>110</v>
      </c>
      <c r="D1127" s="28"/>
      <c r="E1127" s="28"/>
      <c r="F1127" s="29" t="n">
        <f aca="false">'📋 Matches'!E47</f>
        <v>0</v>
      </c>
      <c r="G1127" s="29" t="n">
        <f aca="false">'📋 Matches'!F47</f>
        <v>0</v>
      </c>
      <c r="H1127" s="30" t="s">
        <v>148</v>
      </c>
      <c r="I1127" s="30" t="s">
        <v>148</v>
      </c>
      <c r="J1127" s="30" t="s">
        <v>148</v>
      </c>
      <c r="K1127" s="30" t="s">
        <v>148</v>
      </c>
      <c r="L1127" s="30" t="s">
        <v>148</v>
      </c>
    </row>
    <row r="1128" customFormat="false" ht="18" hidden="false" customHeight="true" outlineLevel="0" collapsed="false">
      <c r="A1128" s="25" t="s">
        <v>84</v>
      </c>
      <c r="B1128" s="26" t="s">
        <v>163</v>
      </c>
      <c r="C1128" s="27" t="s">
        <v>111</v>
      </c>
      <c r="D1128" s="28"/>
      <c r="E1128" s="28"/>
      <c r="F1128" s="29" t="n">
        <f aca="false">'📋 Matches'!E48</f>
        <v>0</v>
      </c>
      <c r="G1128" s="29" t="n">
        <f aca="false">'📋 Matches'!F48</f>
        <v>0</v>
      </c>
      <c r="H1128" s="30" t="s">
        <v>148</v>
      </c>
      <c r="I1128" s="30" t="s">
        <v>148</v>
      </c>
      <c r="J1128" s="30" t="s">
        <v>148</v>
      </c>
      <c r="K1128" s="30" t="s">
        <v>148</v>
      </c>
      <c r="L1128" s="30" t="s">
        <v>148</v>
      </c>
    </row>
    <row r="1129" customFormat="false" ht="18" hidden="false" customHeight="true" outlineLevel="0" collapsed="false">
      <c r="A1129" s="25" t="s">
        <v>84</v>
      </c>
      <c r="B1129" s="26" t="s">
        <v>163</v>
      </c>
      <c r="C1129" s="27" t="s">
        <v>112</v>
      </c>
      <c r="D1129" s="28"/>
      <c r="E1129" s="28"/>
      <c r="F1129" s="29" t="n">
        <f aca="false">'📋 Matches'!E49</f>
        <v>0</v>
      </c>
      <c r="G1129" s="29" t="n">
        <f aca="false">'📋 Matches'!F49</f>
        <v>0</v>
      </c>
      <c r="H1129" s="30" t="s">
        <v>148</v>
      </c>
      <c r="I1129" s="30" t="s">
        <v>148</v>
      </c>
      <c r="J1129" s="30" t="s">
        <v>148</v>
      </c>
      <c r="K1129" s="30" t="s">
        <v>148</v>
      </c>
      <c r="L1129" s="30" t="s">
        <v>148</v>
      </c>
    </row>
    <row r="1130" customFormat="false" ht="18" hidden="false" customHeight="true" outlineLevel="0" collapsed="false">
      <c r="A1130" s="25" t="s">
        <v>114</v>
      </c>
      <c r="B1130" s="26" t="s">
        <v>163</v>
      </c>
      <c r="C1130" s="27" t="s">
        <v>115</v>
      </c>
      <c r="D1130" s="28"/>
      <c r="E1130" s="28"/>
      <c r="F1130" s="29" t="n">
        <f aca="false">'📋 Matches'!E50</f>
        <v>0</v>
      </c>
      <c r="G1130" s="29" t="n">
        <f aca="false">'📋 Matches'!F50</f>
        <v>0</v>
      </c>
      <c r="H1130" s="30" t="s">
        <v>148</v>
      </c>
      <c r="I1130" s="30" t="s">
        <v>148</v>
      </c>
      <c r="J1130" s="30" t="s">
        <v>148</v>
      </c>
      <c r="K1130" s="30" t="s">
        <v>148</v>
      </c>
      <c r="L1130" s="30" t="s">
        <v>148</v>
      </c>
    </row>
    <row r="1131" customFormat="false" ht="18" hidden="false" customHeight="true" outlineLevel="0" collapsed="false">
      <c r="A1131" s="25" t="s">
        <v>114</v>
      </c>
      <c r="B1131" s="26" t="s">
        <v>163</v>
      </c>
      <c r="C1131" s="27" t="s">
        <v>116</v>
      </c>
      <c r="D1131" s="28"/>
      <c r="E1131" s="28"/>
      <c r="F1131" s="29" t="n">
        <f aca="false">'📋 Matches'!E51</f>
        <v>0</v>
      </c>
      <c r="G1131" s="29" t="n">
        <f aca="false">'📋 Matches'!F51</f>
        <v>0</v>
      </c>
      <c r="H1131" s="30" t="s">
        <v>148</v>
      </c>
      <c r="I1131" s="30" t="s">
        <v>148</v>
      </c>
      <c r="J1131" s="30" t="s">
        <v>148</v>
      </c>
      <c r="K1131" s="30" t="s">
        <v>148</v>
      </c>
      <c r="L1131" s="30" t="s">
        <v>148</v>
      </c>
    </row>
    <row r="1132" customFormat="false" ht="18" hidden="false" customHeight="true" outlineLevel="0" collapsed="false">
      <c r="A1132" s="25" t="s">
        <v>114</v>
      </c>
      <c r="B1132" s="26" t="s">
        <v>163</v>
      </c>
      <c r="C1132" s="27" t="s">
        <v>117</v>
      </c>
      <c r="D1132" s="28"/>
      <c r="E1132" s="28"/>
      <c r="F1132" s="29" t="n">
        <f aca="false">'📋 Matches'!E52</f>
        <v>0</v>
      </c>
      <c r="G1132" s="29" t="n">
        <f aca="false">'📋 Matches'!F52</f>
        <v>0</v>
      </c>
      <c r="H1132" s="30" t="s">
        <v>148</v>
      </c>
      <c r="I1132" s="30" t="s">
        <v>148</v>
      </c>
      <c r="J1132" s="30" t="s">
        <v>148</v>
      </c>
      <c r="K1132" s="30" t="s">
        <v>148</v>
      </c>
      <c r="L1132" s="30" t="s">
        <v>148</v>
      </c>
    </row>
    <row r="1133" customFormat="false" ht="18" hidden="false" customHeight="true" outlineLevel="0" collapsed="false">
      <c r="A1133" s="25" t="s">
        <v>114</v>
      </c>
      <c r="B1133" s="26" t="s">
        <v>163</v>
      </c>
      <c r="C1133" s="27" t="s">
        <v>118</v>
      </c>
      <c r="D1133" s="28"/>
      <c r="E1133" s="28"/>
      <c r="F1133" s="29" t="n">
        <f aca="false">'📋 Matches'!E53</f>
        <v>0</v>
      </c>
      <c r="G1133" s="29" t="n">
        <f aca="false">'📋 Matches'!F53</f>
        <v>0</v>
      </c>
      <c r="H1133" s="30" t="s">
        <v>148</v>
      </c>
      <c r="I1133" s="30" t="s">
        <v>148</v>
      </c>
      <c r="J1133" s="30" t="s">
        <v>148</v>
      </c>
      <c r="K1133" s="30" t="s">
        <v>148</v>
      </c>
      <c r="L1133" s="30" t="s">
        <v>148</v>
      </c>
    </row>
    <row r="1134" customFormat="false" ht="18" hidden="false" customHeight="true" outlineLevel="0" collapsed="false">
      <c r="A1134" s="25" t="s">
        <v>114</v>
      </c>
      <c r="B1134" s="26" t="s">
        <v>163</v>
      </c>
      <c r="C1134" s="27" t="s">
        <v>119</v>
      </c>
      <c r="D1134" s="28"/>
      <c r="E1134" s="28"/>
      <c r="F1134" s="29" t="n">
        <f aca="false">'📋 Matches'!E54</f>
        <v>0</v>
      </c>
      <c r="G1134" s="29" t="n">
        <f aca="false">'📋 Matches'!F54</f>
        <v>0</v>
      </c>
      <c r="H1134" s="30" t="s">
        <v>148</v>
      </c>
      <c r="I1134" s="30" t="s">
        <v>148</v>
      </c>
      <c r="J1134" s="30" t="s">
        <v>148</v>
      </c>
      <c r="K1134" s="30" t="s">
        <v>148</v>
      </c>
      <c r="L1134" s="30" t="s">
        <v>148</v>
      </c>
    </row>
    <row r="1135" customFormat="false" ht="18" hidden="false" customHeight="true" outlineLevel="0" collapsed="false">
      <c r="A1135" s="25" t="s">
        <v>114</v>
      </c>
      <c r="B1135" s="26" t="s">
        <v>163</v>
      </c>
      <c r="C1135" s="27" t="s">
        <v>120</v>
      </c>
      <c r="D1135" s="28"/>
      <c r="E1135" s="28"/>
      <c r="F1135" s="29" t="n">
        <f aca="false">'📋 Matches'!E55</f>
        <v>0</v>
      </c>
      <c r="G1135" s="29" t="n">
        <f aca="false">'📋 Matches'!F55</f>
        <v>0</v>
      </c>
      <c r="H1135" s="30" t="s">
        <v>148</v>
      </c>
      <c r="I1135" s="30" t="s">
        <v>148</v>
      </c>
      <c r="J1135" s="30" t="s">
        <v>148</v>
      </c>
      <c r="K1135" s="30" t="s">
        <v>148</v>
      </c>
      <c r="L1135" s="30" t="s">
        <v>148</v>
      </c>
    </row>
    <row r="1136" customFormat="false" ht="18" hidden="false" customHeight="true" outlineLevel="0" collapsed="false">
      <c r="A1136" s="25" t="s">
        <v>114</v>
      </c>
      <c r="B1136" s="26" t="s">
        <v>163</v>
      </c>
      <c r="C1136" s="27" t="s">
        <v>121</v>
      </c>
      <c r="D1136" s="28"/>
      <c r="E1136" s="28"/>
      <c r="F1136" s="29" t="n">
        <f aca="false">'📋 Matches'!E56</f>
        <v>0</v>
      </c>
      <c r="G1136" s="29" t="n">
        <f aca="false">'📋 Matches'!F56</f>
        <v>0</v>
      </c>
      <c r="H1136" s="30" t="s">
        <v>148</v>
      </c>
      <c r="I1136" s="30" t="s">
        <v>148</v>
      </c>
      <c r="J1136" s="30" t="s">
        <v>148</v>
      </c>
      <c r="K1136" s="30" t="s">
        <v>148</v>
      </c>
      <c r="L1136" s="30" t="s">
        <v>148</v>
      </c>
    </row>
    <row r="1137" customFormat="false" ht="18" hidden="false" customHeight="true" outlineLevel="0" collapsed="false">
      <c r="A1137" s="25" t="s">
        <v>114</v>
      </c>
      <c r="B1137" s="26" t="s">
        <v>163</v>
      </c>
      <c r="C1137" s="27" t="s">
        <v>122</v>
      </c>
      <c r="D1137" s="28"/>
      <c r="E1137" s="28"/>
      <c r="F1137" s="29" t="n">
        <f aca="false">'📋 Matches'!E57</f>
        <v>0</v>
      </c>
      <c r="G1137" s="29" t="n">
        <f aca="false">'📋 Matches'!F57</f>
        <v>0</v>
      </c>
      <c r="H1137" s="30" t="s">
        <v>148</v>
      </c>
      <c r="I1137" s="30" t="s">
        <v>148</v>
      </c>
      <c r="J1137" s="30" t="s">
        <v>148</v>
      </c>
      <c r="K1137" s="30" t="s">
        <v>148</v>
      </c>
      <c r="L1137" s="30" t="s">
        <v>148</v>
      </c>
    </row>
    <row r="1138" customFormat="false" ht="18" hidden="false" customHeight="true" outlineLevel="0" collapsed="false">
      <c r="A1138" s="25" t="s">
        <v>114</v>
      </c>
      <c r="B1138" s="26" t="s">
        <v>163</v>
      </c>
      <c r="C1138" s="27" t="s">
        <v>123</v>
      </c>
      <c r="D1138" s="28"/>
      <c r="E1138" s="28"/>
      <c r="F1138" s="29" t="n">
        <f aca="false">'📋 Matches'!E58</f>
        <v>0</v>
      </c>
      <c r="G1138" s="29" t="n">
        <f aca="false">'📋 Matches'!F58</f>
        <v>0</v>
      </c>
      <c r="H1138" s="30" t="s">
        <v>148</v>
      </c>
      <c r="I1138" s="30" t="s">
        <v>148</v>
      </c>
      <c r="J1138" s="30" t="s">
        <v>148</v>
      </c>
      <c r="K1138" s="30" t="s">
        <v>148</v>
      </c>
      <c r="L1138" s="30" t="s">
        <v>148</v>
      </c>
    </row>
    <row r="1139" customFormat="false" ht="18" hidden="false" customHeight="true" outlineLevel="0" collapsed="false">
      <c r="A1139" s="25" t="s">
        <v>114</v>
      </c>
      <c r="B1139" s="26" t="s">
        <v>163</v>
      </c>
      <c r="C1139" s="27" t="s">
        <v>124</v>
      </c>
      <c r="D1139" s="28"/>
      <c r="E1139" s="28"/>
      <c r="F1139" s="29" t="n">
        <f aca="false">'📋 Matches'!E59</f>
        <v>0</v>
      </c>
      <c r="G1139" s="29" t="n">
        <f aca="false">'📋 Matches'!F59</f>
        <v>0</v>
      </c>
      <c r="H1139" s="30" t="s">
        <v>148</v>
      </c>
      <c r="I1139" s="30" t="s">
        <v>148</v>
      </c>
      <c r="J1139" s="30" t="s">
        <v>148</v>
      </c>
      <c r="K1139" s="30" t="s">
        <v>148</v>
      </c>
      <c r="L1139" s="30" t="s">
        <v>148</v>
      </c>
    </row>
    <row r="1140" customFormat="false" ht="18" hidden="false" customHeight="true" outlineLevel="0" collapsed="false">
      <c r="A1140" s="25" t="s">
        <v>114</v>
      </c>
      <c r="B1140" s="26" t="s">
        <v>163</v>
      </c>
      <c r="C1140" s="27" t="s">
        <v>125</v>
      </c>
      <c r="D1140" s="28"/>
      <c r="E1140" s="28"/>
      <c r="F1140" s="29" t="n">
        <f aca="false">'📋 Matches'!E60</f>
        <v>0</v>
      </c>
      <c r="G1140" s="29" t="n">
        <f aca="false">'📋 Matches'!F60</f>
        <v>0</v>
      </c>
      <c r="H1140" s="30" t="s">
        <v>148</v>
      </c>
      <c r="I1140" s="30" t="s">
        <v>148</v>
      </c>
      <c r="J1140" s="30" t="s">
        <v>148</v>
      </c>
      <c r="K1140" s="30" t="s">
        <v>148</v>
      </c>
      <c r="L1140" s="30" t="s">
        <v>148</v>
      </c>
    </row>
    <row r="1141" customFormat="false" ht="18" hidden="false" customHeight="true" outlineLevel="0" collapsed="false">
      <c r="A1141" s="25" t="s">
        <v>114</v>
      </c>
      <c r="B1141" s="26" t="s">
        <v>163</v>
      </c>
      <c r="C1141" s="27" t="s">
        <v>126</v>
      </c>
      <c r="D1141" s="28"/>
      <c r="E1141" s="28"/>
      <c r="F1141" s="29" t="n">
        <f aca="false">'📋 Matches'!E61</f>
        <v>0</v>
      </c>
      <c r="G1141" s="29" t="n">
        <f aca="false">'📋 Matches'!F61</f>
        <v>0</v>
      </c>
      <c r="H1141" s="30" t="s">
        <v>148</v>
      </c>
      <c r="I1141" s="30" t="s">
        <v>148</v>
      </c>
      <c r="J1141" s="30" t="s">
        <v>148</v>
      </c>
      <c r="K1141" s="30" t="s">
        <v>148</v>
      </c>
      <c r="L1141" s="30" t="s">
        <v>148</v>
      </c>
    </row>
    <row r="1142" customFormat="false" ht="18" hidden="false" customHeight="true" outlineLevel="0" collapsed="false">
      <c r="A1142" s="25" t="s">
        <v>114</v>
      </c>
      <c r="B1142" s="26" t="s">
        <v>163</v>
      </c>
      <c r="C1142" s="27" t="s">
        <v>127</v>
      </c>
      <c r="D1142" s="28"/>
      <c r="E1142" s="28"/>
      <c r="F1142" s="29" t="n">
        <f aca="false">'📋 Matches'!E62</f>
        <v>0</v>
      </c>
      <c r="G1142" s="29" t="n">
        <f aca="false">'📋 Matches'!F62</f>
        <v>0</v>
      </c>
      <c r="H1142" s="30" t="s">
        <v>148</v>
      </c>
      <c r="I1142" s="30" t="s">
        <v>148</v>
      </c>
      <c r="J1142" s="30" t="s">
        <v>148</v>
      </c>
      <c r="K1142" s="30" t="s">
        <v>148</v>
      </c>
      <c r="L1142" s="30" t="s">
        <v>148</v>
      </c>
    </row>
    <row r="1143" customFormat="false" ht="18" hidden="false" customHeight="true" outlineLevel="0" collapsed="false">
      <c r="A1143" s="25" t="s">
        <v>114</v>
      </c>
      <c r="B1143" s="26" t="s">
        <v>163</v>
      </c>
      <c r="C1143" s="27" t="s">
        <v>128</v>
      </c>
      <c r="D1143" s="28"/>
      <c r="E1143" s="28"/>
      <c r="F1143" s="29" t="n">
        <f aca="false">'📋 Matches'!E63</f>
        <v>0</v>
      </c>
      <c r="G1143" s="29" t="n">
        <f aca="false">'📋 Matches'!F63</f>
        <v>0</v>
      </c>
      <c r="H1143" s="30" t="s">
        <v>148</v>
      </c>
      <c r="I1143" s="30" t="s">
        <v>148</v>
      </c>
      <c r="J1143" s="30" t="s">
        <v>148</v>
      </c>
      <c r="K1143" s="30" t="s">
        <v>148</v>
      </c>
      <c r="L1143" s="30" t="s">
        <v>148</v>
      </c>
    </row>
    <row r="1144" customFormat="false" ht="18" hidden="false" customHeight="true" outlineLevel="0" collapsed="false">
      <c r="A1144" s="25" t="s">
        <v>114</v>
      </c>
      <c r="B1144" s="26" t="s">
        <v>163</v>
      </c>
      <c r="C1144" s="27" t="s">
        <v>129</v>
      </c>
      <c r="D1144" s="28"/>
      <c r="E1144" s="28"/>
      <c r="F1144" s="29" t="n">
        <f aca="false">'📋 Matches'!E64</f>
        <v>0</v>
      </c>
      <c r="G1144" s="29" t="n">
        <f aca="false">'📋 Matches'!F64</f>
        <v>0</v>
      </c>
      <c r="H1144" s="30" t="s">
        <v>148</v>
      </c>
      <c r="I1144" s="30" t="s">
        <v>148</v>
      </c>
      <c r="J1144" s="30" t="s">
        <v>148</v>
      </c>
      <c r="K1144" s="30" t="s">
        <v>148</v>
      </c>
      <c r="L1144" s="30" t="s">
        <v>148</v>
      </c>
    </row>
    <row r="1145" customFormat="false" ht="18" hidden="false" customHeight="true" outlineLevel="0" collapsed="false">
      <c r="A1145" s="25" t="s">
        <v>114</v>
      </c>
      <c r="B1145" s="26" t="s">
        <v>163</v>
      </c>
      <c r="C1145" s="27" t="s">
        <v>130</v>
      </c>
      <c r="D1145" s="28"/>
      <c r="E1145" s="28"/>
      <c r="F1145" s="29" t="n">
        <f aca="false">'📋 Matches'!E65</f>
        <v>0</v>
      </c>
      <c r="G1145" s="29" t="n">
        <f aca="false">'📋 Matches'!F65</f>
        <v>0</v>
      </c>
      <c r="H1145" s="30" t="s">
        <v>148</v>
      </c>
      <c r="I1145" s="30" t="s">
        <v>148</v>
      </c>
      <c r="J1145" s="30" t="s">
        <v>148</v>
      </c>
      <c r="K1145" s="30" t="s">
        <v>148</v>
      </c>
      <c r="L1145" s="30" t="s">
        <v>148</v>
      </c>
    </row>
    <row r="1146" customFormat="false" ht="18" hidden="false" customHeight="true" outlineLevel="0" collapsed="false">
      <c r="A1146" s="25" t="s">
        <v>114</v>
      </c>
      <c r="B1146" s="26" t="s">
        <v>163</v>
      </c>
      <c r="C1146" s="27" t="s">
        <v>131</v>
      </c>
      <c r="D1146" s="28"/>
      <c r="E1146" s="28"/>
      <c r="F1146" s="29" t="n">
        <f aca="false">'📋 Matches'!E66</f>
        <v>0</v>
      </c>
      <c r="G1146" s="29" t="n">
        <f aca="false">'📋 Matches'!F66</f>
        <v>0</v>
      </c>
      <c r="H1146" s="30" t="s">
        <v>148</v>
      </c>
      <c r="I1146" s="30" t="s">
        <v>148</v>
      </c>
      <c r="J1146" s="30" t="s">
        <v>148</v>
      </c>
      <c r="K1146" s="30" t="s">
        <v>148</v>
      </c>
      <c r="L1146" s="30" t="s">
        <v>148</v>
      </c>
    </row>
    <row r="1147" customFormat="false" ht="18" hidden="false" customHeight="true" outlineLevel="0" collapsed="false">
      <c r="A1147" s="25" t="s">
        <v>114</v>
      </c>
      <c r="B1147" s="26" t="s">
        <v>163</v>
      </c>
      <c r="C1147" s="27" t="s">
        <v>132</v>
      </c>
      <c r="D1147" s="28"/>
      <c r="E1147" s="28"/>
      <c r="F1147" s="29" t="n">
        <f aca="false">'📋 Matches'!E67</f>
        <v>0</v>
      </c>
      <c r="G1147" s="29" t="n">
        <f aca="false">'📋 Matches'!F67</f>
        <v>0</v>
      </c>
      <c r="H1147" s="30" t="s">
        <v>148</v>
      </c>
      <c r="I1147" s="30" t="s">
        <v>148</v>
      </c>
      <c r="J1147" s="30" t="s">
        <v>148</v>
      </c>
      <c r="K1147" s="30" t="s">
        <v>148</v>
      </c>
      <c r="L1147" s="30" t="s">
        <v>148</v>
      </c>
    </row>
    <row r="1148" customFormat="false" ht="18" hidden="false" customHeight="true" outlineLevel="0" collapsed="false">
      <c r="A1148" s="25" t="s">
        <v>114</v>
      </c>
      <c r="B1148" s="26" t="s">
        <v>163</v>
      </c>
      <c r="C1148" s="27" t="s">
        <v>133</v>
      </c>
      <c r="D1148" s="28"/>
      <c r="E1148" s="28"/>
      <c r="F1148" s="29" t="n">
        <f aca="false">'📋 Matches'!E68</f>
        <v>0</v>
      </c>
      <c r="G1148" s="29" t="n">
        <f aca="false">'📋 Matches'!F68</f>
        <v>0</v>
      </c>
      <c r="H1148" s="30" t="s">
        <v>148</v>
      </c>
      <c r="I1148" s="30" t="s">
        <v>148</v>
      </c>
      <c r="J1148" s="30" t="s">
        <v>148</v>
      </c>
      <c r="K1148" s="30" t="s">
        <v>148</v>
      </c>
      <c r="L1148" s="30" t="s">
        <v>148</v>
      </c>
    </row>
    <row r="1149" customFormat="false" ht="18" hidden="false" customHeight="true" outlineLevel="0" collapsed="false">
      <c r="A1149" s="25" t="s">
        <v>114</v>
      </c>
      <c r="B1149" s="26" t="s">
        <v>163</v>
      </c>
      <c r="C1149" s="27" t="s">
        <v>134</v>
      </c>
      <c r="D1149" s="28"/>
      <c r="E1149" s="28"/>
      <c r="F1149" s="29" t="n">
        <f aca="false">'📋 Matches'!E69</f>
        <v>0</v>
      </c>
      <c r="G1149" s="29" t="n">
        <f aca="false">'📋 Matches'!F69</f>
        <v>0</v>
      </c>
      <c r="H1149" s="30" t="s">
        <v>148</v>
      </c>
      <c r="I1149" s="30" t="s">
        <v>148</v>
      </c>
      <c r="J1149" s="30" t="s">
        <v>148</v>
      </c>
      <c r="K1149" s="30" t="s">
        <v>148</v>
      </c>
      <c r="L1149" s="30" t="s">
        <v>148</v>
      </c>
    </row>
    <row r="1150" customFormat="false" ht="18" hidden="false" customHeight="true" outlineLevel="0" collapsed="false">
      <c r="A1150" s="25" t="s">
        <v>114</v>
      </c>
      <c r="B1150" s="26" t="s">
        <v>163</v>
      </c>
      <c r="C1150" s="27" t="s">
        <v>135</v>
      </c>
      <c r="D1150" s="28"/>
      <c r="E1150" s="28"/>
      <c r="F1150" s="29" t="n">
        <f aca="false">'📋 Matches'!E70</f>
        <v>0</v>
      </c>
      <c r="G1150" s="29" t="n">
        <f aca="false">'📋 Matches'!F70</f>
        <v>0</v>
      </c>
      <c r="H1150" s="30" t="s">
        <v>148</v>
      </c>
      <c r="I1150" s="30" t="s">
        <v>148</v>
      </c>
      <c r="J1150" s="30" t="s">
        <v>148</v>
      </c>
      <c r="K1150" s="30" t="s">
        <v>148</v>
      </c>
      <c r="L1150" s="30" t="s">
        <v>148</v>
      </c>
    </row>
    <row r="1151" customFormat="false" ht="18" hidden="false" customHeight="true" outlineLevel="0" collapsed="false">
      <c r="A1151" s="25" t="s">
        <v>114</v>
      </c>
      <c r="B1151" s="26" t="s">
        <v>163</v>
      </c>
      <c r="C1151" s="27" t="s">
        <v>136</v>
      </c>
      <c r="D1151" s="28"/>
      <c r="E1151" s="28"/>
      <c r="F1151" s="29" t="n">
        <f aca="false">'📋 Matches'!E71</f>
        <v>0</v>
      </c>
      <c r="G1151" s="29" t="n">
        <f aca="false">'📋 Matches'!F71</f>
        <v>0</v>
      </c>
      <c r="H1151" s="30" t="s">
        <v>148</v>
      </c>
      <c r="I1151" s="30" t="s">
        <v>148</v>
      </c>
      <c r="J1151" s="30" t="s">
        <v>148</v>
      </c>
      <c r="K1151" s="30" t="s">
        <v>148</v>
      </c>
      <c r="L1151" s="30" t="s">
        <v>148</v>
      </c>
    </row>
    <row r="1152" customFormat="false" ht="18" hidden="false" customHeight="true" outlineLevel="0" collapsed="false">
      <c r="A1152" s="25" t="s">
        <v>114</v>
      </c>
      <c r="B1152" s="26" t="s">
        <v>163</v>
      </c>
      <c r="C1152" s="27" t="s">
        <v>137</v>
      </c>
      <c r="D1152" s="28"/>
      <c r="E1152" s="28"/>
      <c r="F1152" s="29" t="n">
        <f aca="false">'📋 Matches'!E72</f>
        <v>0</v>
      </c>
      <c r="G1152" s="29" t="n">
        <f aca="false">'📋 Matches'!F72</f>
        <v>0</v>
      </c>
      <c r="H1152" s="30" t="s">
        <v>148</v>
      </c>
      <c r="I1152" s="30" t="s">
        <v>148</v>
      </c>
      <c r="J1152" s="30" t="s">
        <v>148</v>
      </c>
      <c r="K1152" s="30" t="s">
        <v>148</v>
      </c>
      <c r="L1152" s="30" t="s">
        <v>148</v>
      </c>
    </row>
    <row r="1153" customFormat="false" ht="18" hidden="false" customHeight="true" outlineLevel="0" collapsed="false">
      <c r="A1153" s="25" t="s">
        <v>114</v>
      </c>
      <c r="B1153" s="26" t="s">
        <v>163</v>
      </c>
      <c r="C1153" s="27" t="s">
        <v>138</v>
      </c>
      <c r="D1153" s="28"/>
      <c r="E1153" s="28"/>
      <c r="F1153" s="29" t="n">
        <f aca="false">'📋 Matches'!E73</f>
        <v>0</v>
      </c>
      <c r="G1153" s="29" t="n">
        <f aca="false">'📋 Matches'!F73</f>
        <v>0</v>
      </c>
      <c r="H1153" s="30" t="s">
        <v>148</v>
      </c>
      <c r="I1153" s="30" t="s">
        <v>148</v>
      </c>
      <c r="J1153" s="30" t="s">
        <v>148</v>
      </c>
      <c r="K1153" s="30" t="s">
        <v>148</v>
      </c>
      <c r="L1153" s="30" t="s">
        <v>148</v>
      </c>
    </row>
    <row r="1154" customFormat="false" ht="18" hidden="false" customHeight="true" outlineLevel="0" collapsed="false">
      <c r="A1154" s="17" t="s">
        <v>9</v>
      </c>
      <c r="B1154" s="31" t="s">
        <v>164</v>
      </c>
      <c r="C1154" s="19" t="s">
        <v>10</v>
      </c>
      <c r="D1154" s="20" t="n">
        <v>2</v>
      </c>
      <c r="E1154" s="20" t="n">
        <v>1</v>
      </c>
      <c r="F1154" s="21" t="n">
        <f aca="false">'📋 Matches'!E2</f>
        <v>2</v>
      </c>
      <c r="G1154" s="21" t="n">
        <f aca="false">'📋 Matches'!F2</f>
        <v>0</v>
      </c>
      <c r="H1154" s="22" t="n">
        <f aca="false">IF(AND(ISNUMBER(F1154),ISNUMBER(G1154)),IF(SIGN(D1154-E1154)=SIGN(F1154-G1154),48,0),"")</f>
        <v>48</v>
      </c>
      <c r="I1154" s="22" t="n">
        <f aca="false">IF(AND(ISNUMBER(F1154),ISNUMBER(G1154)),IF(D1154=F1154,15,0),"")</f>
        <v>15</v>
      </c>
      <c r="J1154" s="22" t="n">
        <f aca="false">IF(AND(ISNUMBER(F1154),ISNUMBER(G1154)),IF(E1154=G1154,15,0),"")</f>
        <v>0</v>
      </c>
      <c r="K1154" s="22" t="n">
        <f aca="false">IF(AND(ISNUMBER(F1154),ISNUMBER(G1154)),IF(ABS(D1154-E1154)=ABS(F1154-G1154),12,0),"")</f>
        <v>0</v>
      </c>
      <c r="L1154" s="23" t="n">
        <f aca="false">IF(ISNUMBER(H1154),H1154+I1154+J1154+K1154,"")</f>
        <v>63</v>
      </c>
    </row>
    <row r="1155" customFormat="false" ht="18" hidden="false" customHeight="true" outlineLevel="0" collapsed="false">
      <c r="A1155" s="17" t="s">
        <v>9</v>
      </c>
      <c r="B1155" s="31" t="s">
        <v>164</v>
      </c>
      <c r="C1155" s="19" t="s">
        <v>14</v>
      </c>
      <c r="D1155" s="20" t="n">
        <v>3</v>
      </c>
      <c r="E1155" s="20" t="n">
        <v>0</v>
      </c>
      <c r="F1155" s="21" t="n">
        <f aca="false">'📋 Matches'!E3</f>
        <v>2</v>
      </c>
      <c r="G1155" s="21" t="n">
        <f aca="false">'📋 Matches'!F3</f>
        <v>1</v>
      </c>
      <c r="H1155" s="22" t="n">
        <f aca="false">IF(AND(ISNUMBER(F1155),ISNUMBER(G1155)),IF(SIGN(D1155-E1155)=SIGN(F1155-G1155),48,0),"")</f>
        <v>48</v>
      </c>
      <c r="I1155" s="22" t="n">
        <f aca="false">IF(AND(ISNUMBER(F1155),ISNUMBER(G1155)),IF(D1155=F1155,15,0),"")</f>
        <v>0</v>
      </c>
      <c r="J1155" s="22" t="n">
        <f aca="false">IF(AND(ISNUMBER(F1155),ISNUMBER(G1155)),IF(E1155=G1155,15,0),"")</f>
        <v>0</v>
      </c>
      <c r="K1155" s="22" t="n">
        <f aca="false">IF(AND(ISNUMBER(F1155),ISNUMBER(G1155)),IF(ABS(D1155-E1155)=ABS(F1155-G1155),12,0),"")</f>
        <v>0</v>
      </c>
      <c r="L1155" s="23" t="n">
        <f aca="false">IF(ISNUMBER(H1155),H1155+I1155+J1155+K1155,"")</f>
        <v>48</v>
      </c>
    </row>
    <row r="1156" customFormat="false" ht="18" hidden="false" customHeight="true" outlineLevel="0" collapsed="false">
      <c r="A1156" s="17" t="s">
        <v>9</v>
      </c>
      <c r="B1156" s="31" t="s">
        <v>164</v>
      </c>
      <c r="C1156" s="19" t="s">
        <v>17</v>
      </c>
      <c r="D1156" s="20" t="n">
        <v>2</v>
      </c>
      <c r="E1156" s="20" t="n">
        <v>0</v>
      </c>
      <c r="F1156" s="21" t="n">
        <f aca="false">'📋 Matches'!E4</f>
        <v>1</v>
      </c>
      <c r="G1156" s="21" t="n">
        <f aca="false">'📋 Matches'!F4</f>
        <v>1</v>
      </c>
      <c r="H1156" s="22" t="n">
        <f aca="false">IF(AND(ISNUMBER(F1156),ISNUMBER(G1156)),IF(SIGN(D1156-E1156)=SIGN(F1156-G1156),48,0),"")</f>
        <v>0</v>
      </c>
      <c r="I1156" s="22" t="n">
        <f aca="false">IF(AND(ISNUMBER(F1156),ISNUMBER(G1156)),IF(D1156=F1156,15,0),"")</f>
        <v>0</v>
      </c>
      <c r="J1156" s="22" t="n">
        <f aca="false">IF(AND(ISNUMBER(F1156),ISNUMBER(G1156)),IF(E1156=G1156,15,0),"")</f>
        <v>0</v>
      </c>
      <c r="K1156" s="22" t="n">
        <f aca="false">IF(AND(ISNUMBER(F1156),ISNUMBER(G1156)),IF(ABS(D1156-E1156)=ABS(F1156-G1156),12,0),"")</f>
        <v>0</v>
      </c>
      <c r="L1156" s="23" t="n">
        <f aca="false">IF(ISNUMBER(H1156),H1156+I1156+J1156+K1156,"")</f>
        <v>0</v>
      </c>
    </row>
    <row r="1157" customFormat="false" ht="18" hidden="false" customHeight="true" outlineLevel="0" collapsed="false">
      <c r="A1157" s="17" t="s">
        <v>9</v>
      </c>
      <c r="B1157" s="31" t="s">
        <v>164</v>
      </c>
      <c r="C1157" s="19" t="s">
        <v>20</v>
      </c>
      <c r="D1157" s="20" t="n">
        <v>1</v>
      </c>
      <c r="E1157" s="20" t="n">
        <v>1</v>
      </c>
      <c r="F1157" s="21" t="n">
        <f aca="false">'📋 Matches'!E5</f>
        <v>4</v>
      </c>
      <c r="G1157" s="21" t="n">
        <f aca="false">'📋 Matches'!F5</f>
        <v>1</v>
      </c>
      <c r="H1157" s="22" t="n">
        <f aca="false">IF(AND(ISNUMBER(F1157),ISNUMBER(G1157)),IF(SIGN(D1157-E1157)=SIGN(F1157-G1157),48,0),"")</f>
        <v>0</v>
      </c>
      <c r="I1157" s="22" t="n">
        <f aca="false">IF(AND(ISNUMBER(F1157),ISNUMBER(G1157)),IF(D1157=F1157,15,0),"")</f>
        <v>0</v>
      </c>
      <c r="J1157" s="22" t="n">
        <f aca="false">IF(AND(ISNUMBER(F1157),ISNUMBER(G1157)),IF(E1157=G1157,15,0),"")</f>
        <v>15</v>
      </c>
      <c r="K1157" s="22" t="n">
        <f aca="false">IF(AND(ISNUMBER(F1157),ISNUMBER(G1157)),IF(ABS(D1157-E1157)=ABS(F1157-G1157),12,0),"")</f>
        <v>0</v>
      </c>
      <c r="L1157" s="23" t="n">
        <f aca="false">IF(ISNUMBER(H1157),H1157+I1157+J1157+K1157,"")</f>
        <v>15</v>
      </c>
    </row>
    <row r="1158" customFormat="false" ht="18" hidden="false" customHeight="true" outlineLevel="0" collapsed="false">
      <c r="A1158" s="17" t="s">
        <v>9</v>
      </c>
      <c r="B1158" s="31" t="s">
        <v>164</v>
      </c>
      <c r="C1158" s="19" t="s">
        <v>23</v>
      </c>
      <c r="D1158" s="20" t="n">
        <v>0</v>
      </c>
      <c r="E1158" s="20" t="n">
        <v>3</v>
      </c>
      <c r="F1158" s="21" t="n">
        <f aca="false">'📋 Matches'!E6</f>
        <v>0</v>
      </c>
      <c r="G1158" s="21" t="n">
        <f aca="false">'📋 Matches'!F6</f>
        <v>0</v>
      </c>
      <c r="H1158" s="22" t="str">
        <f aca="false">IF(AND(ISNUMBER(F1158),ISNUMBER(G1158)),IF(SIGN(D1158-E1158)=SIGN(F1158-G1158),48,0),"")</f>
        <v/>
      </c>
      <c r="I1158" s="22" t="str">
        <f aca="false">IF(AND(ISNUMBER(F1158),ISNUMBER(G1158)),IF(D1158=F1158,15,0),"")</f>
        <v/>
      </c>
      <c r="J1158" s="22" t="str">
        <f aca="false">IF(AND(ISNUMBER(F1158),ISNUMBER(G1158)),IF(E1158=G1158,15,0),"")</f>
        <v/>
      </c>
      <c r="K1158" s="22" t="str">
        <f aca="false">IF(AND(ISNUMBER(F1158),ISNUMBER(G1158)),IF(ABS(D1158-E1158)=ABS(F1158-G1158),12,0),"")</f>
        <v/>
      </c>
      <c r="L1158" s="23" t="str">
        <f aca="false">IF(ISNUMBER(H1158),H1158+I1158+J1158+K1158,"")</f>
        <v/>
      </c>
    </row>
    <row r="1159" customFormat="false" ht="18" hidden="false" customHeight="true" outlineLevel="0" collapsed="false">
      <c r="A1159" s="17" t="s">
        <v>9</v>
      </c>
      <c r="B1159" s="31" t="s">
        <v>164</v>
      </c>
      <c r="C1159" s="19" t="s">
        <v>27</v>
      </c>
      <c r="D1159" s="20" t="n">
        <v>5</v>
      </c>
      <c r="E1159" s="20" t="n">
        <v>0</v>
      </c>
      <c r="F1159" s="21" t="n">
        <f aca="false">'📋 Matches'!E7</f>
        <v>0</v>
      </c>
      <c r="G1159" s="21" t="n">
        <f aca="false">'📋 Matches'!F7</f>
        <v>0</v>
      </c>
      <c r="H1159" s="22" t="str">
        <f aca="false">IF(AND(ISNUMBER(F1159),ISNUMBER(G1159)),IF(SIGN(D1159-E1159)=SIGN(F1159-G1159),48,0),"")</f>
        <v/>
      </c>
      <c r="I1159" s="22" t="str">
        <f aca="false">IF(AND(ISNUMBER(F1159),ISNUMBER(G1159)),IF(D1159=F1159,15,0),"")</f>
        <v/>
      </c>
      <c r="J1159" s="22" t="str">
        <f aca="false">IF(AND(ISNUMBER(F1159),ISNUMBER(G1159)),IF(E1159=G1159,15,0),"")</f>
        <v/>
      </c>
      <c r="K1159" s="22" t="str">
        <f aca="false">IF(AND(ISNUMBER(F1159),ISNUMBER(G1159)),IF(ABS(D1159-E1159)=ABS(F1159-G1159),12,0),"")</f>
        <v/>
      </c>
      <c r="L1159" s="23" t="str">
        <f aca="false">IF(ISNUMBER(H1159),H1159+I1159+J1159+K1159,"")</f>
        <v/>
      </c>
    </row>
    <row r="1160" customFormat="false" ht="18" hidden="false" customHeight="true" outlineLevel="0" collapsed="false">
      <c r="A1160" s="17" t="s">
        <v>9</v>
      </c>
      <c r="B1160" s="31" t="s">
        <v>164</v>
      </c>
      <c r="C1160" s="19" t="s">
        <v>30</v>
      </c>
      <c r="D1160" s="20" t="n">
        <v>2</v>
      </c>
      <c r="E1160" s="20" t="n">
        <v>2</v>
      </c>
      <c r="F1160" s="21" t="n">
        <f aca="false">'📋 Matches'!E8</f>
        <v>0</v>
      </c>
      <c r="G1160" s="21" t="n">
        <f aca="false">'📋 Matches'!F8</f>
        <v>0</v>
      </c>
      <c r="H1160" s="22" t="str">
        <f aca="false">IF(AND(ISNUMBER(F1160),ISNUMBER(G1160)),IF(SIGN(D1160-E1160)=SIGN(F1160-G1160),48,0),"")</f>
        <v/>
      </c>
      <c r="I1160" s="22" t="str">
        <f aca="false">IF(AND(ISNUMBER(F1160),ISNUMBER(G1160)),IF(D1160=F1160,15,0),"")</f>
        <v/>
      </c>
      <c r="J1160" s="22" t="str">
        <f aca="false">IF(AND(ISNUMBER(F1160),ISNUMBER(G1160)),IF(E1160=G1160,15,0),"")</f>
        <v/>
      </c>
      <c r="K1160" s="22" t="str">
        <f aca="false">IF(AND(ISNUMBER(F1160),ISNUMBER(G1160)),IF(ABS(D1160-E1160)=ABS(F1160-G1160),12,0),"")</f>
        <v/>
      </c>
      <c r="L1160" s="23" t="str">
        <f aca="false">IF(ISNUMBER(H1160),H1160+I1160+J1160+K1160,"")</f>
        <v/>
      </c>
    </row>
    <row r="1161" customFormat="false" ht="18" hidden="false" customHeight="true" outlineLevel="0" collapsed="false">
      <c r="A1161" s="17" t="s">
        <v>9</v>
      </c>
      <c r="B1161" s="31" t="s">
        <v>164</v>
      </c>
      <c r="C1161" s="19" t="s">
        <v>33</v>
      </c>
      <c r="D1161" s="20" t="n">
        <v>1</v>
      </c>
      <c r="E1161" s="20" t="n">
        <v>0</v>
      </c>
      <c r="F1161" s="21" t="n">
        <f aca="false">'📋 Matches'!E9</f>
        <v>0</v>
      </c>
      <c r="G1161" s="21" t="n">
        <f aca="false">'📋 Matches'!F9</f>
        <v>0</v>
      </c>
      <c r="H1161" s="22" t="str">
        <f aca="false">IF(AND(ISNUMBER(F1161),ISNUMBER(G1161)),IF(SIGN(D1161-E1161)=SIGN(F1161-G1161),48,0),"")</f>
        <v/>
      </c>
      <c r="I1161" s="22" t="str">
        <f aca="false">IF(AND(ISNUMBER(F1161),ISNUMBER(G1161)),IF(D1161=F1161,15,0),"")</f>
        <v/>
      </c>
      <c r="J1161" s="22" t="str">
        <f aca="false">IF(AND(ISNUMBER(F1161),ISNUMBER(G1161)),IF(E1161=G1161,15,0),"")</f>
        <v/>
      </c>
      <c r="K1161" s="22" t="str">
        <f aca="false">IF(AND(ISNUMBER(F1161),ISNUMBER(G1161)),IF(ABS(D1161-E1161)=ABS(F1161-G1161),12,0),"")</f>
        <v/>
      </c>
      <c r="L1161" s="23" t="str">
        <f aca="false">IF(ISNUMBER(H1161),H1161+I1161+J1161+K1161,"")</f>
        <v/>
      </c>
    </row>
    <row r="1162" customFormat="false" ht="18" hidden="false" customHeight="true" outlineLevel="0" collapsed="false">
      <c r="A1162" s="17" t="s">
        <v>9</v>
      </c>
      <c r="B1162" s="31" t="s">
        <v>164</v>
      </c>
      <c r="C1162" s="19" t="s">
        <v>36</v>
      </c>
      <c r="D1162" s="20" t="n">
        <v>2</v>
      </c>
      <c r="E1162" s="20" t="n">
        <v>0</v>
      </c>
      <c r="F1162" s="21" t="n">
        <f aca="false">'📋 Matches'!E10</f>
        <v>0</v>
      </c>
      <c r="G1162" s="21" t="n">
        <f aca="false">'📋 Matches'!F10</f>
        <v>0</v>
      </c>
      <c r="H1162" s="22" t="str">
        <f aca="false">IF(AND(ISNUMBER(F1162),ISNUMBER(G1162)),IF(SIGN(D1162-E1162)=SIGN(F1162-G1162),48,0),"")</f>
        <v/>
      </c>
      <c r="I1162" s="22" t="str">
        <f aca="false">IF(AND(ISNUMBER(F1162),ISNUMBER(G1162)),IF(D1162=F1162,15,0),"")</f>
        <v/>
      </c>
      <c r="J1162" s="22" t="str">
        <f aca="false">IF(AND(ISNUMBER(F1162),ISNUMBER(G1162)),IF(E1162=G1162,15,0),"")</f>
        <v/>
      </c>
      <c r="K1162" s="22" t="str">
        <f aca="false">IF(AND(ISNUMBER(F1162),ISNUMBER(G1162)),IF(ABS(D1162-E1162)=ABS(F1162-G1162),12,0),"")</f>
        <v/>
      </c>
      <c r="L1162" s="23" t="str">
        <f aca="false">IF(ISNUMBER(H1162),H1162+I1162+J1162+K1162,"")</f>
        <v/>
      </c>
    </row>
    <row r="1163" customFormat="false" ht="18" hidden="false" customHeight="true" outlineLevel="0" collapsed="false">
      <c r="A1163" s="17" t="s">
        <v>9</v>
      </c>
      <c r="B1163" s="31" t="s">
        <v>164</v>
      </c>
      <c r="C1163" s="19" t="s">
        <v>39</v>
      </c>
      <c r="D1163" s="20" t="n">
        <v>3</v>
      </c>
      <c r="E1163" s="20" t="n">
        <v>2</v>
      </c>
      <c r="F1163" s="21" t="n">
        <f aca="false">'📋 Matches'!E11</f>
        <v>0</v>
      </c>
      <c r="G1163" s="21" t="n">
        <f aca="false">'📋 Matches'!F11</f>
        <v>0</v>
      </c>
      <c r="H1163" s="22" t="str">
        <f aca="false">IF(AND(ISNUMBER(F1163),ISNUMBER(G1163)),IF(SIGN(D1163-E1163)=SIGN(F1163-G1163),48,0),"")</f>
        <v/>
      </c>
      <c r="I1163" s="22" t="str">
        <f aca="false">IF(AND(ISNUMBER(F1163),ISNUMBER(G1163)),IF(D1163=F1163,15,0),"")</f>
        <v/>
      </c>
      <c r="J1163" s="22" t="str">
        <f aca="false">IF(AND(ISNUMBER(F1163),ISNUMBER(G1163)),IF(E1163=G1163,15,0),"")</f>
        <v/>
      </c>
      <c r="K1163" s="22" t="str">
        <f aca="false">IF(AND(ISNUMBER(F1163),ISNUMBER(G1163)),IF(ABS(D1163-E1163)=ABS(F1163-G1163),12,0),"")</f>
        <v/>
      </c>
      <c r="L1163" s="23" t="str">
        <f aca="false">IF(ISNUMBER(H1163),H1163+I1163+J1163+K1163,"")</f>
        <v/>
      </c>
    </row>
    <row r="1164" customFormat="false" ht="18" hidden="false" customHeight="true" outlineLevel="0" collapsed="false">
      <c r="A1164" s="17" t="s">
        <v>9</v>
      </c>
      <c r="B1164" s="31" t="s">
        <v>164</v>
      </c>
      <c r="C1164" s="19" t="s">
        <v>42</v>
      </c>
      <c r="D1164" s="20" t="n">
        <v>1</v>
      </c>
      <c r="E1164" s="20" t="n">
        <v>1</v>
      </c>
      <c r="F1164" s="21" t="n">
        <f aca="false">'📋 Matches'!E12</f>
        <v>0</v>
      </c>
      <c r="G1164" s="21" t="n">
        <f aca="false">'📋 Matches'!F12</f>
        <v>0</v>
      </c>
      <c r="H1164" s="22" t="str">
        <f aca="false">IF(AND(ISNUMBER(F1164),ISNUMBER(G1164)),IF(SIGN(D1164-E1164)=SIGN(F1164-G1164),48,0),"")</f>
        <v/>
      </c>
      <c r="I1164" s="22" t="str">
        <f aca="false">IF(AND(ISNUMBER(F1164),ISNUMBER(G1164)),IF(D1164=F1164,15,0),"")</f>
        <v/>
      </c>
      <c r="J1164" s="22" t="str">
        <f aca="false">IF(AND(ISNUMBER(F1164),ISNUMBER(G1164)),IF(E1164=G1164,15,0),"")</f>
        <v/>
      </c>
      <c r="K1164" s="22" t="str">
        <f aca="false">IF(AND(ISNUMBER(F1164),ISNUMBER(G1164)),IF(ABS(D1164-E1164)=ABS(F1164-G1164),12,0),"")</f>
        <v/>
      </c>
      <c r="L1164" s="23" t="str">
        <f aca="false">IF(ISNUMBER(H1164),H1164+I1164+J1164+K1164,"")</f>
        <v/>
      </c>
    </row>
    <row r="1165" customFormat="false" ht="18" hidden="false" customHeight="true" outlineLevel="0" collapsed="false">
      <c r="A1165" s="17" t="s">
        <v>9</v>
      </c>
      <c r="B1165" s="31" t="s">
        <v>164</v>
      </c>
      <c r="C1165" s="19" t="s">
        <v>45</v>
      </c>
      <c r="D1165" s="20" t="n">
        <v>2</v>
      </c>
      <c r="E1165" s="20" t="n">
        <v>1</v>
      </c>
      <c r="F1165" s="21" t="n">
        <f aca="false">'📋 Matches'!E13</f>
        <v>0</v>
      </c>
      <c r="G1165" s="21" t="n">
        <f aca="false">'📋 Matches'!F13</f>
        <v>0</v>
      </c>
      <c r="H1165" s="22" t="str">
        <f aca="false">IF(AND(ISNUMBER(F1165),ISNUMBER(G1165)),IF(SIGN(D1165-E1165)=SIGN(F1165-G1165),48,0),"")</f>
        <v/>
      </c>
      <c r="I1165" s="22" t="str">
        <f aca="false">IF(AND(ISNUMBER(F1165),ISNUMBER(G1165)),IF(D1165=F1165,15,0),"")</f>
        <v/>
      </c>
      <c r="J1165" s="22" t="str">
        <f aca="false">IF(AND(ISNUMBER(F1165),ISNUMBER(G1165)),IF(E1165=G1165,15,0),"")</f>
        <v/>
      </c>
      <c r="K1165" s="22" t="str">
        <f aca="false">IF(AND(ISNUMBER(F1165),ISNUMBER(G1165)),IF(ABS(D1165-E1165)=ABS(F1165-G1165),12,0),"")</f>
        <v/>
      </c>
      <c r="L1165" s="23" t="str">
        <f aca="false">IF(ISNUMBER(H1165),H1165+I1165+J1165+K1165,"")</f>
        <v/>
      </c>
    </row>
    <row r="1166" customFormat="false" ht="18" hidden="false" customHeight="true" outlineLevel="0" collapsed="false">
      <c r="A1166" s="17" t="s">
        <v>9</v>
      </c>
      <c r="B1166" s="31" t="s">
        <v>164</v>
      </c>
      <c r="C1166" s="19" t="s">
        <v>48</v>
      </c>
      <c r="D1166" s="20" t="n">
        <v>4</v>
      </c>
      <c r="E1166" s="20" t="n">
        <v>0</v>
      </c>
      <c r="F1166" s="21" t="n">
        <f aca="false">'📋 Matches'!E14</f>
        <v>0</v>
      </c>
      <c r="G1166" s="21" t="n">
        <f aca="false">'📋 Matches'!F14</f>
        <v>0</v>
      </c>
      <c r="H1166" s="22" t="str">
        <f aca="false">IF(AND(ISNUMBER(F1166),ISNUMBER(G1166)),IF(SIGN(D1166-E1166)=SIGN(F1166-G1166),48,0),"")</f>
        <v/>
      </c>
      <c r="I1166" s="22" t="str">
        <f aca="false">IF(AND(ISNUMBER(F1166),ISNUMBER(G1166)),IF(D1166=F1166,15,0),"")</f>
        <v/>
      </c>
      <c r="J1166" s="22" t="str">
        <f aca="false">IF(AND(ISNUMBER(F1166),ISNUMBER(G1166)),IF(E1166=G1166,15,0),"")</f>
        <v/>
      </c>
      <c r="K1166" s="22" t="str">
        <f aca="false">IF(AND(ISNUMBER(F1166),ISNUMBER(G1166)),IF(ABS(D1166-E1166)=ABS(F1166-G1166),12,0),"")</f>
        <v/>
      </c>
      <c r="L1166" s="23" t="str">
        <f aca="false">IF(ISNUMBER(H1166),H1166+I1166+J1166+K1166,"")</f>
        <v/>
      </c>
    </row>
    <row r="1167" customFormat="false" ht="18" hidden="false" customHeight="true" outlineLevel="0" collapsed="false">
      <c r="A1167" s="17" t="s">
        <v>9</v>
      </c>
      <c r="B1167" s="31" t="s">
        <v>164</v>
      </c>
      <c r="C1167" s="19" t="s">
        <v>51</v>
      </c>
      <c r="D1167" s="20" t="n">
        <v>2</v>
      </c>
      <c r="E1167" s="20" t="n">
        <v>1</v>
      </c>
      <c r="F1167" s="21" t="n">
        <f aca="false">'📋 Matches'!E15</f>
        <v>0</v>
      </c>
      <c r="G1167" s="21" t="n">
        <f aca="false">'📋 Matches'!F15</f>
        <v>0</v>
      </c>
      <c r="H1167" s="22" t="str">
        <f aca="false">IF(AND(ISNUMBER(F1167),ISNUMBER(G1167)),IF(SIGN(D1167-E1167)=SIGN(F1167-G1167),48,0),"")</f>
        <v/>
      </c>
      <c r="I1167" s="22" t="str">
        <f aca="false">IF(AND(ISNUMBER(F1167),ISNUMBER(G1167)),IF(D1167=F1167,15,0),"")</f>
        <v/>
      </c>
      <c r="J1167" s="22" t="str">
        <f aca="false">IF(AND(ISNUMBER(F1167),ISNUMBER(G1167)),IF(E1167=G1167,15,0),"")</f>
        <v/>
      </c>
      <c r="K1167" s="22" t="str">
        <f aca="false">IF(AND(ISNUMBER(F1167),ISNUMBER(G1167)),IF(ABS(D1167-E1167)=ABS(F1167-G1167),12,0),"")</f>
        <v/>
      </c>
      <c r="L1167" s="23" t="str">
        <f aca="false">IF(ISNUMBER(H1167),H1167+I1167+J1167+K1167,"")</f>
        <v/>
      </c>
    </row>
    <row r="1168" customFormat="false" ht="18" hidden="false" customHeight="true" outlineLevel="0" collapsed="false">
      <c r="A1168" s="17" t="s">
        <v>9</v>
      </c>
      <c r="B1168" s="31" t="s">
        <v>164</v>
      </c>
      <c r="C1168" s="19" t="s">
        <v>54</v>
      </c>
      <c r="D1168" s="20" t="n">
        <v>0</v>
      </c>
      <c r="E1168" s="20" t="n">
        <v>3</v>
      </c>
      <c r="F1168" s="21" t="n">
        <f aca="false">'📋 Matches'!E16</f>
        <v>0</v>
      </c>
      <c r="G1168" s="21" t="n">
        <f aca="false">'📋 Matches'!F16</f>
        <v>0</v>
      </c>
      <c r="H1168" s="22" t="str">
        <f aca="false">IF(AND(ISNUMBER(F1168),ISNUMBER(G1168)),IF(SIGN(D1168-E1168)=SIGN(F1168-G1168),48,0),"")</f>
        <v/>
      </c>
      <c r="I1168" s="22" t="str">
        <f aca="false">IF(AND(ISNUMBER(F1168),ISNUMBER(G1168)),IF(D1168=F1168,15,0),"")</f>
        <v/>
      </c>
      <c r="J1168" s="22" t="str">
        <f aca="false">IF(AND(ISNUMBER(F1168),ISNUMBER(G1168)),IF(E1168=G1168,15,0),"")</f>
        <v/>
      </c>
      <c r="K1168" s="22" t="str">
        <f aca="false">IF(AND(ISNUMBER(F1168),ISNUMBER(G1168)),IF(ABS(D1168-E1168)=ABS(F1168-G1168),12,0),"")</f>
        <v/>
      </c>
      <c r="L1168" s="23" t="str">
        <f aca="false">IF(ISNUMBER(H1168),H1168+I1168+J1168+K1168,"")</f>
        <v/>
      </c>
    </row>
    <row r="1169" customFormat="false" ht="18" hidden="false" customHeight="true" outlineLevel="0" collapsed="false">
      <c r="A1169" s="17" t="s">
        <v>9</v>
      </c>
      <c r="B1169" s="31" t="s">
        <v>164</v>
      </c>
      <c r="C1169" s="19" t="s">
        <v>57</v>
      </c>
      <c r="D1169" s="20" t="n">
        <v>0</v>
      </c>
      <c r="E1169" s="20" t="n">
        <v>1</v>
      </c>
      <c r="F1169" s="21" t="n">
        <f aca="false">'📋 Matches'!E17</f>
        <v>0</v>
      </c>
      <c r="G1169" s="21" t="n">
        <f aca="false">'📋 Matches'!F17</f>
        <v>0</v>
      </c>
      <c r="H1169" s="22" t="str">
        <f aca="false">IF(AND(ISNUMBER(F1169),ISNUMBER(G1169)),IF(SIGN(D1169-E1169)=SIGN(F1169-G1169),48,0),"")</f>
        <v/>
      </c>
      <c r="I1169" s="22" t="str">
        <f aca="false">IF(AND(ISNUMBER(F1169),ISNUMBER(G1169)),IF(D1169=F1169,15,0),"")</f>
        <v/>
      </c>
      <c r="J1169" s="22" t="str">
        <f aca="false">IF(AND(ISNUMBER(F1169),ISNUMBER(G1169)),IF(E1169=G1169,15,0),"")</f>
        <v/>
      </c>
      <c r="K1169" s="22" t="str">
        <f aca="false">IF(AND(ISNUMBER(F1169),ISNUMBER(G1169)),IF(ABS(D1169-E1169)=ABS(F1169-G1169),12,0),"")</f>
        <v/>
      </c>
      <c r="L1169" s="23" t="str">
        <f aca="false">IF(ISNUMBER(H1169),H1169+I1169+J1169+K1169,"")</f>
        <v/>
      </c>
    </row>
    <row r="1170" customFormat="false" ht="18" hidden="false" customHeight="true" outlineLevel="0" collapsed="false">
      <c r="A1170" s="17" t="s">
        <v>9</v>
      </c>
      <c r="B1170" s="31" t="s">
        <v>164</v>
      </c>
      <c r="C1170" s="19" t="s">
        <v>60</v>
      </c>
      <c r="D1170" s="20" t="n">
        <v>3</v>
      </c>
      <c r="E1170" s="20" t="n">
        <v>0</v>
      </c>
      <c r="F1170" s="21" t="n">
        <f aca="false">'📋 Matches'!E18</f>
        <v>0</v>
      </c>
      <c r="G1170" s="21" t="n">
        <f aca="false">'📋 Matches'!F18</f>
        <v>0</v>
      </c>
      <c r="H1170" s="22" t="str">
        <f aca="false">IF(AND(ISNUMBER(F1170),ISNUMBER(G1170)),IF(SIGN(D1170-E1170)=SIGN(F1170-G1170),48,0),"")</f>
        <v/>
      </c>
      <c r="I1170" s="22" t="str">
        <f aca="false">IF(AND(ISNUMBER(F1170),ISNUMBER(G1170)),IF(D1170=F1170,15,0),"")</f>
        <v/>
      </c>
      <c r="J1170" s="22" t="str">
        <f aca="false">IF(AND(ISNUMBER(F1170),ISNUMBER(G1170)),IF(E1170=G1170,15,0),"")</f>
        <v/>
      </c>
      <c r="K1170" s="22" t="str">
        <f aca="false">IF(AND(ISNUMBER(F1170),ISNUMBER(G1170)),IF(ABS(D1170-E1170)=ABS(F1170-G1170),12,0),"")</f>
        <v/>
      </c>
      <c r="L1170" s="23" t="str">
        <f aca="false">IF(ISNUMBER(H1170),H1170+I1170+J1170+K1170,"")</f>
        <v/>
      </c>
    </row>
    <row r="1171" customFormat="false" ht="18" hidden="false" customHeight="true" outlineLevel="0" collapsed="false">
      <c r="A1171" s="17" t="s">
        <v>9</v>
      </c>
      <c r="B1171" s="31" t="s">
        <v>164</v>
      </c>
      <c r="C1171" s="19" t="s">
        <v>63</v>
      </c>
      <c r="D1171" s="20" t="n">
        <v>0</v>
      </c>
      <c r="E1171" s="20" t="n">
        <v>2</v>
      </c>
      <c r="F1171" s="21" t="n">
        <f aca="false">'📋 Matches'!E19</f>
        <v>0</v>
      </c>
      <c r="G1171" s="21" t="n">
        <f aca="false">'📋 Matches'!F19</f>
        <v>0</v>
      </c>
      <c r="H1171" s="22" t="str">
        <f aca="false">IF(AND(ISNUMBER(F1171),ISNUMBER(G1171)),IF(SIGN(D1171-E1171)=SIGN(F1171-G1171),48,0),"")</f>
        <v/>
      </c>
      <c r="I1171" s="22" t="str">
        <f aca="false">IF(AND(ISNUMBER(F1171),ISNUMBER(G1171)),IF(D1171=F1171,15,0),"")</f>
        <v/>
      </c>
      <c r="J1171" s="22" t="str">
        <f aca="false">IF(AND(ISNUMBER(F1171),ISNUMBER(G1171)),IF(E1171=G1171,15,0),"")</f>
        <v/>
      </c>
      <c r="K1171" s="22" t="str">
        <f aca="false">IF(AND(ISNUMBER(F1171),ISNUMBER(G1171)),IF(ABS(D1171-E1171)=ABS(F1171-G1171),12,0),"")</f>
        <v/>
      </c>
      <c r="L1171" s="23" t="str">
        <f aca="false">IF(ISNUMBER(H1171),H1171+I1171+J1171+K1171,"")</f>
        <v/>
      </c>
    </row>
    <row r="1172" customFormat="false" ht="18" hidden="false" customHeight="true" outlineLevel="0" collapsed="false">
      <c r="A1172" s="17" t="s">
        <v>9</v>
      </c>
      <c r="B1172" s="31" t="s">
        <v>164</v>
      </c>
      <c r="C1172" s="19" t="s">
        <v>66</v>
      </c>
      <c r="D1172" s="20" t="n">
        <v>4</v>
      </c>
      <c r="E1172" s="20" t="n">
        <v>1</v>
      </c>
      <c r="F1172" s="21" t="n">
        <f aca="false">'📋 Matches'!E20</f>
        <v>0</v>
      </c>
      <c r="G1172" s="21" t="n">
        <f aca="false">'📋 Matches'!F20</f>
        <v>0</v>
      </c>
      <c r="H1172" s="22" t="str">
        <f aca="false">IF(AND(ISNUMBER(F1172),ISNUMBER(G1172)),IF(SIGN(D1172-E1172)=SIGN(F1172-G1172),48,0),"")</f>
        <v/>
      </c>
      <c r="I1172" s="22" t="str">
        <f aca="false">IF(AND(ISNUMBER(F1172),ISNUMBER(G1172)),IF(D1172=F1172,15,0),"")</f>
        <v/>
      </c>
      <c r="J1172" s="22" t="str">
        <f aca="false">IF(AND(ISNUMBER(F1172),ISNUMBER(G1172)),IF(E1172=G1172,15,0),"")</f>
        <v/>
      </c>
      <c r="K1172" s="22" t="str">
        <f aca="false">IF(AND(ISNUMBER(F1172),ISNUMBER(G1172)),IF(ABS(D1172-E1172)=ABS(F1172-G1172),12,0),"")</f>
        <v/>
      </c>
      <c r="L1172" s="23" t="str">
        <f aca="false">IF(ISNUMBER(H1172),H1172+I1172+J1172+K1172,"")</f>
        <v/>
      </c>
    </row>
    <row r="1173" customFormat="false" ht="18" hidden="false" customHeight="true" outlineLevel="0" collapsed="false">
      <c r="A1173" s="17" t="s">
        <v>9</v>
      </c>
      <c r="B1173" s="31" t="s">
        <v>164</v>
      </c>
      <c r="C1173" s="19" t="s">
        <v>69</v>
      </c>
      <c r="D1173" s="20" t="n">
        <v>1</v>
      </c>
      <c r="E1173" s="20" t="n">
        <v>0</v>
      </c>
      <c r="F1173" s="21" t="n">
        <f aca="false">'📋 Matches'!E21</f>
        <v>0</v>
      </c>
      <c r="G1173" s="21" t="n">
        <f aca="false">'📋 Matches'!F21</f>
        <v>0</v>
      </c>
      <c r="H1173" s="22" t="str">
        <f aca="false">IF(AND(ISNUMBER(F1173),ISNUMBER(G1173)),IF(SIGN(D1173-E1173)=SIGN(F1173-G1173),48,0),"")</f>
        <v/>
      </c>
      <c r="I1173" s="22" t="str">
        <f aca="false">IF(AND(ISNUMBER(F1173),ISNUMBER(G1173)),IF(D1173=F1173,15,0),"")</f>
        <v/>
      </c>
      <c r="J1173" s="22" t="str">
        <f aca="false">IF(AND(ISNUMBER(F1173),ISNUMBER(G1173)),IF(E1173=G1173,15,0),"")</f>
        <v/>
      </c>
      <c r="K1173" s="22" t="str">
        <f aca="false">IF(AND(ISNUMBER(F1173),ISNUMBER(G1173)),IF(ABS(D1173-E1173)=ABS(F1173-G1173),12,0),"")</f>
        <v/>
      </c>
      <c r="L1173" s="23" t="str">
        <f aca="false">IF(ISNUMBER(H1173),H1173+I1173+J1173+K1173,"")</f>
        <v/>
      </c>
    </row>
    <row r="1174" customFormat="false" ht="18" hidden="false" customHeight="true" outlineLevel="0" collapsed="false">
      <c r="A1174" s="17" t="s">
        <v>9</v>
      </c>
      <c r="B1174" s="31" t="s">
        <v>164</v>
      </c>
      <c r="C1174" s="19" t="s">
        <v>72</v>
      </c>
      <c r="D1174" s="20" t="n">
        <v>3</v>
      </c>
      <c r="E1174" s="20" t="n">
        <v>0</v>
      </c>
      <c r="F1174" s="21" t="n">
        <f aca="false">'📋 Matches'!E22</f>
        <v>0</v>
      </c>
      <c r="G1174" s="21" t="n">
        <f aca="false">'📋 Matches'!F22</f>
        <v>0</v>
      </c>
      <c r="H1174" s="22" t="str">
        <f aca="false">IF(AND(ISNUMBER(F1174),ISNUMBER(G1174)),IF(SIGN(D1174-E1174)=SIGN(F1174-G1174),48,0),"")</f>
        <v/>
      </c>
      <c r="I1174" s="22" t="str">
        <f aca="false">IF(AND(ISNUMBER(F1174),ISNUMBER(G1174)),IF(D1174=F1174,15,0),"")</f>
        <v/>
      </c>
      <c r="J1174" s="22" t="str">
        <f aca="false">IF(AND(ISNUMBER(F1174),ISNUMBER(G1174)),IF(E1174=G1174,15,0),"")</f>
        <v/>
      </c>
      <c r="K1174" s="22" t="str">
        <f aca="false">IF(AND(ISNUMBER(F1174),ISNUMBER(G1174)),IF(ABS(D1174-E1174)=ABS(F1174-G1174),12,0),"")</f>
        <v/>
      </c>
      <c r="L1174" s="23" t="str">
        <f aca="false">IF(ISNUMBER(H1174),H1174+I1174+J1174+K1174,"")</f>
        <v/>
      </c>
    </row>
    <row r="1175" customFormat="false" ht="18" hidden="false" customHeight="true" outlineLevel="0" collapsed="false">
      <c r="A1175" s="17" t="s">
        <v>9</v>
      </c>
      <c r="B1175" s="31" t="s">
        <v>164</v>
      </c>
      <c r="C1175" s="19" t="s">
        <v>75</v>
      </c>
      <c r="D1175" s="20" t="n">
        <v>1</v>
      </c>
      <c r="E1175" s="20" t="n">
        <v>1</v>
      </c>
      <c r="F1175" s="21" t="n">
        <f aca="false">'📋 Matches'!E23</f>
        <v>0</v>
      </c>
      <c r="G1175" s="21" t="n">
        <f aca="false">'📋 Matches'!F23</f>
        <v>0</v>
      </c>
      <c r="H1175" s="22" t="str">
        <f aca="false">IF(AND(ISNUMBER(F1175),ISNUMBER(G1175)),IF(SIGN(D1175-E1175)=SIGN(F1175-G1175),48,0),"")</f>
        <v/>
      </c>
      <c r="I1175" s="22" t="str">
        <f aca="false">IF(AND(ISNUMBER(F1175),ISNUMBER(G1175)),IF(D1175=F1175,15,0),"")</f>
        <v/>
      </c>
      <c r="J1175" s="22" t="str">
        <f aca="false">IF(AND(ISNUMBER(F1175),ISNUMBER(G1175)),IF(E1175=G1175,15,0),"")</f>
        <v/>
      </c>
      <c r="K1175" s="22" t="str">
        <f aca="false">IF(AND(ISNUMBER(F1175),ISNUMBER(G1175)),IF(ABS(D1175-E1175)=ABS(F1175-G1175),12,0),"")</f>
        <v/>
      </c>
      <c r="L1175" s="23" t="str">
        <f aca="false">IF(ISNUMBER(H1175),H1175+I1175+J1175+K1175,"")</f>
        <v/>
      </c>
    </row>
    <row r="1176" customFormat="false" ht="18" hidden="false" customHeight="true" outlineLevel="0" collapsed="false">
      <c r="A1176" s="17" t="s">
        <v>9</v>
      </c>
      <c r="B1176" s="31" t="s">
        <v>164</v>
      </c>
      <c r="C1176" s="19" t="s">
        <v>78</v>
      </c>
      <c r="D1176" s="20" t="n">
        <v>1</v>
      </c>
      <c r="E1176" s="20" t="n">
        <v>1</v>
      </c>
      <c r="F1176" s="21" t="n">
        <f aca="false">'📋 Matches'!E24</f>
        <v>0</v>
      </c>
      <c r="G1176" s="21" t="n">
        <f aca="false">'📋 Matches'!F24</f>
        <v>0</v>
      </c>
      <c r="H1176" s="22" t="str">
        <f aca="false">IF(AND(ISNUMBER(F1176),ISNUMBER(G1176)),IF(SIGN(D1176-E1176)=SIGN(F1176-G1176),48,0),"")</f>
        <v/>
      </c>
      <c r="I1176" s="22" t="str">
        <f aca="false">IF(AND(ISNUMBER(F1176),ISNUMBER(G1176)),IF(D1176=F1176,15,0),"")</f>
        <v/>
      </c>
      <c r="J1176" s="22" t="str">
        <f aca="false">IF(AND(ISNUMBER(F1176),ISNUMBER(G1176)),IF(E1176=G1176,15,0),"")</f>
        <v/>
      </c>
      <c r="K1176" s="22" t="str">
        <f aca="false">IF(AND(ISNUMBER(F1176),ISNUMBER(G1176)),IF(ABS(D1176-E1176)=ABS(F1176-G1176),12,0),"")</f>
        <v/>
      </c>
      <c r="L1176" s="23" t="str">
        <f aca="false">IF(ISNUMBER(H1176),H1176+I1176+J1176+K1176,"")</f>
        <v/>
      </c>
    </row>
    <row r="1177" customFormat="false" ht="18" hidden="false" customHeight="true" outlineLevel="0" collapsed="false">
      <c r="A1177" s="17" t="s">
        <v>9</v>
      </c>
      <c r="B1177" s="31" t="s">
        <v>164</v>
      </c>
      <c r="C1177" s="19" t="s">
        <v>81</v>
      </c>
      <c r="D1177" s="20" t="n">
        <v>1</v>
      </c>
      <c r="E1177" s="20" t="n">
        <v>2</v>
      </c>
      <c r="F1177" s="21" t="n">
        <f aca="false">'📋 Matches'!E25</f>
        <v>0</v>
      </c>
      <c r="G1177" s="21" t="n">
        <f aca="false">'📋 Matches'!F25</f>
        <v>0</v>
      </c>
      <c r="H1177" s="22" t="str">
        <f aca="false">IF(AND(ISNUMBER(F1177),ISNUMBER(G1177)),IF(SIGN(D1177-E1177)=SIGN(F1177-G1177),48,0),"")</f>
        <v/>
      </c>
      <c r="I1177" s="22" t="str">
        <f aca="false">IF(AND(ISNUMBER(F1177),ISNUMBER(G1177)),IF(D1177=F1177,15,0),"")</f>
        <v/>
      </c>
      <c r="J1177" s="22" t="str">
        <f aca="false">IF(AND(ISNUMBER(F1177),ISNUMBER(G1177)),IF(E1177=G1177,15,0),"")</f>
        <v/>
      </c>
      <c r="K1177" s="22" t="str">
        <f aca="false">IF(AND(ISNUMBER(F1177),ISNUMBER(G1177)),IF(ABS(D1177-E1177)=ABS(F1177-G1177),12,0),"")</f>
        <v/>
      </c>
      <c r="L1177" s="23" t="str">
        <f aca="false">IF(ISNUMBER(H1177),H1177+I1177+J1177+K1177,"")</f>
        <v/>
      </c>
    </row>
    <row r="1178" customFormat="false" ht="18" hidden="false" customHeight="true" outlineLevel="0" collapsed="false">
      <c r="A1178" s="17" t="s">
        <v>84</v>
      </c>
      <c r="B1178" s="31" t="s">
        <v>164</v>
      </c>
      <c r="C1178" s="19" t="s">
        <v>85</v>
      </c>
      <c r="D1178" s="20"/>
      <c r="E1178" s="20"/>
      <c r="F1178" s="21" t="n">
        <f aca="false">'📋 Matches'!E26</f>
        <v>0</v>
      </c>
      <c r="G1178" s="21" t="n">
        <f aca="false">'📋 Matches'!F26</f>
        <v>0</v>
      </c>
      <c r="H1178" s="24" t="s">
        <v>148</v>
      </c>
      <c r="I1178" s="24" t="s">
        <v>148</v>
      </c>
      <c r="J1178" s="24" t="s">
        <v>148</v>
      </c>
      <c r="K1178" s="24" t="s">
        <v>148</v>
      </c>
      <c r="L1178" s="24" t="s">
        <v>148</v>
      </c>
    </row>
    <row r="1179" customFormat="false" ht="18" hidden="false" customHeight="true" outlineLevel="0" collapsed="false">
      <c r="A1179" s="17" t="s">
        <v>84</v>
      </c>
      <c r="B1179" s="31" t="s">
        <v>164</v>
      </c>
      <c r="C1179" s="19" t="s">
        <v>87</v>
      </c>
      <c r="D1179" s="20"/>
      <c r="E1179" s="20"/>
      <c r="F1179" s="21" t="n">
        <f aca="false">'📋 Matches'!E27</f>
        <v>0</v>
      </c>
      <c r="G1179" s="21" t="n">
        <f aca="false">'📋 Matches'!F27</f>
        <v>0</v>
      </c>
      <c r="H1179" s="24" t="s">
        <v>148</v>
      </c>
      <c r="I1179" s="24" t="s">
        <v>148</v>
      </c>
      <c r="J1179" s="24" t="s">
        <v>148</v>
      </c>
      <c r="K1179" s="24" t="s">
        <v>148</v>
      </c>
      <c r="L1179" s="24" t="s">
        <v>148</v>
      </c>
    </row>
    <row r="1180" customFormat="false" ht="18" hidden="false" customHeight="true" outlineLevel="0" collapsed="false">
      <c r="A1180" s="17" t="s">
        <v>84</v>
      </c>
      <c r="B1180" s="31" t="s">
        <v>164</v>
      </c>
      <c r="C1180" s="19" t="s">
        <v>89</v>
      </c>
      <c r="D1180" s="20"/>
      <c r="E1180" s="20"/>
      <c r="F1180" s="21" t="n">
        <f aca="false">'📋 Matches'!E28</f>
        <v>0</v>
      </c>
      <c r="G1180" s="21" t="n">
        <f aca="false">'📋 Matches'!F28</f>
        <v>0</v>
      </c>
      <c r="H1180" s="24" t="s">
        <v>148</v>
      </c>
      <c r="I1180" s="24" t="s">
        <v>148</v>
      </c>
      <c r="J1180" s="24" t="s">
        <v>148</v>
      </c>
      <c r="K1180" s="24" t="s">
        <v>148</v>
      </c>
      <c r="L1180" s="24" t="s">
        <v>148</v>
      </c>
    </row>
    <row r="1181" customFormat="false" ht="18" hidden="false" customHeight="true" outlineLevel="0" collapsed="false">
      <c r="A1181" s="17" t="s">
        <v>84</v>
      </c>
      <c r="B1181" s="31" t="s">
        <v>164</v>
      </c>
      <c r="C1181" s="19" t="s">
        <v>90</v>
      </c>
      <c r="D1181" s="20"/>
      <c r="E1181" s="20"/>
      <c r="F1181" s="21" t="n">
        <f aca="false">'📋 Matches'!E29</f>
        <v>0</v>
      </c>
      <c r="G1181" s="21" t="n">
        <f aca="false">'📋 Matches'!F29</f>
        <v>0</v>
      </c>
      <c r="H1181" s="24" t="s">
        <v>148</v>
      </c>
      <c r="I1181" s="24" t="s">
        <v>148</v>
      </c>
      <c r="J1181" s="24" t="s">
        <v>148</v>
      </c>
      <c r="K1181" s="24" t="s">
        <v>148</v>
      </c>
      <c r="L1181" s="24" t="s">
        <v>148</v>
      </c>
    </row>
    <row r="1182" customFormat="false" ht="18" hidden="false" customHeight="true" outlineLevel="0" collapsed="false">
      <c r="A1182" s="17" t="s">
        <v>84</v>
      </c>
      <c r="B1182" s="31" t="s">
        <v>164</v>
      </c>
      <c r="C1182" s="19" t="s">
        <v>91</v>
      </c>
      <c r="D1182" s="20"/>
      <c r="E1182" s="20"/>
      <c r="F1182" s="21" t="n">
        <f aca="false">'📋 Matches'!E30</f>
        <v>0</v>
      </c>
      <c r="G1182" s="21" t="n">
        <f aca="false">'📋 Matches'!F30</f>
        <v>0</v>
      </c>
      <c r="H1182" s="24" t="s">
        <v>148</v>
      </c>
      <c r="I1182" s="24" t="s">
        <v>148</v>
      </c>
      <c r="J1182" s="24" t="s">
        <v>148</v>
      </c>
      <c r="K1182" s="24" t="s">
        <v>148</v>
      </c>
      <c r="L1182" s="24" t="s">
        <v>148</v>
      </c>
    </row>
    <row r="1183" customFormat="false" ht="18" hidden="false" customHeight="true" outlineLevel="0" collapsed="false">
      <c r="A1183" s="17" t="s">
        <v>84</v>
      </c>
      <c r="B1183" s="31" t="s">
        <v>164</v>
      </c>
      <c r="C1183" s="19" t="s">
        <v>92</v>
      </c>
      <c r="D1183" s="20"/>
      <c r="E1183" s="20"/>
      <c r="F1183" s="21" t="n">
        <f aca="false">'📋 Matches'!E31</f>
        <v>0</v>
      </c>
      <c r="G1183" s="21" t="n">
        <f aca="false">'📋 Matches'!F31</f>
        <v>0</v>
      </c>
      <c r="H1183" s="24" t="s">
        <v>148</v>
      </c>
      <c r="I1183" s="24" t="s">
        <v>148</v>
      </c>
      <c r="J1183" s="24" t="s">
        <v>148</v>
      </c>
      <c r="K1183" s="24" t="s">
        <v>148</v>
      </c>
      <c r="L1183" s="24" t="s">
        <v>148</v>
      </c>
    </row>
    <row r="1184" customFormat="false" ht="18" hidden="false" customHeight="true" outlineLevel="0" collapsed="false">
      <c r="A1184" s="17" t="s">
        <v>84</v>
      </c>
      <c r="B1184" s="31" t="s">
        <v>164</v>
      </c>
      <c r="C1184" s="19" t="s">
        <v>93</v>
      </c>
      <c r="D1184" s="20"/>
      <c r="E1184" s="20"/>
      <c r="F1184" s="21" t="n">
        <f aca="false">'📋 Matches'!E32</f>
        <v>0</v>
      </c>
      <c r="G1184" s="21" t="n">
        <f aca="false">'📋 Matches'!F32</f>
        <v>0</v>
      </c>
      <c r="H1184" s="24" t="s">
        <v>148</v>
      </c>
      <c r="I1184" s="24" t="s">
        <v>148</v>
      </c>
      <c r="J1184" s="24" t="s">
        <v>148</v>
      </c>
      <c r="K1184" s="24" t="s">
        <v>148</v>
      </c>
      <c r="L1184" s="24" t="s">
        <v>148</v>
      </c>
    </row>
    <row r="1185" customFormat="false" ht="18" hidden="false" customHeight="true" outlineLevel="0" collapsed="false">
      <c r="A1185" s="17" t="s">
        <v>84</v>
      </c>
      <c r="B1185" s="31" t="s">
        <v>164</v>
      </c>
      <c r="C1185" s="19" t="s">
        <v>94</v>
      </c>
      <c r="D1185" s="20"/>
      <c r="E1185" s="20"/>
      <c r="F1185" s="21" t="n">
        <f aca="false">'📋 Matches'!E33</f>
        <v>0</v>
      </c>
      <c r="G1185" s="21" t="n">
        <f aca="false">'📋 Matches'!F33</f>
        <v>0</v>
      </c>
      <c r="H1185" s="24" t="s">
        <v>148</v>
      </c>
      <c r="I1185" s="24" t="s">
        <v>148</v>
      </c>
      <c r="J1185" s="24" t="s">
        <v>148</v>
      </c>
      <c r="K1185" s="24" t="s">
        <v>148</v>
      </c>
      <c r="L1185" s="24" t="s">
        <v>148</v>
      </c>
    </row>
    <row r="1186" customFormat="false" ht="18" hidden="false" customHeight="true" outlineLevel="0" collapsed="false">
      <c r="A1186" s="17" t="s">
        <v>84</v>
      </c>
      <c r="B1186" s="31" t="s">
        <v>164</v>
      </c>
      <c r="C1186" s="19" t="s">
        <v>96</v>
      </c>
      <c r="D1186" s="20"/>
      <c r="E1186" s="20"/>
      <c r="F1186" s="21" t="n">
        <f aca="false">'📋 Matches'!E34</f>
        <v>0</v>
      </c>
      <c r="G1186" s="21" t="n">
        <f aca="false">'📋 Matches'!F34</f>
        <v>0</v>
      </c>
      <c r="H1186" s="24" t="s">
        <v>148</v>
      </c>
      <c r="I1186" s="24" t="s">
        <v>148</v>
      </c>
      <c r="J1186" s="24" t="s">
        <v>148</v>
      </c>
      <c r="K1186" s="24" t="s">
        <v>148</v>
      </c>
      <c r="L1186" s="24" t="s">
        <v>148</v>
      </c>
    </row>
    <row r="1187" customFormat="false" ht="18" hidden="false" customHeight="true" outlineLevel="0" collapsed="false">
      <c r="A1187" s="17" t="s">
        <v>84</v>
      </c>
      <c r="B1187" s="31" t="s">
        <v>164</v>
      </c>
      <c r="C1187" s="19" t="s">
        <v>97</v>
      </c>
      <c r="D1187" s="20"/>
      <c r="E1187" s="20"/>
      <c r="F1187" s="21" t="n">
        <f aca="false">'📋 Matches'!E35</f>
        <v>0</v>
      </c>
      <c r="G1187" s="21" t="n">
        <f aca="false">'📋 Matches'!F35</f>
        <v>0</v>
      </c>
      <c r="H1187" s="24" t="s">
        <v>148</v>
      </c>
      <c r="I1187" s="24" t="s">
        <v>148</v>
      </c>
      <c r="J1187" s="24" t="s">
        <v>148</v>
      </c>
      <c r="K1187" s="24" t="s">
        <v>148</v>
      </c>
      <c r="L1187" s="24" t="s">
        <v>148</v>
      </c>
    </row>
    <row r="1188" customFormat="false" ht="18" hidden="false" customHeight="true" outlineLevel="0" collapsed="false">
      <c r="A1188" s="17" t="s">
        <v>84</v>
      </c>
      <c r="B1188" s="31" t="s">
        <v>164</v>
      </c>
      <c r="C1188" s="19" t="s">
        <v>98</v>
      </c>
      <c r="D1188" s="20"/>
      <c r="E1188" s="20"/>
      <c r="F1188" s="21" t="n">
        <f aca="false">'📋 Matches'!E36</f>
        <v>0</v>
      </c>
      <c r="G1188" s="21" t="n">
        <f aca="false">'📋 Matches'!F36</f>
        <v>0</v>
      </c>
      <c r="H1188" s="24" t="s">
        <v>148</v>
      </c>
      <c r="I1188" s="24" t="s">
        <v>148</v>
      </c>
      <c r="J1188" s="24" t="s">
        <v>148</v>
      </c>
      <c r="K1188" s="24" t="s">
        <v>148</v>
      </c>
      <c r="L1188" s="24" t="s">
        <v>148</v>
      </c>
    </row>
    <row r="1189" customFormat="false" ht="18" hidden="false" customHeight="true" outlineLevel="0" collapsed="false">
      <c r="A1189" s="17" t="s">
        <v>84</v>
      </c>
      <c r="B1189" s="31" t="s">
        <v>164</v>
      </c>
      <c r="C1189" s="19" t="s">
        <v>100</v>
      </c>
      <c r="D1189" s="20"/>
      <c r="E1189" s="20"/>
      <c r="F1189" s="21" t="n">
        <f aca="false">'📋 Matches'!E37</f>
        <v>0</v>
      </c>
      <c r="G1189" s="21" t="n">
        <f aca="false">'📋 Matches'!F37</f>
        <v>0</v>
      </c>
      <c r="H1189" s="24" t="s">
        <v>148</v>
      </c>
      <c r="I1189" s="24" t="s">
        <v>148</v>
      </c>
      <c r="J1189" s="24" t="s">
        <v>148</v>
      </c>
      <c r="K1189" s="24" t="s">
        <v>148</v>
      </c>
      <c r="L1189" s="24" t="s">
        <v>148</v>
      </c>
    </row>
    <row r="1190" customFormat="false" ht="18" hidden="false" customHeight="true" outlineLevel="0" collapsed="false">
      <c r="A1190" s="17" t="s">
        <v>84</v>
      </c>
      <c r="B1190" s="31" t="s">
        <v>164</v>
      </c>
      <c r="C1190" s="19" t="s">
        <v>101</v>
      </c>
      <c r="D1190" s="20"/>
      <c r="E1190" s="20"/>
      <c r="F1190" s="21" t="n">
        <f aca="false">'📋 Matches'!E38</f>
        <v>0</v>
      </c>
      <c r="G1190" s="21" t="n">
        <f aca="false">'📋 Matches'!F38</f>
        <v>0</v>
      </c>
      <c r="H1190" s="24" t="s">
        <v>148</v>
      </c>
      <c r="I1190" s="24" t="s">
        <v>148</v>
      </c>
      <c r="J1190" s="24" t="s">
        <v>148</v>
      </c>
      <c r="K1190" s="24" t="s">
        <v>148</v>
      </c>
      <c r="L1190" s="24" t="s">
        <v>148</v>
      </c>
    </row>
    <row r="1191" customFormat="false" ht="18" hidden="false" customHeight="true" outlineLevel="0" collapsed="false">
      <c r="A1191" s="17" t="s">
        <v>84</v>
      </c>
      <c r="B1191" s="31" t="s">
        <v>164</v>
      </c>
      <c r="C1191" s="19" t="s">
        <v>102</v>
      </c>
      <c r="D1191" s="20"/>
      <c r="E1191" s="20"/>
      <c r="F1191" s="21" t="n">
        <f aca="false">'📋 Matches'!E39</f>
        <v>0</v>
      </c>
      <c r="G1191" s="21" t="n">
        <f aca="false">'📋 Matches'!F39</f>
        <v>0</v>
      </c>
      <c r="H1191" s="24" t="s">
        <v>148</v>
      </c>
      <c r="I1191" s="24" t="s">
        <v>148</v>
      </c>
      <c r="J1191" s="24" t="s">
        <v>148</v>
      </c>
      <c r="K1191" s="24" t="s">
        <v>148</v>
      </c>
      <c r="L1191" s="24" t="s">
        <v>148</v>
      </c>
    </row>
    <row r="1192" customFormat="false" ht="18" hidden="false" customHeight="true" outlineLevel="0" collapsed="false">
      <c r="A1192" s="17" t="s">
        <v>84</v>
      </c>
      <c r="B1192" s="31" t="s">
        <v>164</v>
      </c>
      <c r="C1192" s="19" t="s">
        <v>103</v>
      </c>
      <c r="D1192" s="20"/>
      <c r="E1192" s="20"/>
      <c r="F1192" s="21" t="n">
        <f aca="false">'📋 Matches'!E40</f>
        <v>0</v>
      </c>
      <c r="G1192" s="21" t="n">
        <f aca="false">'📋 Matches'!F40</f>
        <v>0</v>
      </c>
      <c r="H1192" s="24" t="s">
        <v>148</v>
      </c>
      <c r="I1192" s="24" t="s">
        <v>148</v>
      </c>
      <c r="J1192" s="24" t="s">
        <v>148</v>
      </c>
      <c r="K1192" s="24" t="s">
        <v>148</v>
      </c>
      <c r="L1192" s="24" t="s">
        <v>148</v>
      </c>
    </row>
    <row r="1193" customFormat="false" ht="18" hidden="false" customHeight="true" outlineLevel="0" collapsed="false">
      <c r="A1193" s="17" t="s">
        <v>84</v>
      </c>
      <c r="B1193" s="31" t="s">
        <v>164</v>
      </c>
      <c r="C1193" s="19" t="s">
        <v>104</v>
      </c>
      <c r="D1193" s="20"/>
      <c r="E1193" s="20"/>
      <c r="F1193" s="21" t="n">
        <f aca="false">'📋 Matches'!E41</f>
        <v>0</v>
      </c>
      <c r="G1193" s="21" t="n">
        <f aca="false">'📋 Matches'!F41</f>
        <v>0</v>
      </c>
      <c r="H1193" s="24" t="s">
        <v>148</v>
      </c>
      <c r="I1193" s="24" t="s">
        <v>148</v>
      </c>
      <c r="J1193" s="24" t="s">
        <v>148</v>
      </c>
      <c r="K1193" s="24" t="s">
        <v>148</v>
      </c>
      <c r="L1193" s="24" t="s">
        <v>148</v>
      </c>
    </row>
    <row r="1194" customFormat="false" ht="18" hidden="false" customHeight="true" outlineLevel="0" collapsed="false">
      <c r="A1194" s="17" t="s">
        <v>84</v>
      </c>
      <c r="B1194" s="31" t="s">
        <v>164</v>
      </c>
      <c r="C1194" s="19" t="s">
        <v>105</v>
      </c>
      <c r="D1194" s="20"/>
      <c r="E1194" s="20"/>
      <c r="F1194" s="21" t="n">
        <f aca="false">'📋 Matches'!E42</f>
        <v>0</v>
      </c>
      <c r="G1194" s="21" t="n">
        <f aca="false">'📋 Matches'!F42</f>
        <v>0</v>
      </c>
      <c r="H1194" s="24" t="s">
        <v>148</v>
      </c>
      <c r="I1194" s="24" t="s">
        <v>148</v>
      </c>
      <c r="J1194" s="24" t="s">
        <v>148</v>
      </c>
      <c r="K1194" s="24" t="s">
        <v>148</v>
      </c>
      <c r="L1194" s="24" t="s">
        <v>148</v>
      </c>
    </row>
    <row r="1195" customFormat="false" ht="18" hidden="false" customHeight="true" outlineLevel="0" collapsed="false">
      <c r="A1195" s="17" t="s">
        <v>84</v>
      </c>
      <c r="B1195" s="31" t="s">
        <v>164</v>
      </c>
      <c r="C1195" s="19" t="s">
        <v>106</v>
      </c>
      <c r="D1195" s="20"/>
      <c r="E1195" s="20"/>
      <c r="F1195" s="21" t="n">
        <f aca="false">'📋 Matches'!E43</f>
        <v>0</v>
      </c>
      <c r="G1195" s="21" t="n">
        <f aca="false">'📋 Matches'!F43</f>
        <v>0</v>
      </c>
      <c r="H1195" s="24" t="s">
        <v>148</v>
      </c>
      <c r="I1195" s="24" t="s">
        <v>148</v>
      </c>
      <c r="J1195" s="24" t="s">
        <v>148</v>
      </c>
      <c r="K1195" s="24" t="s">
        <v>148</v>
      </c>
      <c r="L1195" s="24" t="s">
        <v>148</v>
      </c>
    </row>
    <row r="1196" customFormat="false" ht="18" hidden="false" customHeight="true" outlineLevel="0" collapsed="false">
      <c r="A1196" s="17" t="s">
        <v>84</v>
      </c>
      <c r="B1196" s="31" t="s">
        <v>164</v>
      </c>
      <c r="C1196" s="19" t="s">
        <v>107</v>
      </c>
      <c r="D1196" s="20"/>
      <c r="E1196" s="20"/>
      <c r="F1196" s="21" t="n">
        <f aca="false">'📋 Matches'!E44</f>
        <v>0</v>
      </c>
      <c r="G1196" s="21" t="n">
        <f aca="false">'📋 Matches'!F44</f>
        <v>0</v>
      </c>
      <c r="H1196" s="24" t="s">
        <v>148</v>
      </c>
      <c r="I1196" s="24" t="s">
        <v>148</v>
      </c>
      <c r="J1196" s="24" t="s">
        <v>148</v>
      </c>
      <c r="K1196" s="24" t="s">
        <v>148</v>
      </c>
      <c r="L1196" s="24" t="s">
        <v>148</v>
      </c>
    </row>
    <row r="1197" customFormat="false" ht="18" hidden="false" customHeight="true" outlineLevel="0" collapsed="false">
      <c r="A1197" s="17" t="s">
        <v>84</v>
      </c>
      <c r="B1197" s="31" t="s">
        <v>164</v>
      </c>
      <c r="C1197" s="19" t="s">
        <v>108</v>
      </c>
      <c r="D1197" s="20"/>
      <c r="E1197" s="20"/>
      <c r="F1197" s="21" t="n">
        <f aca="false">'📋 Matches'!E45</f>
        <v>0</v>
      </c>
      <c r="G1197" s="21" t="n">
        <f aca="false">'📋 Matches'!F45</f>
        <v>0</v>
      </c>
      <c r="H1197" s="24" t="s">
        <v>148</v>
      </c>
      <c r="I1197" s="24" t="s">
        <v>148</v>
      </c>
      <c r="J1197" s="24" t="s">
        <v>148</v>
      </c>
      <c r="K1197" s="24" t="s">
        <v>148</v>
      </c>
      <c r="L1197" s="24" t="s">
        <v>148</v>
      </c>
    </row>
    <row r="1198" customFormat="false" ht="18" hidden="false" customHeight="true" outlineLevel="0" collapsed="false">
      <c r="A1198" s="17" t="s">
        <v>84</v>
      </c>
      <c r="B1198" s="31" t="s">
        <v>164</v>
      </c>
      <c r="C1198" s="19" t="s">
        <v>109</v>
      </c>
      <c r="D1198" s="20"/>
      <c r="E1198" s="20"/>
      <c r="F1198" s="21" t="n">
        <f aca="false">'📋 Matches'!E46</f>
        <v>0</v>
      </c>
      <c r="G1198" s="21" t="n">
        <f aca="false">'📋 Matches'!F46</f>
        <v>0</v>
      </c>
      <c r="H1198" s="24" t="s">
        <v>148</v>
      </c>
      <c r="I1198" s="24" t="s">
        <v>148</v>
      </c>
      <c r="J1198" s="24" t="s">
        <v>148</v>
      </c>
      <c r="K1198" s="24" t="s">
        <v>148</v>
      </c>
      <c r="L1198" s="24" t="s">
        <v>148</v>
      </c>
    </row>
    <row r="1199" customFormat="false" ht="18" hidden="false" customHeight="true" outlineLevel="0" collapsed="false">
      <c r="A1199" s="17" t="s">
        <v>84</v>
      </c>
      <c r="B1199" s="31" t="s">
        <v>164</v>
      </c>
      <c r="C1199" s="19" t="s">
        <v>110</v>
      </c>
      <c r="D1199" s="20"/>
      <c r="E1199" s="20"/>
      <c r="F1199" s="21" t="n">
        <f aca="false">'📋 Matches'!E47</f>
        <v>0</v>
      </c>
      <c r="G1199" s="21" t="n">
        <f aca="false">'📋 Matches'!F47</f>
        <v>0</v>
      </c>
      <c r="H1199" s="24" t="s">
        <v>148</v>
      </c>
      <c r="I1199" s="24" t="s">
        <v>148</v>
      </c>
      <c r="J1199" s="24" t="s">
        <v>148</v>
      </c>
      <c r="K1199" s="24" t="s">
        <v>148</v>
      </c>
      <c r="L1199" s="24" t="s">
        <v>148</v>
      </c>
    </row>
    <row r="1200" customFormat="false" ht="18" hidden="false" customHeight="true" outlineLevel="0" collapsed="false">
      <c r="A1200" s="17" t="s">
        <v>84</v>
      </c>
      <c r="B1200" s="31" t="s">
        <v>164</v>
      </c>
      <c r="C1200" s="19" t="s">
        <v>111</v>
      </c>
      <c r="D1200" s="20"/>
      <c r="E1200" s="20"/>
      <c r="F1200" s="21" t="n">
        <f aca="false">'📋 Matches'!E48</f>
        <v>0</v>
      </c>
      <c r="G1200" s="21" t="n">
        <f aca="false">'📋 Matches'!F48</f>
        <v>0</v>
      </c>
      <c r="H1200" s="24" t="s">
        <v>148</v>
      </c>
      <c r="I1200" s="24" t="s">
        <v>148</v>
      </c>
      <c r="J1200" s="24" t="s">
        <v>148</v>
      </c>
      <c r="K1200" s="24" t="s">
        <v>148</v>
      </c>
      <c r="L1200" s="24" t="s">
        <v>148</v>
      </c>
    </row>
    <row r="1201" customFormat="false" ht="18" hidden="false" customHeight="true" outlineLevel="0" collapsed="false">
      <c r="A1201" s="17" t="s">
        <v>84</v>
      </c>
      <c r="B1201" s="31" t="s">
        <v>164</v>
      </c>
      <c r="C1201" s="19" t="s">
        <v>112</v>
      </c>
      <c r="D1201" s="20"/>
      <c r="E1201" s="20"/>
      <c r="F1201" s="21" t="n">
        <f aca="false">'📋 Matches'!E49</f>
        <v>0</v>
      </c>
      <c r="G1201" s="21" t="n">
        <f aca="false">'📋 Matches'!F49</f>
        <v>0</v>
      </c>
      <c r="H1201" s="24" t="s">
        <v>148</v>
      </c>
      <c r="I1201" s="24" t="s">
        <v>148</v>
      </c>
      <c r="J1201" s="24" t="s">
        <v>148</v>
      </c>
      <c r="K1201" s="24" t="s">
        <v>148</v>
      </c>
      <c r="L1201" s="24" t="s">
        <v>148</v>
      </c>
    </row>
    <row r="1202" customFormat="false" ht="18" hidden="false" customHeight="true" outlineLevel="0" collapsed="false">
      <c r="A1202" s="17" t="s">
        <v>114</v>
      </c>
      <c r="B1202" s="31" t="s">
        <v>164</v>
      </c>
      <c r="C1202" s="19" t="s">
        <v>115</v>
      </c>
      <c r="D1202" s="20"/>
      <c r="E1202" s="20"/>
      <c r="F1202" s="21" t="n">
        <f aca="false">'📋 Matches'!E50</f>
        <v>0</v>
      </c>
      <c r="G1202" s="21" t="n">
        <f aca="false">'📋 Matches'!F50</f>
        <v>0</v>
      </c>
      <c r="H1202" s="24" t="s">
        <v>148</v>
      </c>
      <c r="I1202" s="24" t="s">
        <v>148</v>
      </c>
      <c r="J1202" s="24" t="s">
        <v>148</v>
      </c>
      <c r="K1202" s="24" t="s">
        <v>148</v>
      </c>
      <c r="L1202" s="24" t="s">
        <v>148</v>
      </c>
    </row>
    <row r="1203" customFormat="false" ht="18" hidden="false" customHeight="true" outlineLevel="0" collapsed="false">
      <c r="A1203" s="17" t="s">
        <v>114</v>
      </c>
      <c r="B1203" s="31" t="s">
        <v>164</v>
      </c>
      <c r="C1203" s="19" t="s">
        <v>116</v>
      </c>
      <c r="D1203" s="20"/>
      <c r="E1203" s="20"/>
      <c r="F1203" s="21" t="n">
        <f aca="false">'📋 Matches'!E51</f>
        <v>0</v>
      </c>
      <c r="G1203" s="21" t="n">
        <f aca="false">'📋 Matches'!F51</f>
        <v>0</v>
      </c>
      <c r="H1203" s="24" t="s">
        <v>148</v>
      </c>
      <c r="I1203" s="24" t="s">
        <v>148</v>
      </c>
      <c r="J1203" s="24" t="s">
        <v>148</v>
      </c>
      <c r="K1203" s="24" t="s">
        <v>148</v>
      </c>
      <c r="L1203" s="24" t="s">
        <v>148</v>
      </c>
    </row>
    <row r="1204" customFormat="false" ht="18" hidden="false" customHeight="true" outlineLevel="0" collapsed="false">
      <c r="A1204" s="17" t="s">
        <v>114</v>
      </c>
      <c r="B1204" s="31" t="s">
        <v>164</v>
      </c>
      <c r="C1204" s="19" t="s">
        <v>117</v>
      </c>
      <c r="D1204" s="20"/>
      <c r="E1204" s="20"/>
      <c r="F1204" s="21" t="n">
        <f aca="false">'📋 Matches'!E52</f>
        <v>0</v>
      </c>
      <c r="G1204" s="21" t="n">
        <f aca="false">'📋 Matches'!F52</f>
        <v>0</v>
      </c>
      <c r="H1204" s="24" t="s">
        <v>148</v>
      </c>
      <c r="I1204" s="24" t="s">
        <v>148</v>
      </c>
      <c r="J1204" s="24" t="s">
        <v>148</v>
      </c>
      <c r="K1204" s="24" t="s">
        <v>148</v>
      </c>
      <c r="L1204" s="24" t="s">
        <v>148</v>
      </c>
    </row>
    <row r="1205" customFormat="false" ht="18" hidden="false" customHeight="true" outlineLevel="0" collapsed="false">
      <c r="A1205" s="17" t="s">
        <v>114</v>
      </c>
      <c r="B1205" s="31" t="s">
        <v>164</v>
      </c>
      <c r="C1205" s="19" t="s">
        <v>118</v>
      </c>
      <c r="D1205" s="20"/>
      <c r="E1205" s="20"/>
      <c r="F1205" s="21" t="n">
        <f aca="false">'📋 Matches'!E53</f>
        <v>0</v>
      </c>
      <c r="G1205" s="21" t="n">
        <f aca="false">'📋 Matches'!F53</f>
        <v>0</v>
      </c>
      <c r="H1205" s="24" t="s">
        <v>148</v>
      </c>
      <c r="I1205" s="24" t="s">
        <v>148</v>
      </c>
      <c r="J1205" s="24" t="s">
        <v>148</v>
      </c>
      <c r="K1205" s="24" t="s">
        <v>148</v>
      </c>
      <c r="L1205" s="24" t="s">
        <v>148</v>
      </c>
    </row>
    <row r="1206" customFormat="false" ht="18" hidden="false" customHeight="true" outlineLevel="0" collapsed="false">
      <c r="A1206" s="17" t="s">
        <v>114</v>
      </c>
      <c r="B1206" s="31" t="s">
        <v>164</v>
      </c>
      <c r="C1206" s="19" t="s">
        <v>119</v>
      </c>
      <c r="D1206" s="20"/>
      <c r="E1206" s="20"/>
      <c r="F1206" s="21" t="n">
        <f aca="false">'📋 Matches'!E54</f>
        <v>0</v>
      </c>
      <c r="G1206" s="21" t="n">
        <f aca="false">'📋 Matches'!F54</f>
        <v>0</v>
      </c>
      <c r="H1206" s="24" t="s">
        <v>148</v>
      </c>
      <c r="I1206" s="24" t="s">
        <v>148</v>
      </c>
      <c r="J1206" s="24" t="s">
        <v>148</v>
      </c>
      <c r="K1206" s="24" t="s">
        <v>148</v>
      </c>
      <c r="L1206" s="24" t="s">
        <v>148</v>
      </c>
    </row>
    <row r="1207" customFormat="false" ht="18" hidden="false" customHeight="true" outlineLevel="0" collapsed="false">
      <c r="A1207" s="17" t="s">
        <v>114</v>
      </c>
      <c r="B1207" s="31" t="s">
        <v>164</v>
      </c>
      <c r="C1207" s="19" t="s">
        <v>120</v>
      </c>
      <c r="D1207" s="20"/>
      <c r="E1207" s="20"/>
      <c r="F1207" s="21" t="n">
        <f aca="false">'📋 Matches'!E55</f>
        <v>0</v>
      </c>
      <c r="G1207" s="21" t="n">
        <f aca="false">'📋 Matches'!F55</f>
        <v>0</v>
      </c>
      <c r="H1207" s="24" t="s">
        <v>148</v>
      </c>
      <c r="I1207" s="24" t="s">
        <v>148</v>
      </c>
      <c r="J1207" s="24" t="s">
        <v>148</v>
      </c>
      <c r="K1207" s="24" t="s">
        <v>148</v>
      </c>
      <c r="L1207" s="24" t="s">
        <v>148</v>
      </c>
    </row>
    <row r="1208" customFormat="false" ht="18" hidden="false" customHeight="true" outlineLevel="0" collapsed="false">
      <c r="A1208" s="17" t="s">
        <v>114</v>
      </c>
      <c r="B1208" s="31" t="s">
        <v>164</v>
      </c>
      <c r="C1208" s="19" t="s">
        <v>121</v>
      </c>
      <c r="D1208" s="20"/>
      <c r="E1208" s="20"/>
      <c r="F1208" s="21" t="n">
        <f aca="false">'📋 Matches'!E56</f>
        <v>0</v>
      </c>
      <c r="G1208" s="21" t="n">
        <f aca="false">'📋 Matches'!F56</f>
        <v>0</v>
      </c>
      <c r="H1208" s="24" t="s">
        <v>148</v>
      </c>
      <c r="I1208" s="24" t="s">
        <v>148</v>
      </c>
      <c r="J1208" s="24" t="s">
        <v>148</v>
      </c>
      <c r="K1208" s="24" t="s">
        <v>148</v>
      </c>
      <c r="L1208" s="24" t="s">
        <v>148</v>
      </c>
    </row>
    <row r="1209" customFormat="false" ht="18" hidden="false" customHeight="true" outlineLevel="0" collapsed="false">
      <c r="A1209" s="17" t="s">
        <v>114</v>
      </c>
      <c r="B1209" s="31" t="s">
        <v>164</v>
      </c>
      <c r="C1209" s="19" t="s">
        <v>122</v>
      </c>
      <c r="D1209" s="20"/>
      <c r="E1209" s="20"/>
      <c r="F1209" s="21" t="n">
        <f aca="false">'📋 Matches'!E57</f>
        <v>0</v>
      </c>
      <c r="G1209" s="21" t="n">
        <f aca="false">'📋 Matches'!F57</f>
        <v>0</v>
      </c>
      <c r="H1209" s="24" t="s">
        <v>148</v>
      </c>
      <c r="I1209" s="24" t="s">
        <v>148</v>
      </c>
      <c r="J1209" s="24" t="s">
        <v>148</v>
      </c>
      <c r="K1209" s="24" t="s">
        <v>148</v>
      </c>
      <c r="L1209" s="24" t="s">
        <v>148</v>
      </c>
    </row>
    <row r="1210" customFormat="false" ht="18" hidden="false" customHeight="true" outlineLevel="0" collapsed="false">
      <c r="A1210" s="17" t="s">
        <v>114</v>
      </c>
      <c r="B1210" s="31" t="s">
        <v>164</v>
      </c>
      <c r="C1210" s="19" t="s">
        <v>123</v>
      </c>
      <c r="D1210" s="20"/>
      <c r="E1210" s="20"/>
      <c r="F1210" s="21" t="n">
        <f aca="false">'📋 Matches'!E58</f>
        <v>0</v>
      </c>
      <c r="G1210" s="21" t="n">
        <f aca="false">'📋 Matches'!F58</f>
        <v>0</v>
      </c>
      <c r="H1210" s="24" t="s">
        <v>148</v>
      </c>
      <c r="I1210" s="24" t="s">
        <v>148</v>
      </c>
      <c r="J1210" s="24" t="s">
        <v>148</v>
      </c>
      <c r="K1210" s="24" t="s">
        <v>148</v>
      </c>
      <c r="L1210" s="24" t="s">
        <v>148</v>
      </c>
    </row>
    <row r="1211" customFormat="false" ht="18" hidden="false" customHeight="true" outlineLevel="0" collapsed="false">
      <c r="A1211" s="17" t="s">
        <v>114</v>
      </c>
      <c r="B1211" s="31" t="s">
        <v>164</v>
      </c>
      <c r="C1211" s="19" t="s">
        <v>124</v>
      </c>
      <c r="D1211" s="20"/>
      <c r="E1211" s="20"/>
      <c r="F1211" s="21" t="n">
        <f aca="false">'📋 Matches'!E59</f>
        <v>0</v>
      </c>
      <c r="G1211" s="21" t="n">
        <f aca="false">'📋 Matches'!F59</f>
        <v>0</v>
      </c>
      <c r="H1211" s="24" t="s">
        <v>148</v>
      </c>
      <c r="I1211" s="24" t="s">
        <v>148</v>
      </c>
      <c r="J1211" s="24" t="s">
        <v>148</v>
      </c>
      <c r="K1211" s="24" t="s">
        <v>148</v>
      </c>
      <c r="L1211" s="24" t="s">
        <v>148</v>
      </c>
    </row>
    <row r="1212" customFormat="false" ht="18" hidden="false" customHeight="true" outlineLevel="0" collapsed="false">
      <c r="A1212" s="17" t="s">
        <v>114</v>
      </c>
      <c r="B1212" s="31" t="s">
        <v>164</v>
      </c>
      <c r="C1212" s="19" t="s">
        <v>125</v>
      </c>
      <c r="D1212" s="20"/>
      <c r="E1212" s="20"/>
      <c r="F1212" s="21" t="n">
        <f aca="false">'📋 Matches'!E60</f>
        <v>0</v>
      </c>
      <c r="G1212" s="21" t="n">
        <f aca="false">'📋 Matches'!F60</f>
        <v>0</v>
      </c>
      <c r="H1212" s="24" t="s">
        <v>148</v>
      </c>
      <c r="I1212" s="24" t="s">
        <v>148</v>
      </c>
      <c r="J1212" s="24" t="s">
        <v>148</v>
      </c>
      <c r="K1212" s="24" t="s">
        <v>148</v>
      </c>
      <c r="L1212" s="24" t="s">
        <v>148</v>
      </c>
    </row>
    <row r="1213" customFormat="false" ht="18" hidden="false" customHeight="true" outlineLevel="0" collapsed="false">
      <c r="A1213" s="17" t="s">
        <v>114</v>
      </c>
      <c r="B1213" s="31" t="s">
        <v>164</v>
      </c>
      <c r="C1213" s="19" t="s">
        <v>126</v>
      </c>
      <c r="D1213" s="20"/>
      <c r="E1213" s="20"/>
      <c r="F1213" s="21" t="n">
        <f aca="false">'📋 Matches'!E61</f>
        <v>0</v>
      </c>
      <c r="G1213" s="21" t="n">
        <f aca="false">'📋 Matches'!F61</f>
        <v>0</v>
      </c>
      <c r="H1213" s="24" t="s">
        <v>148</v>
      </c>
      <c r="I1213" s="24" t="s">
        <v>148</v>
      </c>
      <c r="J1213" s="24" t="s">
        <v>148</v>
      </c>
      <c r="K1213" s="24" t="s">
        <v>148</v>
      </c>
      <c r="L1213" s="24" t="s">
        <v>148</v>
      </c>
    </row>
    <row r="1214" customFormat="false" ht="18" hidden="false" customHeight="true" outlineLevel="0" collapsed="false">
      <c r="A1214" s="17" t="s">
        <v>114</v>
      </c>
      <c r="B1214" s="31" t="s">
        <v>164</v>
      </c>
      <c r="C1214" s="19" t="s">
        <v>127</v>
      </c>
      <c r="D1214" s="20"/>
      <c r="E1214" s="20"/>
      <c r="F1214" s="21" t="n">
        <f aca="false">'📋 Matches'!E62</f>
        <v>0</v>
      </c>
      <c r="G1214" s="21" t="n">
        <f aca="false">'📋 Matches'!F62</f>
        <v>0</v>
      </c>
      <c r="H1214" s="24" t="s">
        <v>148</v>
      </c>
      <c r="I1214" s="24" t="s">
        <v>148</v>
      </c>
      <c r="J1214" s="24" t="s">
        <v>148</v>
      </c>
      <c r="K1214" s="24" t="s">
        <v>148</v>
      </c>
      <c r="L1214" s="24" t="s">
        <v>148</v>
      </c>
    </row>
    <row r="1215" customFormat="false" ht="18" hidden="false" customHeight="true" outlineLevel="0" collapsed="false">
      <c r="A1215" s="17" t="s">
        <v>114</v>
      </c>
      <c r="B1215" s="31" t="s">
        <v>164</v>
      </c>
      <c r="C1215" s="19" t="s">
        <v>128</v>
      </c>
      <c r="D1215" s="20"/>
      <c r="E1215" s="20"/>
      <c r="F1215" s="21" t="n">
        <f aca="false">'📋 Matches'!E63</f>
        <v>0</v>
      </c>
      <c r="G1215" s="21" t="n">
        <f aca="false">'📋 Matches'!F63</f>
        <v>0</v>
      </c>
      <c r="H1215" s="24" t="s">
        <v>148</v>
      </c>
      <c r="I1215" s="24" t="s">
        <v>148</v>
      </c>
      <c r="J1215" s="24" t="s">
        <v>148</v>
      </c>
      <c r="K1215" s="24" t="s">
        <v>148</v>
      </c>
      <c r="L1215" s="24" t="s">
        <v>148</v>
      </c>
    </row>
    <row r="1216" customFormat="false" ht="18" hidden="false" customHeight="true" outlineLevel="0" collapsed="false">
      <c r="A1216" s="17" t="s">
        <v>114</v>
      </c>
      <c r="B1216" s="31" t="s">
        <v>164</v>
      </c>
      <c r="C1216" s="19" t="s">
        <v>129</v>
      </c>
      <c r="D1216" s="20"/>
      <c r="E1216" s="20"/>
      <c r="F1216" s="21" t="n">
        <f aca="false">'📋 Matches'!E64</f>
        <v>0</v>
      </c>
      <c r="G1216" s="21" t="n">
        <f aca="false">'📋 Matches'!F64</f>
        <v>0</v>
      </c>
      <c r="H1216" s="24" t="s">
        <v>148</v>
      </c>
      <c r="I1216" s="24" t="s">
        <v>148</v>
      </c>
      <c r="J1216" s="24" t="s">
        <v>148</v>
      </c>
      <c r="K1216" s="24" t="s">
        <v>148</v>
      </c>
      <c r="L1216" s="24" t="s">
        <v>148</v>
      </c>
    </row>
    <row r="1217" customFormat="false" ht="18" hidden="false" customHeight="true" outlineLevel="0" collapsed="false">
      <c r="A1217" s="17" t="s">
        <v>114</v>
      </c>
      <c r="B1217" s="31" t="s">
        <v>164</v>
      </c>
      <c r="C1217" s="19" t="s">
        <v>130</v>
      </c>
      <c r="D1217" s="20"/>
      <c r="E1217" s="20"/>
      <c r="F1217" s="21" t="n">
        <f aca="false">'📋 Matches'!E65</f>
        <v>0</v>
      </c>
      <c r="G1217" s="21" t="n">
        <f aca="false">'📋 Matches'!F65</f>
        <v>0</v>
      </c>
      <c r="H1217" s="24" t="s">
        <v>148</v>
      </c>
      <c r="I1217" s="24" t="s">
        <v>148</v>
      </c>
      <c r="J1217" s="24" t="s">
        <v>148</v>
      </c>
      <c r="K1217" s="24" t="s">
        <v>148</v>
      </c>
      <c r="L1217" s="24" t="s">
        <v>148</v>
      </c>
    </row>
    <row r="1218" customFormat="false" ht="18" hidden="false" customHeight="true" outlineLevel="0" collapsed="false">
      <c r="A1218" s="17" t="s">
        <v>114</v>
      </c>
      <c r="B1218" s="31" t="s">
        <v>164</v>
      </c>
      <c r="C1218" s="19" t="s">
        <v>131</v>
      </c>
      <c r="D1218" s="20"/>
      <c r="E1218" s="20"/>
      <c r="F1218" s="21" t="n">
        <f aca="false">'📋 Matches'!E66</f>
        <v>0</v>
      </c>
      <c r="G1218" s="21" t="n">
        <f aca="false">'📋 Matches'!F66</f>
        <v>0</v>
      </c>
      <c r="H1218" s="24" t="s">
        <v>148</v>
      </c>
      <c r="I1218" s="24" t="s">
        <v>148</v>
      </c>
      <c r="J1218" s="24" t="s">
        <v>148</v>
      </c>
      <c r="K1218" s="24" t="s">
        <v>148</v>
      </c>
      <c r="L1218" s="24" t="s">
        <v>148</v>
      </c>
    </row>
    <row r="1219" customFormat="false" ht="18" hidden="false" customHeight="true" outlineLevel="0" collapsed="false">
      <c r="A1219" s="17" t="s">
        <v>114</v>
      </c>
      <c r="B1219" s="31" t="s">
        <v>164</v>
      </c>
      <c r="C1219" s="19" t="s">
        <v>132</v>
      </c>
      <c r="D1219" s="20"/>
      <c r="E1219" s="20"/>
      <c r="F1219" s="21" t="n">
        <f aca="false">'📋 Matches'!E67</f>
        <v>0</v>
      </c>
      <c r="G1219" s="21" t="n">
        <f aca="false">'📋 Matches'!F67</f>
        <v>0</v>
      </c>
      <c r="H1219" s="24" t="s">
        <v>148</v>
      </c>
      <c r="I1219" s="24" t="s">
        <v>148</v>
      </c>
      <c r="J1219" s="24" t="s">
        <v>148</v>
      </c>
      <c r="K1219" s="24" t="s">
        <v>148</v>
      </c>
      <c r="L1219" s="24" t="s">
        <v>148</v>
      </c>
    </row>
    <row r="1220" customFormat="false" ht="18" hidden="false" customHeight="true" outlineLevel="0" collapsed="false">
      <c r="A1220" s="17" t="s">
        <v>114</v>
      </c>
      <c r="B1220" s="31" t="s">
        <v>164</v>
      </c>
      <c r="C1220" s="19" t="s">
        <v>133</v>
      </c>
      <c r="D1220" s="20"/>
      <c r="E1220" s="20"/>
      <c r="F1220" s="21" t="n">
        <f aca="false">'📋 Matches'!E68</f>
        <v>0</v>
      </c>
      <c r="G1220" s="21" t="n">
        <f aca="false">'📋 Matches'!F68</f>
        <v>0</v>
      </c>
      <c r="H1220" s="24" t="s">
        <v>148</v>
      </c>
      <c r="I1220" s="24" t="s">
        <v>148</v>
      </c>
      <c r="J1220" s="24" t="s">
        <v>148</v>
      </c>
      <c r="K1220" s="24" t="s">
        <v>148</v>
      </c>
      <c r="L1220" s="24" t="s">
        <v>148</v>
      </c>
    </row>
    <row r="1221" customFormat="false" ht="18" hidden="false" customHeight="true" outlineLevel="0" collapsed="false">
      <c r="A1221" s="17" t="s">
        <v>114</v>
      </c>
      <c r="B1221" s="31" t="s">
        <v>164</v>
      </c>
      <c r="C1221" s="19" t="s">
        <v>134</v>
      </c>
      <c r="D1221" s="20"/>
      <c r="E1221" s="20"/>
      <c r="F1221" s="21" t="n">
        <f aca="false">'📋 Matches'!E69</f>
        <v>0</v>
      </c>
      <c r="G1221" s="21" t="n">
        <f aca="false">'📋 Matches'!F69</f>
        <v>0</v>
      </c>
      <c r="H1221" s="24" t="s">
        <v>148</v>
      </c>
      <c r="I1221" s="24" t="s">
        <v>148</v>
      </c>
      <c r="J1221" s="24" t="s">
        <v>148</v>
      </c>
      <c r="K1221" s="24" t="s">
        <v>148</v>
      </c>
      <c r="L1221" s="24" t="s">
        <v>148</v>
      </c>
    </row>
    <row r="1222" customFormat="false" ht="18" hidden="false" customHeight="true" outlineLevel="0" collapsed="false">
      <c r="A1222" s="17" t="s">
        <v>114</v>
      </c>
      <c r="B1222" s="31" t="s">
        <v>164</v>
      </c>
      <c r="C1222" s="19" t="s">
        <v>135</v>
      </c>
      <c r="D1222" s="20"/>
      <c r="E1222" s="20"/>
      <c r="F1222" s="21" t="n">
        <f aca="false">'📋 Matches'!E70</f>
        <v>0</v>
      </c>
      <c r="G1222" s="21" t="n">
        <f aca="false">'📋 Matches'!F70</f>
        <v>0</v>
      </c>
      <c r="H1222" s="24" t="s">
        <v>148</v>
      </c>
      <c r="I1222" s="24" t="s">
        <v>148</v>
      </c>
      <c r="J1222" s="24" t="s">
        <v>148</v>
      </c>
      <c r="K1222" s="24" t="s">
        <v>148</v>
      </c>
      <c r="L1222" s="24" t="s">
        <v>148</v>
      </c>
    </row>
    <row r="1223" customFormat="false" ht="18" hidden="false" customHeight="true" outlineLevel="0" collapsed="false">
      <c r="A1223" s="17" t="s">
        <v>114</v>
      </c>
      <c r="B1223" s="31" t="s">
        <v>164</v>
      </c>
      <c r="C1223" s="19" t="s">
        <v>136</v>
      </c>
      <c r="D1223" s="20"/>
      <c r="E1223" s="20"/>
      <c r="F1223" s="21" t="n">
        <f aca="false">'📋 Matches'!E71</f>
        <v>0</v>
      </c>
      <c r="G1223" s="21" t="n">
        <f aca="false">'📋 Matches'!F71</f>
        <v>0</v>
      </c>
      <c r="H1223" s="24" t="s">
        <v>148</v>
      </c>
      <c r="I1223" s="24" t="s">
        <v>148</v>
      </c>
      <c r="J1223" s="24" t="s">
        <v>148</v>
      </c>
      <c r="K1223" s="24" t="s">
        <v>148</v>
      </c>
      <c r="L1223" s="24" t="s">
        <v>148</v>
      </c>
    </row>
    <row r="1224" customFormat="false" ht="18" hidden="false" customHeight="true" outlineLevel="0" collapsed="false">
      <c r="A1224" s="17" t="s">
        <v>114</v>
      </c>
      <c r="B1224" s="31" t="s">
        <v>164</v>
      </c>
      <c r="C1224" s="19" t="s">
        <v>137</v>
      </c>
      <c r="D1224" s="20"/>
      <c r="E1224" s="20"/>
      <c r="F1224" s="21" t="n">
        <f aca="false">'📋 Matches'!E72</f>
        <v>0</v>
      </c>
      <c r="G1224" s="21" t="n">
        <f aca="false">'📋 Matches'!F72</f>
        <v>0</v>
      </c>
      <c r="H1224" s="24" t="s">
        <v>148</v>
      </c>
      <c r="I1224" s="24" t="s">
        <v>148</v>
      </c>
      <c r="J1224" s="24" t="s">
        <v>148</v>
      </c>
      <c r="K1224" s="24" t="s">
        <v>148</v>
      </c>
      <c r="L1224" s="24" t="s">
        <v>148</v>
      </c>
    </row>
    <row r="1225" customFormat="false" ht="18" hidden="false" customHeight="true" outlineLevel="0" collapsed="false">
      <c r="A1225" s="17" t="s">
        <v>114</v>
      </c>
      <c r="B1225" s="31" t="s">
        <v>164</v>
      </c>
      <c r="C1225" s="19" t="s">
        <v>138</v>
      </c>
      <c r="D1225" s="20"/>
      <c r="E1225" s="20"/>
      <c r="F1225" s="21" t="n">
        <f aca="false">'📋 Matches'!E73</f>
        <v>0</v>
      </c>
      <c r="G1225" s="21" t="n">
        <f aca="false">'📋 Matches'!F73</f>
        <v>0</v>
      </c>
      <c r="H1225" s="24" t="s">
        <v>148</v>
      </c>
      <c r="I1225" s="24" t="s">
        <v>148</v>
      </c>
      <c r="J1225" s="24" t="s">
        <v>148</v>
      </c>
      <c r="K1225" s="24" t="s">
        <v>148</v>
      </c>
      <c r="L1225" s="24" t="s">
        <v>148</v>
      </c>
    </row>
    <row r="1226" customFormat="false" ht="18" hidden="false" customHeight="true" outlineLevel="0" collapsed="false">
      <c r="A1226" s="25" t="s">
        <v>9</v>
      </c>
      <c r="B1226" s="32" t="s">
        <v>165</v>
      </c>
      <c r="C1226" s="27" t="s">
        <v>10</v>
      </c>
      <c r="D1226" s="28" t="n">
        <v>2</v>
      </c>
      <c r="E1226" s="28" t="n">
        <v>0</v>
      </c>
      <c r="F1226" s="29" t="n">
        <f aca="false">'📋 Matches'!E2</f>
        <v>2</v>
      </c>
      <c r="G1226" s="29" t="n">
        <f aca="false">'📋 Matches'!F2</f>
        <v>0</v>
      </c>
      <c r="H1226" s="22" t="n">
        <f aca="false">IF(AND(ISNUMBER(F1226),ISNUMBER(G1226)),IF(SIGN(D1226-E1226)=SIGN(F1226-G1226),48,0),"")</f>
        <v>48</v>
      </c>
      <c r="I1226" s="22" t="n">
        <f aca="false">IF(AND(ISNUMBER(F1226),ISNUMBER(G1226)),IF(D1226=F1226,15,0),"")</f>
        <v>15</v>
      </c>
      <c r="J1226" s="22" t="n">
        <f aca="false">IF(AND(ISNUMBER(F1226),ISNUMBER(G1226)),IF(E1226=G1226,15,0),"")</f>
        <v>15</v>
      </c>
      <c r="K1226" s="22" t="n">
        <f aca="false">IF(AND(ISNUMBER(F1226),ISNUMBER(G1226)),IF(ABS(D1226-E1226)=ABS(F1226-G1226),12,0),"")</f>
        <v>12</v>
      </c>
      <c r="L1226" s="23" t="n">
        <f aca="false">IF(ISNUMBER(H1226),H1226+I1226+J1226+K1226,"")</f>
        <v>90</v>
      </c>
    </row>
    <row r="1227" customFormat="false" ht="18" hidden="false" customHeight="true" outlineLevel="0" collapsed="false">
      <c r="A1227" s="25" t="s">
        <v>9</v>
      </c>
      <c r="B1227" s="32" t="s">
        <v>165</v>
      </c>
      <c r="C1227" s="27" t="s">
        <v>14</v>
      </c>
      <c r="D1227" s="28" t="n">
        <v>1</v>
      </c>
      <c r="E1227" s="28" t="n">
        <v>1</v>
      </c>
      <c r="F1227" s="29" t="n">
        <f aca="false">'📋 Matches'!E3</f>
        <v>2</v>
      </c>
      <c r="G1227" s="29" t="n">
        <f aca="false">'📋 Matches'!F3</f>
        <v>1</v>
      </c>
      <c r="H1227" s="22" t="n">
        <f aca="false">IF(AND(ISNUMBER(F1227),ISNUMBER(G1227)),IF(SIGN(D1227-E1227)=SIGN(F1227-G1227),48,0),"")</f>
        <v>0</v>
      </c>
      <c r="I1227" s="22" t="n">
        <f aca="false">IF(AND(ISNUMBER(F1227),ISNUMBER(G1227)),IF(D1227=F1227,15,0),"")</f>
        <v>0</v>
      </c>
      <c r="J1227" s="22" t="n">
        <f aca="false">IF(AND(ISNUMBER(F1227),ISNUMBER(G1227)),IF(E1227=G1227,15,0),"")</f>
        <v>15</v>
      </c>
      <c r="K1227" s="22" t="n">
        <f aca="false">IF(AND(ISNUMBER(F1227),ISNUMBER(G1227)),IF(ABS(D1227-E1227)=ABS(F1227-G1227),12,0),"")</f>
        <v>0</v>
      </c>
      <c r="L1227" s="23" t="n">
        <f aca="false">IF(ISNUMBER(H1227),H1227+I1227+J1227+K1227,"")</f>
        <v>15</v>
      </c>
    </row>
    <row r="1228" customFormat="false" ht="18" hidden="false" customHeight="true" outlineLevel="0" collapsed="false">
      <c r="A1228" s="25" t="s">
        <v>9</v>
      </c>
      <c r="B1228" s="32" t="s">
        <v>165</v>
      </c>
      <c r="C1228" s="27" t="s">
        <v>17</v>
      </c>
      <c r="D1228" s="28" t="n">
        <v>1</v>
      </c>
      <c r="E1228" s="28" t="n">
        <v>1</v>
      </c>
      <c r="F1228" s="29" t="n">
        <f aca="false">'📋 Matches'!E4</f>
        <v>1</v>
      </c>
      <c r="G1228" s="29" t="n">
        <f aca="false">'📋 Matches'!F4</f>
        <v>1</v>
      </c>
      <c r="H1228" s="22" t="n">
        <f aca="false">IF(AND(ISNUMBER(F1228),ISNUMBER(G1228)),IF(SIGN(D1228-E1228)=SIGN(F1228-G1228),48,0),"")</f>
        <v>48</v>
      </c>
      <c r="I1228" s="22" t="n">
        <f aca="false">IF(AND(ISNUMBER(F1228),ISNUMBER(G1228)),IF(D1228=F1228,15,0),"")</f>
        <v>15</v>
      </c>
      <c r="J1228" s="22" t="n">
        <f aca="false">IF(AND(ISNUMBER(F1228),ISNUMBER(G1228)),IF(E1228=G1228,15,0),"")</f>
        <v>15</v>
      </c>
      <c r="K1228" s="22" t="n">
        <f aca="false">IF(AND(ISNUMBER(F1228),ISNUMBER(G1228)),IF(ABS(D1228-E1228)=ABS(F1228-G1228),12,0),"")</f>
        <v>12</v>
      </c>
      <c r="L1228" s="23" t="n">
        <f aca="false">IF(ISNUMBER(H1228),H1228+I1228+J1228+K1228,"")</f>
        <v>90</v>
      </c>
    </row>
    <row r="1229" customFormat="false" ht="18" hidden="false" customHeight="true" outlineLevel="0" collapsed="false">
      <c r="A1229" s="25" t="s">
        <v>9</v>
      </c>
      <c r="B1229" s="32" t="s">
        <v>165</v>
      </c>
      <c r="C1229" s="27" t="s">
        <v>20</v>
      </c>
      <c r="D1229" s="28" t="n">
        <v>2</v>
      </c>
      <c r="E1229" s="28" t="n">
        <v>1</v>
      </c>
      <c r="F1229" s="29" t="n">
        <f aca="false">'📋 Matches'!E5</f>
        <v>4</v>
      </c>
      <c r="G1229" s="29" t="n">
        <f aca="false">'📋 Matches'!F5</f>
        <v>1</v>
      </c>
      <c r="H1229" s="22" t="n">
        <f aca="false">IF(AND(ISNUMBER(F1229),ISNUMBER(G1229)),IF(SIGN(D1229-E1229)=SIGN(F1229-G1229),48,0),"")</f>
        <v>48</v>
      </c>
      <c r="I1229" s="22" t="n">
        <f aca="false">IF(AND(ISNUMBER(F1229),ISNUMBER(G1229)),IF(D1229=F1229,15,0),"")</f>
        <v>0</v>
      </c>
      <c r="J1229" s="22" t="n">
        <f aca="false">IF(AND(ISNUMBER(F1229),ISNUMBER(G1229)),IF(E1229=G1229,15,0),"")</f>
        <v>15</v>
      </c>
      <c r="K1229" s="22" t="n">
        <f aca="false">IF(AND(ISNUMBER(F1229),ISNUMBER(G1229)),IF(ABS(D1229-E1229)=ABS(F1229-G1229),12,0),"")</f>
        <v>0</v>
      </c>
      <c r="L1229" s="23" t="n">
        <f aca="false">IF(ISNUMBER(H1229),H1229+I1229+J1229+K1229,"")</f>
        <v>63</v>
      </c>
    </row>
    <row r="1230" customFormat="false" ht="18" hidden="false" customHeight="true" outlineLevel="0" collapsed="false">
      <c r="A1230" s="25" t="s">
        <v>9</v>
      </c>
      <c r="B1230" s="32" t="s">
        <v>165</v>
      </c>
      <c r="C1230" s="27" t="s">
        <v>23</v>
      </c>
      <c r="D1230" s="28" t="n">
        <v>1</v>
      </c>
      <c r="E1230" s="28" t="n">
        <v>3</v>
      </c>
      <c r="F1230" s="29" t="n">
        <f aca="false">'📋 Matches'!E6</f>
        <v>0</v>
      </c>
      <c r="G1230" s="29" t="n">
        <f aca="false">'📋 Matches'!F6</f>
        <v>0</v>
      </c>
      <c r="H1230" s="22" t="str">
        <f aca="false">IF(AND(ISNUMBER(F1230),ISNUMBER(G1230)),IF(SIGN(D1230-E1230)=SIGN(F1230-G1230),48,0),"")</f>
        <v/>
      </c>
      <c r="I1230" s="22" t="str">
        <f aca="false">IF(AND(ISNUMBER(F1230),ISNUMBER(G1230)),IF(D1230=F1230,15,0),"")</f>
        <v/>
      </c>
      <c r="J1230" s="22" t="str">
        <f aca="false">IF(AND(ISNUMBER(F1230),ISNUMBER(G1230)),IF(E1230=G1230,15,0),"")</f>
        <v/>
      </c>
      <c r="K1230" s="22" t="str">
        <f aca="false">IF(AND(ISNUMBER(F1230),ISNUMBER(G1230)),IF(ABS(D1230-E1230)=ABS(F1230-G1230),12,0),"")</f>
        <v/>
      </c>
      <c r="L1230" s="23" t="str">
        <f aca="false">IF(ISNUMBER(H1230),H1230+I1230+J1230+K1230,"")</f>
        <v/>
      </c>
    </row>
    <row r="1231" customFormat="false" ht="18" hidden="false" customHeight="true" outlineLevel="0" collapsed="false">
      <c r="A1231" s="25" t="s">
        <v>9</v>
      </c>
      <c r="B1231" s="32" t="s">
        <v>165</v>
      </c>
      <c r="C1231" s="27" t="s">
        <v>27</v>
      </c>
      <c r="D1231" s="28" t="n">
        <v>2</v>
      </c>
      <c r="E1231" s="28" t="n">
        <v>1</v>
      </c>
      <c r="F1231" s="29" t="n">
        <f aca="false">'📋 Matches'!E7</f>
        <v>0</v>
      </c>
      <c r="G1231" s="29" t="n">
        <f aca="false">'📋 Matches'!F7</f>
        <v>0</v>
      </c>
      <c r="H1231" s="22" t="str">
        <f aca="false">IF(AND(ISNUMBER(F1231),ISNUMBER(G1231)),IF(SIGN(D1231-E1231)=SIGN(F1231-G1231),48,0),"")</f>
        <v/>
      </c>
      <c r="I1231" s="22" t="str">
        <f aca="false">IF(AND(ISNUMBER(F1231),ISNUMBER(G1231)),IF(D1231=F1231,15,0),"")</f>
        <v/>
      </c>
      <c r="J1231" s="22" t="str">
        <f aca="false">IF(AND(ISNUMBER(F1231),ISNUMBER(G1231)),IF(E1231=G1231,15,0),"")</f>
        <v/>
      </c>
      <c r="K1231" s="22" t="str">
        <f aca="false">IF(AND(ISNUMBER(F1231),ISNUMBER(G1231)),IF(ABS(D1231-E1231)=ABS(F1231-G1231),12,0),"")</f>
        <v/>
      </c>
      <c r="L1231" s="23" t="str">
        <f aca="false">IF(ISNUMBER(H1231),H1231+I1231+J1231+K1231,"")</f>
        <v/>
      </c>
    </row>
    <row r="1232" customFormat="false" ht="18" hidden="false" customHeight="true" outlineLevel="0" collapsed="false">
      <c r="A1232" s="25" t="s">
        <v>9</v>
      </c>
      <c r="B1232" s="32" t="s">
        <v>165</v>
      </c>
      <c r="C1232" s="27" t="s">
        <v>30</v>
      </c>
      <c r="D1232" s="28" t="n">
        <v>0</v>
      </c>
      <c r="E1232" s="28" t="n">
        <v>1</v>
      </c>
      <c r="F1232" s="29" t="n">
        <f aca="false">'📋 Matches'!E8</f>
        <v>0</v>
      </c>
      <c r="G1232" s="29" t="n">
        <f aca="false">'📋 Matches'!F8</f>
        <v>0</v>
      </c>
      <c r="H1232" s="22" t="str">
        <f aca="false">IF(AND(ISNUMBER(F1232),ISNUMBER(G1232)),IF(SIGN(D1232-E1232)=SIGN(F1232-G1232),48,0),"")</f>
        <v/>
      </c>
      <c r="I1232" s="22" t="str">
        <f aca="false">IF(AND(ISNUMBER(F1232),ISNUMBER(G1232)),IF(D1232=F1232,15,0),"")</f>
        <v/>
      </c>
      <c r="J1232" s="22" t="str">
        <f aca="false">IF(AND(ISNUMBER(F1232),ISNUMBER(G1232)),IF(E1232=G1232,15,0),"")</f>
        <v/>
      </c>
      <c r="K1232" s="22" t="str">
        <f aca="false">IF(AND(ISNUMBER(F1232),ISNUMBER(G1232)),IF(ABS(D1232-E1232)=ABS(F1232-G1232),12,0),"")</f>
        <v/>
      </c>
      <c r="L1232" s="23" t="str">
        <f aca="false">IF(ISNUMBER(H1232),H1232+I1232+J1232+K1232,"")</f>
        <v/>
      </c>
    </row>
    <row r="1233" customFormat="false" ht="18" hidden="false" customHeight="true" outlineLevel="0" collapsed="false">
      <c r="A1233" s="25" t="s">
        <v>9</v>
      </c>
      <c r="B1233" s="32" t="s">
        <v>165</v>
      </c>
      <c r="C1233" s="27" t="s">
        <v>33</v>
      </c>
      <c r="D1233" s="28" t="n">
        <v>1</v>
      </c>
      <c r="E1233" s="28" t="n">
        <v>1</v>
      </c>
      <c r="F1233" s="29" t="n">
        <f aca="false">'📋 Matches'!E9</f>
        <v>0</v>
      </c>
      <c r="G1233" s="29" t="n">
        <f aca="false">'📋 Matches'!F9</f>
        <v>0</v>
      </c>
      <c r="H1233" s="22" t="str">
        <f aca="false">IF(AND(ISNUMBER(F1233),ISNUMBER(G1233)),IF(SIGN(D1233-E1233)=SIGN(F1233-G1233),48,0),"")</f>
        <v/>
      </c>
      <c r="I1233" s="22" t="str">
        <f aca="false">IF(AND(ISNUMBER(F1233),ISNUMBER(G1233)),IF(D1233=F1233,15,0),"")</f>
        <v/>
      </c>
      <c r="J1233" s="22" t="str">
        <f aca="false">IF(AND(ISNUMBER(F1233),ISNUMBER(G1233)),IF(E1233=G1233,15,0),"")</f>
        <v/>
      </c>
      <c r="K1233" s="22" t="str">
        <f aca="false">IF(AND(ISNUMBER(F1233),ISNUMBER(G1233)),IF(ABS(D1233-E1233)=ABS(F1233-G1233),12,0),"")</f>
        <v/>
      </c>
      <c r="L1233" s="23" t="str">
        <f aca="false">IF(ISNUMBER(H1233),H1233+I1233+J1233+K1233,"")</f>
        <v/>
      </c>
    </row>
    <row r="1234" customFormat="false" ht="18" hidden="false" customHeight="true" outlineLevel="0" collapsed="false">
      <c r="A1234" s="25" t="s">
        <v>9</v>
      </c>
      <c r="B1234" s="32" t="s">
        <v>165</v>
      </c>
      <c r="C1234" s="27" t="s">
        <v>36</v>
      </c>
      <c r="D1234" s="28" t="n">
        <v>3</v>
      </c>
      <c r="E1234" s="28" t="n">
        <v>0</v>
      </c>
      <c r="F1234" s="29" t="n">
        <f aca="false">'📋 Matches'!E10</f>
        <v>0</v>
      </c>
      <c r="G1234" s="29" t="n">
        <f aca="false">'📋 Matches'!F10</f>
        <v>0</v>
      </c>
      <c r="H1234" s="22" t="str">
        <f aca="false">IF(AND(ISNUMBER(F1234),ISNUMBER(G1234)),IF(SIGN(D1234-E1234)=SIGN(F1234-G1234),48,0),"")</f>
        <v/>
      </c>
      <c r="I1234" s="22" t="str">
        <f aca="false">IF(AND(ISNUMBER(F1234),ISNUMBER(G1234)),IF(D1234=F1234,15,0),"")</f>
        <v/>
      </c>
      <c r="J1234" s="22" t="str">
        <f aca="false">IF(AND(ISNUMBER(F1234),ISNUMBER(G1234)),IF(E1234=G1234,15,0),"")</f>
        <v/>
      </c>
      <c r="K1234" s="22" t="str">
        <f aca="false">IF(AND(ISNUMBER(F1234),ISNUMBER(G1234)),IF(ABS(D1234-E1234)=ABS(F1234-G1234),12,0),"")</f>
        <v/>
      </c>
      <c r="L1234" s="23" t="str">
        <f aca="false">IF(ISNUMBER(H1234),H1234+I1234+J1234+K1234,"")</f>
        <v/>
      </c>
    </row>
    <row r="1235" customFormat="false" ht="18" hidden="false" customHeight="true" outlineLevel="0" collapsed="false">
      <c r="A1235" s="25" t="s">
        <v>9</v>
      </c>
      <c r="B1235" s="32" t="s">
        <v>165</v>
      </c>
      <c r="C1235" s="27" t="s">
        <v>39</v>
      </c>
      <c r="D1235" s="28" t="n">
        <v>1</v>
      </c>
      <c r="E1235" s="28" t="n">
        <v>1</v>
      </c>
      <c r="F1235" s="29" t="n">
        <f aca="false">'📋 Matches'!E11</f>
        <v>0</v>
      </c>
      <c r="G1235" s="29" t="n">
        <f aca="false">'📋 Matches'!F11</f>
        <v>0</v>
      </c>
      <c r="H1235" s="22" t="str">
        <f aca="false">IF(AND(ISNUMBER(F1235),ISNUMBER(G1235)),IF(SIGN(D1235-E1235)=SIGN(F1235-G1235),48,0),"")</f>
        <v/>
      </c>
      <c r="I1235" s="22" t="str">
        <f aca="false">IF(AND(ISNUMBER(F1235),ISNUMBER(G1235)),IF(D1235=F1235,15,0),"")</f>
        <v/>
      </c>
      <c r="J1235" s="22" t="str">
        <f aca="false">IF(AND(ISNUMBER(F1235),ISNUMBER(G1235)),IF(E1235=G1235,15,0),"")</f>
        <v/>
      </c>
      <c r="K1235" s="22" t="str">
        <f aca="false">IF(AND(ISNUMBER(F1235),ISNUMBER(G1235)),IF(ABS(D1235-E1235)=ABS(F1235-G1235),12,0),"")</f>
        <v/>
      </c>
      <c r="L1235" s="23" t="str">
        <f aca="false">IF(ISNUMBER(H1235),H1235+I1235+J1235+K1235,"")</f>
        <v/>
      </c>
    </row>
    <row r="1236" customFormat="false" ht="18" hidden="false" customHeight="true" outlineLevel="0" collapsed="false">
      <c r="A1236" s="25" t="s">
        <v>9</v>
      </c>
      <c r="B1236" s="32" t="s">
        <v>165</v>
      </c>
      <c r="C1236" s="27" t="s">
        <v>42</v>
      </c>
      <c r="D1236" s="28" t="n">
        <v>0</v>
      </c>
      <c r="E1236" s="28" t="n">
        <v>2</v>
      </c>
      <c r="F1236" s="29" t="n">
        <f aca="false">'📋 Matches'!E12</f>
        <v>0</v>
      </c>
      <c r="G1236" s="29" t="n">
        <f aca="false">'📋 Matches'!F12</f>
        <v>0</v>
      </c>
      <c r="H1236" s="22" t="str">
        <f aca="false">IF(AND(ISNUMBER(F1236),ISNUMBER(G1236)),IF(SIGN(D1236-E1236)=SIGN(F1236-G1236),48,0),"")</f>
        <v/>
      </c>
      <c r="I1236" s="22" t="str">
        <f aca="false">IF(AND(ISNUMBER(F1236),ISNUMBER(G1236)),IF(D1236=F1236,15,0),"")</f>
        <v/>
      </c>
      <c r="J1236" s="22" t="str">
        <f aca="false">IF(AND(ISNUMBER(F1236),ISNUMBER(G1236)),IF(E1236=G1236,15,0),"")</f>
        <v/>
      </c>
      <c r="K1236" s="22" t="str">
        <f aca="false">IF(AND(ISNUMBER(F1236),ISNUMBER(G1236)),IF(ABS(D1236-E1236)=ABS(F1236-G1236),12,0),"")</f>
        <v/>
      </c>
      <c r="L1236" s="23" t="str">
        <f aca="false">IF(ISNUMBER(H1236),H1236+I1236+J1236+K1236,"")</f>
        <v/>
      </c>
    </row>
    <row r="1237" customFormat="false" ht="18" hidden="false" customHeight="true" outlineLevel="0" collapsed="false">
      <c r="A1237" s="25" t="s">
        <v>9</v>
      </c>
      <c r="B1237" s="32" t="s">
        <v>165</v>
      </c>
      <c r="C1237" s="27" t="s">
        <v>45</v>
      </c>
      <c r="D1237" s="28" t="n">
        <v>2</v>
      </c>
      <c r="E1237" s="28" t="n">
        <v>1</v>
      </c>
      <c r="F1237" s="29" t="n">
        <f aca="false">'📋 Matches'!E13</f>
        <v>0</v>
      </c>
      <c r="G1237" s="29" t="n">
        <f aca="false">'📋 Matches'!F13</f>
        <v>0</v>
      </c>
      <c r="H1237" s="22" t="str">
        <f aca="false">IF(AND(ISNUMBER(F1237),ISNUMBER(G1237)),IF(SIGN(D1237-E1237)=SIGN(F1237-G1237),48,0),"")</f>
        <v/>
      </c>
      <c r="I1237" s="22" t="str">
        <f aca="false">IF(AND(ISNUMBER(F1237),ISNUMBER(G1237)),IF(D1237=F1237,15,0),"")</f>
        <v/>
      </c>
      <c r="J1237" s="22" t="str">
        <f aca="false">IF(AND(ISNUMBER(F1237),ISNUMBER(G1237)),IF(E1237=G1237,15,0),"")</f>
        <v/>
      </c>
      <c r="K1237" s="22" t="str">
        <f aca="false">IF(AND(ISNUMBER(F1237),ISNUMBER(G1237)),IF(ABS(D1237-E1237)=ABS(F1237-G1237),12,0),"")</f>
        <v/>
      </c>
      <c r="L1237" s="23" t="str">
        <f aca="false">IF(ISNUMBER(H1237),H1237+I1237+J1237+K1237,"")</f>
        <v/>
      </c>
    </row>
    <row r="1238" customFormat="false" ht="18" hidden="false" customHeight="true" outlineLevel="0" collapsed="false">
      <c r="A1238" s="25" t="s">
        <v>9</v>
      </c>
      <c r="B1238" s="32" t="s">
        <v>165</v>
      </c>
      <c r="C1238" s="27" t="s">
        <v>48</v>
      </c>
      <c r="D1238" s="28" t="n">
        <v>3</v>
      </c>
      <c r="E1238" s="28" t="n">
        <v>1</v>
      </c>
      <c r="F1238" s="29" t="n">
        <f aca="false">'📋 Matches'!E14</f>
        <v>0</v>
      </c>
      <c r="G1238" s="29" t="n">
        <f aca="false">'📋 Matches'!F14</f>
        <v>0</v>
      </c>
      <c r="H1238" s="22" t="str">
        <f aca="false">IF(AND(ISNUMBER(F1238),ISNUMBER(G1238)),IF(SIGN(D1238-E1238)=SIGN(F1238-G1238),48,0),"")</f>
        <v/>
      </c>
      <c r="I1238" s="22" t="str">
        <f aca="false">IF(AND(ISNUMBER(F1238),ISNUMBER(G1238)),IF(D1238=F1238,15,0),"")</f>
        <v/>
      </c>
      <c r="J1238" s="22" t="str">
        <f aca="false">IF(AND(ISNUMBER(F1238),ISNUMBER(G1238)),IF(E1238=G1238,15,0),"")</f>
        <v/>
      </c>
      <c r="K1238" s="22" t="str">
        <f aca="false">IF(AND(ISNUMBER(F1238),ISNUMBER(G1238)),IF(ABS(D1238-E1238)=ABS(F1238-G1238),12,0),"")</f>
        <v/>
      </c>
      <c r="L1238" s="23" t="str">
        <f aca="false">IF(ISNUMBER(H1238),H1238+I1238+J1238+K1238,"")</f>
        <v/>
      </c>
    </row>
    <row r="1239" customFormat="false" ht="18" hidden="false" customHeight="true" outlineLevel="0" collapsed="false">
      <c r="A1239" s="25" t="s">
        <v>9</v>
      </c>
      <c r="B1239" s="32" t="s">
        <v>165</v>
      </c>
      <c r="C1239" s="27" t="s">
        <v>51</v>
      </c>
      <c r="D1239" s="28" t="n">
        <v>2</v>
      </c>
      <c r="E1239" s="28" t="n">
        <v>1</v>
      </c>
      <c r="F1239" s="29" t="n">
        <f aca="false">'📋 Matches'!E15</f>
        <v>0</v>
      </c>
      <c r="G1239" s="29" t="n">
        <f aca="false">'📋 Matches'!F15</f>
        <v>0</v>
      </c>
      <c r="H1239" s="22" t="str">
        <f aca="false">IF(AND(ISNUMBER(F1239),ISNUMBER(G1239)),IF(SIGN(D1239-E1239)=SIGN(F1239-G1239),48,0),"")</f>
        <v/>
      </c>
      <c r="I1239" s="22" t="str">
        <f aca="false">IF(AND(ISNUMBER(F1239),ISNUMBER(G1239)),IF(D1239=F1239,15,0),"")</f>
        <v/>
      </c>
      <c r="J1239" s="22" t="str">
        <f aca="false">IF(AND(ISNUMBER(F1239),ISNUMBER(G1239)),IF(E1239=G1239,15,0),"")</f>
        <v/>
      </c>
      <c r="K1239" s="22" t="str">
        <f aca="false">IF(AND(ISNUMBER(F1239),ISNUMBER(G1239)),IF(ABS(D1239-E1239)=ABS(F1239-G1239),12,0),"")</f>
        <v/>
      </c>
      <c r="L1239" s="23" t="str">
        <f aca="false">IF(ISNUMBER(H1239),H1239+I1239+J1239+K1239,"")</f>
        <v/>
      </c>
    </row>
    <row r="1240" customFormat="false" ht="18" hidden="false" customHeight="true" outlineLevel="0" collapsed="false">
      <c r="A1240" s="25" t="s">
        <v>9</v>
      </c>
      <c r="B1240" s="32" t="s">
        <v>165</v>
      </c>
      <c r="C1240" s="27" t="s">
        <v>54</v>
      </c>
      <c r="D1240" s="28" t="n">
        <v>0</v>
      </c>
      <c r="E1240" s="28" t="n">
        <v>0</v>
      </c>
      <c r="F1240" s="29" t="n">
        <f aca="false">'📋 Matches'!E16</f>
        <v>0</v>
      </c>
      <c r="G1240" s="29" t="n">
        <f aca="false">'📋 Matches'!F16</f>
        <v>0</v>
      </c>
      <c r="H1240" s="22" t="str">
        <f aca="false">IF(AND(ISNUMBER(F1240),ISNUMBER(G1240)),IF(SIGN(D1240-E1240)=SIGN(F1240-G1240),48,0),"")</f>
        <v/>
      </c>
      <c r="I1240" s="22" t="str">
        <f aca="false">IF(AND(ISNUMBER(F1240),ISNUMBER(G1240)),IF(D1240=F1240,15,0),"")</f>
        <v/>
      </c>
      <c r="J1240" s="22" t="str">
        <f aca="false">IF(AND(ISNUMBER(F1240),ISNUMBER(G1240)),IF(E1240=G1240,15,0),"")</f>
        <v/>
      </c>
      <c r="K1240" s="22" t="str">
        <f aca="false">IF(AND(ISNUMBER(F1240),ISNUMBER(G1240)),IF(ABS(D1240-E1240)=ABS(F1240-G1240),12,0),"")</f>
        <v/>
      </c>
      <c r="L1240" s="23" t="str">
        <f aca="false">IF(ISNUMBER(H1240),H1240+I1240+J1240+K1240,"")</f>
        <v/>
      </c>
    </row>
    <row r="1241" customFormat="false" ht="18" hidden="false" customHeight="true" outlineLevel="0" collapsed="false">
      <c r="A1241" s="25" t="s">
        <v>9</v>
      </c>
      <c r="B1241" s="32" t="s">
        <v>165</v>
      </c>
      <c r="C1241" s="27" t="s">
        <v>57</v>
      </c>
      <c r="D1241" s="28" t="n">
        <v>1</v>
      </c>
      <c r="E1241" s="28" t="n">
        <v>1</v>
      </c>
      <c r="F1241" s="29" t="n">
        <f aca="false">'📋 Matches'!E17</f>
        <v>0</v>
      </c>
      <c r="G1241" s="29" t="n">
        <f aca="false">'📋 Matches'!F17</f>
        <v>0</v>
      </c>
      <c r="H1241" s="22" t="str">
        <f aca="false">IF(AND(ISNUMBER(F1241),ISNUMBER(G1241)),IF(SIGN(D1241-E1241)=SIGN(F1241-G1241),48,0),"")</f>
        <v/>
      </c>
      <c r="I1241" s="22" t="str">
        <f aca="false">IF(AND(ISNUMBER(F1241),ISNUMBER(G1241)),IF(D1241=F1241,15,0),"")</f>
        <v/>
      </c>
      <c r="J1241" s="22" t="str">
        <f aca="false">IF(AND(ISNUMBER(F1241),ISNUMBER(G1241)),IF(E1241=G1241,15,0),"")</f>
        <v/>
      </c>
      <c r="K1241" s="22" t="str">
        <f aca="false">IF(AND(ISNUMBER(F1241),ISNUMBER(G1241)),IF(ABS(D1241-E1241)=ABS(F1241-G1241),12,0),"")</f>
        <v/>
      </c>
      <c r="L1241" s="23" t="str">
        <f aca="false">IF(ISNUMBER(H1241),H1241+I1241+J1241+K1241,"")</f>
        <v/>
      </c>
    </row>
    <row r="1242" customFormat="false" ht="18" hidden="false" customHeight="true" outlineLevel="0" collapsed="false">
      <c r="A1242" s="25" t="s">
        <v>9</v>
      </c>
      <c r="B1242" s="32" t="s">
        <v>165</v>
      </c>
      <c r="C1242" s="27" t="s">
        <v>60</v>
      </c>
      <c r="D1242" s="28" t="n">
        <v>3</v>
      </c>
      <c r="E1242" s="28" t="n">
        <v>2</v>
      </c>
      <c r="F1242" s="29" t="n">
        <f aca="false">'📋 Matches'!E18</f>
        <v>0</v>
      </c>
      <c r="G1242" s="29" t="n">
        <f aca="false">'📋 Matches'!F18</f>
        <v>0</v>
      </c>
      <c r="H1242" s="22" t="str">
        <f aca="false">IF(AND(ISNUMBER(F1242),ISNUMBER(G1242)),IF(SIGN(D1242-E1242)=SIGN(F1242-G1242),48,0),"")</f>
        <v/>
      </c>
      <c r="I1242" s="22" t="str">
        <f aca="false">IF(AND(ISNUMBER(F1242),ISNUMBER(G1242)),IF(D1242=F1242,15,0),"")</f>
        <v/>
      </c>
      <c r="J1242" s="22" t="str">
        <f aca="false">IF(AND(ISNUMBER(F1242),ISNUMBER(G1242)),IF(E1242=G1242,15,0),"")</f>
        <v/>
      </c>
      <c r="K1242" s="22" t="str">
        <f aca="false">IF(AND(ISNUMBER(F1242),ISNUMBER(G1242)),IF(ABS(D1242-E1242)=ABS(F1242-G1242),12,0),"")</f>
        <v/>
      </c>
      <c r="L1242" s="23" t="str">
        <f aca="false">IF(ISNUMBER(H1242),H1242+I1242+J1242+K1242,"")</f>
        <v/>
      </c>
    </row>
    <row r="1243" customFormat="false" ht="18" hidden="false" customHeight="true" outlineLevel="0" collapsed="false">
      <c r="A1243" s="25" t="s">
        <v>9</v>
      </c>
      <c r="B1243" s="32" t="s">
        <v>165</v>
      </c>
      <c r="C1243" s="27" t="s">
        <v>63</v>
      </c>
      <c r="D1243" s="28" t="n">
        <v>0</v>
      </c>
      <c r="E1243" s="28" t="n">
        <v>4</v>
      </c>
      <c r="F1243" s="29" t="n">
        <f aca="false">'📋 Matches'!E19</f>
        <v>0</v>
      </c>
      <c r="G1243" s="29" t="n">
        <f aca="false">'📋 Matches'!F19</f>
        <v>0</v>
      </c>
      <c r="H1243" s="22" t="str">
        <f aca="false">IF(AND(ISNUMBER(F1243),ISNUMBER(G1243)),IF(SIGN(D1243-E1243)=SIGN(F1243-G1243),48,0),"")</f>
        <v/>
      </c>
      <c r="I1243" s="22" t="str">
        <f aca="false">IF(AND(ISNUMBER(F1243),ISNUMBER(G1243)),IF(D1243=F1243,15,0),"")</f>
        <v/>
      </c>
      <c r="J1243" s="22" t="str">
        <f aca="false">IF(AND(ISNUMBER(F1243),ISNUMBER(G1243)),IF(E1243=G1243,15,0),"")</f>
        <v/>
      </c>
      <c r="K1243" s="22" t="str">
        <f aca="false">IF(AND(ISNUMBER(F1243),ISNUMBER(G1243)),IF(ABS(D1243-E1243)=ABS(F1243-G1243),12,0),"")</f>
        <v/>
      </c>
      <c r="L1243" s="23" t="str">
        <f aca="false">IF(ISNUMBER(H1243),H1243+I1243+J1243+K1243,"")</f>
        <v/>
      </c>
    </row>
    <row r="1244" customFormat="false" ht="18" hidden="false" customHeight="true" outlineLevel="0" collapsed="false">
      <c r="A1244" s="25" t="s">
        <v>9</v>
      </c>
      <c r="B1244" s="32" t="s">
        <v>165</v>
      </c>
      <c r="C1244" s="27" t="s">
        <v>66</v>
      </c>
      <c r="D1244" s="28" t="n">
        <v>2</v>
      </c>
      <c r="E1244" s="28" t="n">
        <v>0</v>
      </c>
      <c r="F1244" s="29" t="n">
        <f aca="false">'📋 Matches'!E20</f>
        <v>0</v>
      </c>
      <c r="G1244" s="29" t="n">
        <f aca="false">'📋 Matches'!F20</f>
        <v>0</v>
      </c>
      <c r="H1244" s="22" t="str">
        <f aca="false">IF(AND(ISNUMBER(F1244),ISNUMBER(G1244)),IF(SIGN(D1244-E1244)=SIGN(F1244-G1244),48,0),"")</f>
        <v/>
      </c>
      <c r="I1244" s="22" t="str">
        <f aca="false">IF(AND(ISNUMBER(F1244),ISNUMBER(G1244)),IF(D1244=F1244,15,0),"")</f>
        <v/>
      </c>
      <c r="J1244" s="22" t="str">
        <f aca="false">IF(AND(ISNUMBER(F1244),ISNUMBER(G1244)),IF(E1244=G1244,15,0),"")</f>
        <v/>
      </c>
      <c r="K1244" s="22" t="str">
        <f aca="false">IF(AND(ISNUMBER(F1244),ISNUMBER(G1244)),IF(ABS(D1244-E1244)=ABS(F1244-G1244),12,0),"")</f>
        <v/>
      </c>
      <c r="L1244" s="23" t="str">
        <f aca="false">IF(ISNUMBER(H1244),H1244+I1244+J1244+K1244,"")</f>
        <v/>
      </c>
    </row>
    <row r="1245" customFormat="false" ht="18" hidden="false" customHeight="true" outlineLevel="0" collapsed="false">
      <c r="A1245" s="25" t="s">
        <v>9</v>
      </c>
      <c r="B1245" s="32" t="s">
        <v>165</v>
      </c>
      <c r="C1245" s="27" t="s">
        <v>69</v>
      </c>
      <c r="D1245" s="28" t="n">
        <v>3</v>
      </c>
      <c r="E1245" s="28" t="n">
        <v>0</v>
      </c>
      <c r="F1245" s="29" t="n">
        <f aca="false">'📋 Matches'!E21</f>
        <v>0</v>
      </c>
      <c r="G1245" s="29" t="n">
        <f aca="false">'📋 Matches'!F21</f>
        <v>0</v>
      </c>
      <c r="H1245" s="22" t="str">
        <f aca="false">IF(AND(ISNUMBER(F1245),ISNUMBER(G1245)),IF(SIGN(D1245-E1245)=SIGN(F1245-G1245),48,0),"")</f>
        <v/>
      </c>
      <c r="I1245" s="22" t="str">
        <f aca="false">IF(AND(ISNUMBER(F1245),ISNUMBER(G1245)),IF(D1245=F1245,15,0),"")</f>
        <v/>
      </c>
      <c r="J1245" s="22" t="str">
        <f aca="false">IF(AND(ISNUMBER(F1245),ISNUMBER(G1245)),IF(E1245=G1245,15,0),"")</f>
        <v/>
      </c>
      <c r="K1245" s="22" t="str">
        <f aca="false">IF(AND(ISNUMBER(F1245),ISNUMBER(G1245)),IF(ABS(D1245-E1245)=ABS(F1245-G1245),12,0),"")</f>
        <v/>
      </c>
      <c r="L1245" s="23" t="str">
        <f aca="false">IF(ISNUMBER(H1245),H1245+I1245+J1245+K1245,"")</f>
        <v/>
      </c>
    </row>
    <row r="1246" customFormat="false" ht="18" hidden="false" customHeight="true" outlineLevel="0" collapsed="false">
      <c r="A1246" s="25" t="s">
        <v>9</v>
      </c>
      <c r="B1246" s="32" t="s">
        <v>165</v>
      </c>
      <c r="C1246" s="27" t="s">
        <v>72</v>
      </c>
      <c r="D1246" s="28" t="n">
        <v>2</v>
      </c>
      <c r="E1246" s="28" t="n">
        <v>0</v>
      </c>
      <c r="F1246" s="29" t="n">
        <f aca="false">'📋 Matches'!E22</f>
        <v>0</v>
      </c>
      <c r="G1246" s="29" t="n">
        <f aca="false">'📋 Matches'!F22</f>
        <v>0</v>
      </c>
      <c r="H1246" s="22" t="str">
        <f aca="false">IF(AND(ISNUMBER(F1246),ISNUMBER(G1246)),IF(SIGN(D1246-E1246)=SIGN(F1246-G1246),48,0),"")</f>
        <v/>
      </c>
      <c r="I1246" s="22" t="str">
        <f aca="false">IF(AND(ISNUMBER(F1246),ISNUMBER(G1246)),IF(D1246=F1246,15,0),"")</f>
        <v/>
      </c>
      <c r="J1246" s="22" t="str">
        <f aca="false">IF(AND(ISNUMBER(F1246),ISNUMBER(G1246)),IF(E1246=G1246,15,0),"")</f>
        <v/>
      </c>
      <c r="K1246" s="22" t="str">
        <f aca="false">IF(AND(ISNUMBER(F1246),ISNUMBER(G1246)),IF(ABS(D1246-E1246)=ABS(F1246-G1246),12,0),"")</f>
        <v/>
      </c>
      <c r="L1246" s="23" t="str">
        <f aca="false">IF(ISNUMBER(H1246),H1246+I1246+J1246+K1246,"")</f>
        <v/>
      </c>
    </row>
    <row r="1247" customFormat="false" ht="18" hidden="false" customHeight="true" outlineLevel="0" collapsed="false">
      <c r="A1247" s="25" t="s">
        <v>9</v>
      </c>
      <c r="B1247" s="32" t="s">
        <v>165</v>
      </c>
      <c r="C1247" s="27" t="s">
        <v>75</v>
      </c>
      <c r="D1247" s="28" t="n">
        <v>3</v>
      </c>
      <c r="E1247" s="28" t="n">
        <v>1</v>
      </c>
      <c r="F1247" s="29" t="n">
        <f aca="false">'📋 Matches'!E23</f>
        <v>0</v>
      </c>
      <c r="G1247" s="29" t="n">
        <f aca="false">'📋 Matches'!F23</f>
        <v>0</v>
      </c>
      <c r="H1247" s="22" t="str">
        <f aca="false">IF(AND(ISNUMBER(F1247),ISNUMBER(G1247)),IF(SIGN(D1247-E1247)=SIGN(F1247-G1247),48,0),"")</f>
        <v/>
      </c>
      <c r="I1247" s="22" t="str">
        <f aca="false">IF(AND(ISNUMBER(F1247),ISNUMBER(G1247)),IF(D1247=F1247,15,0),"")</f>
        <v/>
      </c>
      <c r="J1247" s="22" t="str">
        <f aca="false">IF(AND(ISNUMBER(F1247),ISNUMBER(G1247)),IF(E1247=G1247,15,0),"")</f>
        <v/>
      </c>
      <c r="K1247" s="22" t="str">
        <f aca="false">IF(AND(ISNUMBER(F1247),ISNUMBER(G1247)),IF(ABS(D1247-E1247)=ABS(F1247-G1247),12,0),"")</f>
        <v/>
      </c>
      <c r="L1247" s="23" t="str">
        <f aca="false">IF(ISNUMBER(H1247),H1247+I1247+J1247+K1247,"")</f>
        <v/>
      </c>
    </row>
    <row r="1248" customFormat="false" ht="18" hidden="false" customHeight="true" outlineLevel="0" collapsed="false">
      <c r="A1248" s="25" t="s">
        <v>9</v>
      </c>
      <c r="B1248" s="32" t="s">
        <v>165</v>
      </c>
      <c r="C1248" s="27" t="s">
        <v>78</v>
      </c>
      <c r="D1248" s="28" t="n">
        <v>2</v>
      </c>
      <c r="E1248" s="28" t="n">
        <v>1</v>
      </c>
      <c r="F1248" s="29" t="n">
        <f aca="false">'📋 Matches'!E24</f>
        <v>0</v>
      </c>
      <c r="G1248" s="29" t="n">
        <f aca="false">'📋 Matches'!F24</f>
        <v>0</v>
      </c>
      <c r="H1248" s="22" t="str">
        <f aca="false">IF(AND(ISNUMBER(F1248),ISNUMBER(G1248)),IF(SIGN(D1248-E1248)=SIGN(F1248-G1248),48,0),"")</f>
        <v/>
      </c>
      <c r="I1248" s="22" t="str">
        <f aca="false">IF(AND(ISNUMBER(F1248),ISNUMBER(G1248)),IF(D1248=F1248,15,0),"")</f>
        <v/>
      </c>
      <c r="J1248" s="22" t="str">
        <f aca="false">IF(AND(ISNUMBER(F1248),ISNUMBER(G1248)),IF(E1248=G1248,15,0),"")</f>
        <v/>
      </c>
      <c r="K1248" s="22" t="str">
        <f aca="false">IF(AND(ISNUMBER(F1248),ISNUMBER(G1248)),IF(ABS(D1248-E1248)=ABS(F1248-G1248),12,0),"")</f>
        <v/>
      </c>
      <c r="L1248" s="23" t="str">
        <f aca="false">IF(ISNUMBER(H1248),H1248+I1248+J1248+K1248,"")</f>
        <v/>
      </c>
    </row>
    <row r="1249" customFormat="false" ht="18" hidden="false" customHeight="true" outlineLevel="0" collapsed="false">
      <c r="A1249" s="25" t="s">
        <v>9</v>
      </c>
      <c r="B1249" s="32" t="s">
        <v>165</v>
      </c>
      <c r="C1249" s="27" t="s">
        <v>81</v>
      </c>
      <c r="D1249" s="28" t="n">
        <v>1</v>
      </c>
      <c r="E1249" s="28" t="n">
        <v>3</v>
      </c>
      <c r="F1249" s="29" t="n">
        <f aca="false">'📋 Matches'!E25</f>
        <v>0</v>
      </c>
      <c r="G1249" s="29" t="n">
        <f aca="false">'📋 Matches'!F25</f>
        <v>0</v>
      </c>
      <c r="H1249" s="22" t="str">
        <f aca="false">IF(AND(ISNUMBER(F1249),ISNUMBER(G1249)),IF(SIGN(D1249-E1249)=SIGN(F1249-G1249),48,0),"")</f>
        <v/>
      </c>
      <c r="I1249" s="22" t="str">
        <f aca="false">IF(AND(ISNUMBER(F1249),ISNUMBER(G1249)),IF(D1249=F1249,15,0),"")</f>
        <v/>
      </c>
      <c r="J1249" s="22" t="str">
        <f aca="false">IF(AND(ISNUMBER(F1249),ISNUMBER(G1249)),IF(E1249=G1249,15,0),"")</f>
        <v/>
      </c>
      <c r="K1249" s="22" t="str">
        <f aca="false">IF(AND(ISNUMBER(F1249),ISNUMBER(G1249)),IF(ABS(D1249-E1249)=ABS(F1249-G1249),12,0),"")</f>
        <v/>
      </c>
      <c r="L1249" s="23" t="str">
        <f aca="false">IF(ISNUMBER(H1249),H1249+I1249+J1249+K1249,"")</f>
        <v/>
      </c>
    </row>
    <row r="1250" customFormat="false" ht="18" hidden="false" customHeight="true" outlineLevel="0" collapsed="false">
      <c r="A1250" s="25" t="s">
        <v>84</v>
      </c>
      <c r="B1250" s="32" t="s">
        <v>165</v>
      </c>
      <c r="C1250" s="27" t="s">
        <v>85</v>
      </c>
      <c r="D1250" s="28"/>
      <c r="E1250" s="28"/>
      <c r="F1250" s="29" t="n">
        <f aca="false">'📋 Matches'!E26</f>
        <v>0</v>
      </c>
      <c r="G1250" s="29" t="n">
        <f aca="false">'📋 Matches'!F26</f>
        <v>0</v>
      </c>
      <c r="H1250" s="30" t="s">
        <v>148</v>
      </c>
      <c r="I1250" s="30" t="s">
        <v>148</v>
      </c>
      <c r="J1250" s="30" t="s">
        <v>148</v>
      </c>
      <c r="K1250" s="30" t="s">
        <v>148</v>
      </c>
      <c r="L1250" s="30" t="s">
        <v>148</v>
      </c>
    </row>
    <row r="1251" customFormat="false" ht="18" hidden="false" customHeight="true" outlineLevel="0" collapsed="false">
      <c r="A1251" s="25" t="s">
        <v>84</v>
      </c>
      <c r="B1251" s="32" t="s">
        <v>165</v>
      </c>
      <c r="C1251" s="27" t="s">
        <v>87</v>
      </c>
      <c r="D1251" s="28"/>
      <c r="E1251" s="28"/>
      <c r="F1251" s="29" t="n">
        <f aca="false">'📋 Matches'!E27</f>
        <v>0</v>
      </c>
      <c r="G1251" s="29" t="n">
        <f aca="false">'📋 Matches'!F27</f>
        <v>0</v>
      </c>
      <c r="H1251" s="30" t="s">
        <v>148</v>
      </c>
      <c r="I1251" s="30" t="s">
        <v>148</v>
      </c>
      <c r="J1251" s="30" t="s">
        <v>148</v>
      </c>
      <c r="K1251" s="30" t="s">
        <v>148</v>
      </c>
      <c r="L1251" s="30" t="s">
        <v>148</v>
      </c>
    </row>
    <row r="1252" customFormat="false" ht="18" hidden="false" customHeight="true" outlineLevel="0" collapsed="false">
      <c r="A1252" s="25" t="s">
        <v>84</v>
      </c>
      <c r="B1252" s="32" t="s">
        <v>165</v>
      </c>
      <c r="C1252" s="27" t="s">
        <v>89</v>
      </c>
      <c r="D1252" s="28"/>
      <c r="E1252" s="28"/>
      <c r="F1252" s="29" t="n">
        <f aca="false">'📋 Matches'!E28</f>
        <v>0</v>
      </c>
      <c r="G1252" s="29" t="n">
        <f aca="false">'📋 Matches'!F28</f>
        <v>0</v>
      </c>
      <c r="H1252" s="30" t="s">
        <v>148</v>
      </c>
      <c r="I1252" s="30" t="s">
        <v>148</v>
      </c>
      <c r="J1252" s="30" t="s">
        <v>148</v>
      </c>
      <c r="K1252" s="30" t="s">
        <v>148</v>
      </c>
      <c r="L1252" s="30" t="s">
        <v>148</v>
      </c>
    </row>
    <row r="1253" customFormat="false" ht="18" hidden="false" customHeight="true" outlineLevel="0" collapsed="false">
      <c r="A1253" s="25" t="s">
        <v>84</v>
      </c>
      <c r="B1253" s="32" t="s">
        <v>165</v>
      </c>
      <c r="C1253" s="27" t="s">
        <v>90</v>
      </c>
      <c r="D1253" s="28"/>
      <c r="E1253" s="28"/>
      <c r="F1253" s="29" t="n">
        <f aca="false">'📋 Matches'!E29</f>
        <v>0</v>
      </c>
      <c r="G1253" s="29" t="n">
        <f aca="false">'📋 Matches'!F29</f>
        <v>0</v>
      </c>
      <c r="H1253" s="30" t="s">
        <v>148</v>
      </c>
      <c r="I1253" s="30" t="s">
        <v>148</v>
      </c>
      <c r="J1253" s="30" t="s">
        <v>148</v>
      </c>
      <c r="K1253" s="30" t="s">
        <v>148</v>
      </c>
      <c r="L1253" s="30" t="s">
        <v>148</v>
      </c>
    </row>
    <row r="1254" customFormat="false" ht="18" hidden="false" customHeight="true" outlineLevel="0" collapsed="false">
      <c r="A1254" s="25" t="s">
        <v>84</v>
      </c>
      <c r="B1254" s="32" t="s">
        <v>165</v>
      </c>
      <c r="C1254" s="27" t="s">
        <v>91</v>
      </c>
      <c r="D1254" s="28"/>
      <c r="E1254" s="28"/>
      <c r="F1254" s="29" t="n">
        <f aca="false">'📋 Matches'!E30</f>
        <v>0</v>
      </c>
      <c r="G1254" s="29" t="n">
        <f aca="false">'📋 Matches'!F30</f>
        <v>0</v>
      </c>
      <c r="H1254" s="30" t="s">
        <v>148</v>
      </c>
      <c r="I1254" s="30" t="s">
        <v>148</v>
      </c>
      <c r="J1254" s="30" t="s">
        <v>148</v>
      </c>
      <c r="K1254" s="30" t="s">
        <v>148</v>
      </c>
      <c r="L1254" s="30" t="s">
        <v>148</v>
      </c>
    </row>
    <row r="1255" customFormat="false" ht="18" hidden="false" customHeight="true" outlineLevel="0" collapsed="false">
      <c r="A1255" s="25" t="s">
        <v>84</v>
      </c>
      <c r="B1255" s="32" t="s">
        <v>165</v>
      </c>
      <c r="C1255" s="27" t="s">
        <v>92</v>
      </c>
      <c r="D1255" s="28"/>
      <c r="E1255" s="28"/>
      <c r="F1255" s="29" t="n">
        <f aca="false">'📋 Matches'!E31</f>
        <v>0</v>
      </c>
      <c r="G1255" s="29" t="n">
        <f aca="false">'📋 Matches'!F31</f>
        <v>0</v>
      </c>
      <c r="H1255" s="30" t="s">
        <v>148</v>
      </c>
      <c r="I1255" s="30" t="s">
        <v>148</v>
      </c>
      <c r="J1255" s="30" t="s">
        <v>148</v>
      </c>
      <c r="K1255" s="30" t="s">
        <v>148</v>
      </c>
      <c r="L1255" s="30" t="s">
        <v>148</v>
      </c>
    </row>
    <row r="1256" customFormat="false" ht="18" hidden="false" customHeight="true" outlineLevel="0" collapsed="false">
      <c r="A1256" s="25" t="s">
        <v>84</v>
      </c>
      <c r="B1256" s="32" t="s">
        <v>165</v>
      </c>
      <c r="C1256" s="27" t="s">
        <v>93</v>
      </c>
      <c r="D1256" s="28"/>
      <c r="E1256" s="28"/>
      <c r="F1256" s="29" t="n">
        <f aca="false">'📋 Matches'!E32</f>
        <v>0</v>
      </c>
      <c r="G1256" s="29" t="n">
        <f aca="false">'📋 Matches'!F32</f>
        <v>0</v>
      </c>
      <c r="H1256" s="30" t="s">
        <v>148</v>
      </c>
      <c r="I1256" s="30" t="s">
        <v>148</v>
      </c>
      <c r="J1256" s="30" t="s">
        <v>148</v>
      </c>
      <c r="K1256" s="30" t="s">
        <v>148</v>
      </c>
      <c r="L1256" s="30" t="s">
        <v>148</v>
      </c>
    </row>
    <row r="1257" customFormat="false" ht="18" hidden="false" customHeight="true" outlineLevel="0" collapsed="false">
      <c r="A1257" s="25" t="s">
        <v>84</v>
      </c>
      <c r="B1257" s="32" t="s">
        <v>165</v>
      </c>
      <c r="C1257" s="27" t="s">
        <v>94</v>
      </c>
      <c r="D1257" s="28"/>
      <c r="E1257" s="28"/>
      <c r="F1257" s="29" t="n">
        <f aca="false">'📋 Matches'!E33</f>
        <v>0</v>
      </c>
      <c r="G1257" s="29" t="n">
        <f aca="false">'📋 Matches'!F33</f>
        <v>0</v>
      </c>
      <c r="H1257" s="30" t="s">
        <v>148</v>
      </c>
      <c r="I1257" s="30" t="s">
        <v>148</v>
      </c>
      <c r="J1257" s="30" t="s">
        <v>148</v>
      </c>
      <c r="K1257" s="30" t="s">
        <v>148</v>
      </c>
      <c r="L1257" s="30" t="s">
        <v>148</v>
      </c>
    </row>
    <row r="1258" customFormat="false" ht="18" hidden="false" customHeight="true" outlineLevel="0" collapsed="false">
      <c r="A1258" s="25" t="s">
        <v>84</v>
      </c>
      <c r="B1258" s="32" t="s">
        <v>165</v>
      </c>
      <c r="C1258" s="27" t="s">
        <v>96</v>
      </c>
      <c r="D1258" s="28"/>
      <c r="E1258" s="28"/>
      <c r="F1258" s="29" t="n">
        <f aca="false">'📋 Matches'!E34</f>
        <v>0</v>
      </c>
      <c r="G1258" s="29" t="n">
        <f aca="false">'📋 Matches'!F34</f>
        <v>0</v>
      </c>
      <c r="H1258" s="30" t="s">
        <v>148</v>
      </c>
      <c r="I1258" s="30" t="s">
        <v>148</v>
      </c>
      <c r="J1258" s="30" t="s">
        <v>148</v>
      </c>
      <c r="K1258" s="30" t="s">
        <v>148</v>
      </c>
      <c r="L1258" s="30" t="s">
        <v>148</v>
      </c>
    </row>
    <row r="1259" customFormat="false" ht="18" hidden="false" customHeight="true" outlineLevel="0" collapsed="false">
      <c r="A1259" s="25" t="s">
        <v>84</v>
      </c>
      <c r="B1259" s="32" t="s">
        <v>165</v>
      </c>
      <c r="C1259" s="27" t="s">
        <v>97</v>
      </c>
      <c r="D1259" s="28"/>
      <c r="E1259" s="28"/>
      <c r="F1259" s="29" t="n">
        <f aca="false">'📋 Matches'!E35</f>
        <v>0</v>
      </c>
      <c r="G1259" s="29" t="n">
        <f aca="false">'📋 Matches'!F35</f>
        <v>0</v>
      </c>
      <c r="H1259" s="30" t="s">
        <v>148</v>
      </c>
      <c r="I1259" s="30" t="s">
        <v>148</v>
      </c>
      <c r="J1259" s="30" t="s">
        <v>148</v>
      </c>
      <c r="K1259" s="30" t="s">
        <v>148</v>
      </c>
      <c r="L1259" s="30" t="s">
        <v>148</v>
      </c>
    </row>
    <row r="1260" customFormat="false" ht="18" hidden="false" customHeight="true" outlineLevel="0" collapsed="false">
      <c r="A1260" s="25" t="s">
        <v>84</v>
      </c>
      <c r="B1260" s="32" t="s">
        <v>165</v>
      </c>
      <c r="C1260" s="27" t="s">
        <v>98</v>
      </c>
      <c r="D1260" s="28"/>
      <c r="E1260" s="28"/>
      <c r="F1260" s="29" t="n">
        <f aca="false">'📋 Matches'!E36</f>
        <v>0</v>
      </c>
      <c r="G1260" s="29" t="n">
        <f aca="false">'📋 Matches'!F36</f>
        <v>0</v>
      </c>
      <c r="H1260" s="30" t="s">
        <v>148</v>
      </c>
      <c r="I1260" s="30" t="s">
        <v>148</v>
      </c>
      <c r="J1260" s="30" t="s">
        <v>148</v>
      </c>
      <c r="K1260" s="30" t="s">
        <v>148</v>
      </c>
      <c r="L1260" s="30" t="s">
        <v>148</v>
      </c>
    </row>
    <row r="1261" customFormat="false" ht="18" hidden="false" customHeight="true" outlineLevel="0" collapsed="false">
      <c r="A1261" s="25" t="s">
        <v>84</v>
      </c>
      <c r="B1261" s="32" t="s">
        <v>165</v>
      </c>
      <c r="C1261" s="27" t="s">
        <v>100</v>
      </c>
      <c r="D1261" s="28"/>
      <c r="E1261" s="28"/>
      <c r="F1261" s="29" t="n">
        <f aca="false">'📋 Matches'!E37</f>
        <v>0</v>
      </c>
      <c r="G1261" s="29" t="n">
        <f aca="false">'📋 Matches'!F37</f>
        <v>0</v>
      </c>
      <c r="H1261" s="30" t="s">
        <v>148</v>
      </c>
      <c r="I1261" s="30" t="s">
        <v>148</v>
      </c>
      <c r="J1261" s="30" t="s">
        <v>148</v>
      </c>
      <c r="K1261" s="30" t="s">
        <v>148</v>
      </c>
      <c r="L1261" s="30" t="s">
        <v>148</v>
      </c>
    </row>
    <row r="1262" customFormat="false" ht="18" hidden="false" customHeight="true" outlineLevel="0" collapsed="false">
      <c r="A1262" s="25" t="s">
        <v>84</v>
      </c>
      <c r="B1262" s="32" t="s">
        <v>165</v>
      </c>
      <c r="C1262" s="27" t="s">
        <v>101</v>
      </c>
      <c r="D1262" s="28"/>
      <c r="E1262" s="28"/>
      <c r="F1262" s="29" t="n">
        <f aca="false">'📋 Matches'!E38</f>
        <v>0</v>
      </c>
      <c r="G1262" s="29" t="n">
        <f aca="false">'📋 Matches'!F38</f>
        <v>0</v>
      </c>
      <c r="H1262" s="30" t="s">
        <v>148</v>
      </c>
      <c r="I1262" s="30" t="s">
        <v>148</v>
      </c>
      <c r="J1262" s="30" t="s">
        <v>148</v>
      </c>
      <c r="K1262" s="30" t="s">
        <v>148</v>
      </c>
      <c r="L1262" s="30" t="s">
        <v>148</v>
      </c>
    </row>
    <row r="1263" customFormat="false" ht="18" hidden="false" customHeight="true" outlineLevel="0" collapsed="false">
      <c r="A1263" s="25" t="s">
        <v>84</v>
      </c>
      <c r="B1263" s="32" t="s">
        <v>165</v>
      </c>
      <c r="C1263" s="27" t="s">
        <v>102</v>
      </c>
      <c r="D1263" s="28"/>
      <c r="E1263" s="28"/>
      <c r="F1263" s="29" t="n">
        <f aca="false">'📋 Matches'!E39</f>
        <v>0</v>
      </c>
      <c r="G1263" s="29" t="n">
        <f aca="false">'📋 Matches'!F39</f>
        <v>0</v>
      </c>
      <c r="H1263" s="30" t="s">
        <v>148</v>
      </c>
      <c r="I1263" s="30" t="s">
        <v>148</v>
      </c>
      <c r="J1263" s="30" t="s">
        <v>148</v>
      </c>
      <c r="K1263" s="30" t="s">
        <v>148</v>
      </c>
      <c r="L1263" s="30" t="s">
        <v>148</v>
      </c>
    </row>
    <row r="1264" customFormat="false" ht="18" hidden="false" customHeight="true" outlineLevel="0" collapsed="false">
      <c r="A1264" s="25" t="s">
        <v>84</v>
      </c>
      <c r="B1264" s="32" t="s">
        <v>165</v>
      </c>
      <c r="C1264" s="27" t="s">
        <v>103</v>
      </c>
      <c r="D1264" s="28"/>
      <c r="E1264" s="28"/>
      <c r="F1264" s="29" t="n">
        <f aca="false">'📋 Matches'!E40</f>
        <v>0</v>
      </c>
      <c r="G1264" s="29" t="n">
        <f aca="false">'📋 Matches'!F40</f>
        <v>0</v>
      </c>
      <c r="H1264" s="30" t="s">
        <v>148</v>
      </c>
      <c r="I1264" s="30" t="s">
        <v>148</v>
      </c>
      <c r="J1264" s="30" t="s">
        <v>148</v>
      </c>
      <c r="K1264" s="30" t="s">
        <v>148</v>
      </c>
      <c r="L1264" s="30" t="s">
        <v>148</v>
      </c>
    </row>
    <row r="1265" customFormat="false" ht="18" hidden="false" customHeight="true" outlineLevel="0" collapsed="false">
      <c r="A1265" s="25" t="s">
        <v>84</v>
      </c>
      <c r="B1265" s="32" t="s">
        <v>165</v>
      </c>
      <c r="C1265" s="27" t="s">
        <v>104</v>
      </c>
      <c r="D1265" s="28"/>
      <c r="E1265" s="28"/>
      <c r="F1265" s="29" t="n">
        <f aca="false">'📋 Matches'!E41</f>
        <v>0</v>
      </c>
      <c r="G1265" s="29" t="n">
        <f aca="false">'📋 Matches'!F41</f>
        <v>0</v>
      </c>
      <c r="H1265" s="30" t="s">
        <v>148</v>
      </c>
      <c r="I1265" s="30" t="s">
        <v>148</v>
      </c>
      <c r="J1265" s="30" t="s">
        <v>148</v>
      </c>
      <c r="K1265" s="30" t="s">
        <v>148</v>
      </c>
      <c r="L1265" s="30" t="s">
        <v>148</v>
      </c>
    </row>
    <row r="1266" customFormat="false" ht="18" hidden="false" customHeight="true" outlineLevel="0" collapsed="false">
      <c r="A1266" s="25" t="s">
        <v>84</v>
      </c>
      <c r="B1266" s="32" t="s">
        <v>165</v>
      </c>
      <c r="C1266" s="27" t="s">
        <v>105</v>
      </c>
      <c r="D1266" s="28"/>
      <c r="E1266" s="28"/>
      <c r="F1266" s="29" t="n">
        <f aca="false">'📋 Matches'!E42</f>
        <v>0</v>
      </c>
      <c r="G1266" s="29" t="n">
        <f aca="false">'📋 Matches'!F42</f>
        <v>0</v>
      </c>
      <c r="H1266" s="30" t="s">
        <v>148</v>
      </c>
      <c r="I1266" s="30" t="s">
        <v>148</v>
      </c>
      <c r="J1266" s="30" t="s">
        <v>148</v>
      </c>
      <c r="K1266" s="30" t="s">
        <v>148</v>
      </c>
      <c r="L1266" s="30" t="s">
        <v>148</v>
      </c>
    </row>
    <row r="1267" customFormat="false" ht="18" hidden="false" customHeight="true" outlineLevel="0" collapsed="false">
      <c r="A1267" s="25" t="s">
        <v>84</v>
      </c>
      <c r="B1267" s="32" t="s">
        <v>165</v>
      </c>
      <c r="C1267" s="27" t="s">
        <v>106</v>
      </c>
      <c r="D1267" s="28"/>
      <c r="E1267" s="28"/>
      <c r="F1267" s="29" t="n">
        <f aca="false">'📋 Matches'!E43</f>
        <v>0</v>
      </c>
      <c r="G1267" s="29" t="n">
        <f aca="false">'📋 Matches'!F43</f>
        <v>0</v>
      </c>
      <c r="H1267" s="30" t="s">
        <v>148</v>
      </c>
      <c r="I1267" s="30" t="s">
        <v>148</v>
      </c>
      <c r="J1267" s="30" t="s">
        <v>148</v>
      </c>
      <c r="K1267" s="30" t="s">
        <v>148</v>
      </c>
      <c r="L1267" s="30" t="s">
        <v>148</v>
      </c>
    </row>
    <row r="1268" customFormat="false" ht="18" hidden="false" customHeight="true" outlineLevel="0" collapsed="false">
      <c r="A1268" s="25" t="s">
        <v>84</v>
      </c>
      <c r="B1268" s="32" t="s">
        <v>165</v>
      </c>
      <c r="C1268" s="27" t="s">
        <v>107</v>
      </c>
      <c r="D1268" s="28"/>
      <c r="E1268" s="28"/>
      <c r="F1268" s="29" t="n">
        <f aca="false">'📋 Matches'!E44</f>
        <v>0</v>
      </c>
      <c r="G1268" s="29" t="n">
        <f aca="false">'📋 Matches'!F44</f>
        <v>0</v>
      </c>
      <c r="H1268" s="30" t="s">
        <v>148</v>
      </c>
      <c r="I1268" s="30" t="s">
        <v>148</v>
      </c>
      <c r="J1268" s="30" t="s">
        <v>148</v>
      </c>
      <c r="K1268" s="30" t="s">
        <v>148</v>
      </c>
      <c r="L1268" s="30" t="s">
        <v>148</v>
      </c>
    </row>
    <row r="1269" customFormat="false" ht="18" hidden="false" customHeight="true" outlineLevel="0" collapsed="false">
      <c r="A1269" s="25" t="s">
        <v>84</v>
      </c>
      <c r="B1269" s="32" t="s">
        <v>165</v>
      </c>
      <c r="C1269" s="27" t="s">
        <v>108</v>
      </c>
      <c r="D1269" s="28"/>
      <c r="E1269" s="28"/>
      <c r="F1269" s="29" t="n">
        <f aca="false">'📋 Matches'!E45</f>
        <v>0</v>
      </c>
      <c r="G1269" s="29" t="n">
        <f aca="false">'📋 Matches'!F45</f>
        <v>0</v>
      </c>
      <c r="H1269" s="30" t="s">
        <v>148</v>
      </c>
      <c r="I1269" s="30" t="s">
        <v>148</v>
      </c>
      <c r="J1269" s="30" t="s">
        <v>148</v>
      </c>
      <c r="K1269" s="30" t="s">
        <v>148</v>
      </c>
      <c r="L1269" s="30" t="s">
        <v>148</v>
      </c>
    </row>
    <row r="1270" customFormat="false" ht="18" hidden="false" customHeight="true" outlineLevel="0" collapsed="false">
      <c r="A1270" s="25" t="s">
        <v>84</v>
      </c>
      <c r="B1270" s="32" t="s">
        <v>165</v>
      </c>
      <c r="C1270" s="27" t="s">
        <v>109</v>
      </c>
      <c r="D1270" s="28"/>
      <c r="E1270" s="28"/>
      <c r="F1270" s="29" t="n">
        <f aca="false">'📋 Matches'!E46</f>
        <v>0</v>
      </c>
      <c r="G1270" s="29" t="n">
        <f aca="false">'📋 Matches'!F46</f>
        <v>0</v>
      </c>
      <c r="H1270" s="30" t="s">
        <v>148</v>
      </c>
      <c r="I1270" s="30" t="s">
        <v>148</v>
      </c>
      <c r="J1270" s="30" t="s">
        <v>148</v>
      </c>
      <c r="K1270" s="30" t="s">
        <v>148</v>
      </c>
      <c r="L1270" s="30" t="s">
        <v>148</v>
      </c>
    </row>
    <row r="1271" customFormat="false" ht="18" hidden="false" customHeight="true" outlineLevel="0" collapsed="false">
      <c r="A1271" s="25" t="s">
        <v>84</v>
      </c>
      <c r="B1271" s="32" t="s">
        <v>165</v>
      </c>
      <c r="C1271" s="27" t="s">
        <v>110</v>
      </c>
      <c r="D1271" s="28"/>
      <c r="E1271" s="28"/>
      <c r="F1271" s="29" t="n">
        <f aca="false">'📋 Matches'!E47</f>
        <v>0</v>
      </c>
      <c r="G1271" s="29" t="n">
        <f aca="false">'📋 Matches'!F47</f>
        <v>0</v>
      </c>
      <c r="H1271" s="30" t="s">
        <v>148</v>
      </c>
      <c r="I1271" s="30" t="s">
        <v>148</v>
      </c>
      <c r="J1271" s="30" t="s">
        <v>148</v>
      </c>
      <c r="K1271" s="30" t="s">
        <v>148</v>
      </c>
      <c r="L1271" s="30" t="s">
        <v>148</v>
      </c>
    </row>
    <row r="1272" customFormat="false" ht="18" hidden="false" customHeight="true" outlineLevel="0" collapsed="false">
      <c r="A1272" s="25" t="s">
        <v>84</v>
      </c>
      <c r="B1272" s="32" t="s">
        <v>165</v>
      </c>
      <c r="C1272" s="27" t="s">
        <v>111</v>
      </c>
      <c r="D1272" s="28"/>
      <c r="E1272" s="28"/>
      <c r="F1272" s="29" t="n">
        <f aca="false">'📋 Matches'!E48</f>
        <v>0</v>
      </c>
      <c r="G1272" s="29" t="n">
        <f aca="false">'📋 Matches'!F48</f>
        <v>0</v>
      </c>
      <c r="H1272" s="30" t="s">
        <v>148</v>
      </c>
      <c r="I1272" s="30" t="s">
        <v>148</v>
      </c>
      <c r="J1272" s="30" t="s">
        <v>148</v>
      </c>
      <c r="K1272" s="30" t="s">
        <v>148</v>
      </c>
      <c r="L1272" s="30" t="s">
        <v>148</v>
      </c>
    </row>
    <row r="1273" customFormat="false" ht="18" hidden="false" customHeight="true" outlineLevel="0" collapsed="false">
      <c r="A1273" s="25" t="s">
        <v>84</v>
      </c>
      <c r="B1273" s="32" t="s">
        <v>165</v>
      </c>
      <c r="C1273" s="27" t="s">
        <v>112</v>
      </c>
      <c r="D1273" s="28"/>
      <c r="E1273" s="28"/>
      <c r="F1273" s="29" t="n">
        <f aca="false">'📋 Matches'!E49</f>
        <v>0</v>
      </c>
      <c r="G1273" s="29" t="n">
        <f aca="false">'📋 Matches'!F49</f>
        <v>0</v>
      </c>
      <c r="H1273" s="30" t="s">
        <v>148</v>
      </c>
      <c r="I1273" s="30" t="s">
        <v>148</v>
      </c>
      <c r="J1273" s="30" t="s">
        <v>148</v>
      </c>
      <c r="K1273" s="30" t="s">
        <v>148</v>
      </c>
      <c r="L1273" s="30" t="s">
        <v>148</v>
      </c>
    </row>
    <row r="1274" customFormat="false" ht="18" hidden="false" customHeight="true" outlineLevel="0" collapsed="false">
      <c r="A1274" s="25" t="s">
        <v>114</v>
      </c>
      <c r="B1274" s="32" t="s">
        <v>165</v>
      </c>
      <c r="C1274" s="27" t="s">
        <v>115</v>
      </c>
      <c r="D1274" s="28"/>
      <c r="E1274" s="28"/>
      <c r="F1274" s="29" t="n">
        <f aca="false">'📋 Matches'!E50</f>
        <v>0</v>
      </c>
      <c r="G1274" s="29" t="n">
        <f aca="false">'📋 Matches'!F50</f>
        <v>0</v>
      </c>
      <c r="H1274" s="30" t="s">
        <v>148</v>
      </c>
      <c r="I1274" s="30" t="s">
        <v>148</v>
      </c>
      <c r="J1274" s="30" t="s">
        <v>148</v>
      </c>
      <c r="K1274" s="30" t="s">
        <v>148</v>
      </c>
      <c r="L1274" s="30" t="s">
        <v>148</v>
      </c>
    </row>
    <row r="1275" customFormat="false" ht="18" hidden="false" customHeight="true" outlineLevel="0" collapsed="false">
      <c r="A1275" s="25" t="s">
        <v>114</v>
      </c>
      <c r="B1275" s="32" t="s">
        <v>165</v>
      </c>
      <c r="C1275" s="27" t="s">
        <v>116</v>
      </c>
      <c r="D1275" s="28"/>
      <c r="E1275" s="28"/>
      <c r="F1275" s="29" t="n">
        <f aca="false">'📋 Matches'!E51</f>
        <v>0</v>
      </c>
      <c r="G1275" s="29" t="n">
        <f aca="false">'📋 Matches'!F51</f>
        <v>0</v>
      </c>
      <c r="H1275" s="30" t="s">
        <v>148</v>
      </c>
      <c r="I1275" s="30" t="s">
        <v>148</v>
      </c>
      <c r="J1275" s="30" t="s">
        <v>148</v>
      </c>
      <c r="K1275" s="30" t="s">
        <v>148</v>
      </c>
      <c r="L1275" s="30" t="s">
        <v>148</v>
      </c>
    </row>
    <row r="1276" customFormat="false" ht="18" hidden="false" customHeight="true" outlineLevel="0" collapsed="false">
      <c r="A1276" s="25" t="s">
        <v>114</v>
      </c>
      <c r="B1276" s="32" t="s">
        <v>165</v>
      </c>
      <c r="C1276" s="27" t="s">
        <v>117</v>
      </c>
      <c r="D1276" s="28"/>
      <c r="E1276" s="28"/>
      <c r="F1276" s="29" t="n">
        <f aca="false">'📋 Matches'!E52</f>
        <v>0</v>
      </c>
      <c r="G1276" s="29" t="n">
        <f aca="false">'📋 Matches'!F52</f>
        <v>0</v>
      </c>
      <c r="H1276" s="30" t="s">
        <v>148</v>
      </c>
      <c r="I1276" s="30" t="s">
        <v>148</v>
      </c>
      <c r="J1276" s="30" t="s">
        <v>148</v>
      </c>
      <c r="K1276" s="30" t="s">
        <v>148</v>
      </c>
      <c r="L1276" s="30" t="s">
        <v>148</v>
      </c>
    </row>
    <row r="1277" customFormat="false" ht="18" hidden="false" customHeight="true" outlineLevel="0" collapsed="false">
      <c r="A1277" s="25" t="s">
        <v>114</v>
      </c>
      <c r="B1277" s="32" t="s">
        <v>165</v>
      </c>
      <c r="C1277" s="27" t="s">
        <v>118</v>
      </c>
      <c r="D1277" s="28"/>
      <c r="E1277" s="28"/>
      <c r="F1277" s="29" t="n">
        <f aca="false">'📋 Matches'!E53</f>
        <v>0</v>
      </c>
      <c r="G1277" s="29" t="n">
        <f aca="false">'📋 Matches'!F53</f>
        <v>0</v>
      </c>
      <c r="H1277" s="30" t="s">
        <v>148</v>
      </c>
      <c r="I1277" s="30" t="s">
        <v>148</v>
      </c>
      <c r="J1277" s="30" t="s">
        <v>148</v>
      </c>
      <c r="K1277" s="30" t="s">
        <v>148</v>
      </c>
      <c r="L1277" s="30" t="s">
        <v>148</v>
      </c>
    </row>
    <row r="1278" customFormat="false" ht="18" hidden="false" customHeight="true" outlineLevel="0" collapsed="false">
      <c r="A1278" s="25" t="s">
        <v>114</v>
      </c>
      <c r="B1278" s="32" t="s">
        <v>165</v>
      </c>
      <c r="C1278" s="27" t="s">
        <v>119</v>
      </c>
      <c r="D1278" s="28"/>
      <c r="E1278" s="28"/>
      <c r="F1278" s="29" t="n">
        <f aca="false">'📋 Matches'!E54</f>
        <v>0</v>
      </c>
      <c r="G1278" s="29" t="n">
        <f aca="false">'📋 Matches'!F54</f>
        <v>0</v>
      </c>
      <c r="H1278" s="30" t="s">
        <v>148</v>
      </c>
      <c r="I1278" s="30" t="s">
        <v>148</v>
      </c>
      <c r="J1278" s="30" t="s">
        <v>148</v>
      </c>
      <c r="K1278" s="30" t="s">
        <v>148</v>
      </c>
      <c r="L1278" s="30" t="s">
        <v>148</v>
      </c>
    </row>
    <row r="1279" customFormat="false" ht="18" hidden="false" customHeight="true" outlineLevel="0" collapsed="false">
      <c r="A1279" s="25" t="s">
        <v>114</v>
      </c>
      <c r="B1279" s="32" t="s">
        <v>165</v>
      </c>
      <c r="C1279" s="27" t="s">
        <v>120</v>
      </c>
      <c r="D1279" s="28"/>
      <c r="E1279" s="28"/>
      <c r="F1279" s="29" t="n">
        <f aca="false">'📋 Matches'!E55</f>
        <v>0</v>
      </c>
      <c r="G1279" s="29" t="n">
        <f aca="false">'📋 Matches'!F55</f>
        <v>0</v>
      </c>
      <c r="H1279" s="30" t="s">
        <v>148</v>
      </c>
      <c r="I1279" s="30" t="s">
        <v>148</v>
      </c>
      <c r="J1279" s="30" t="s">
        <v>148</v>
      </c>
      <c r="K1279" s="30" t="s">
        <v>148</v>
      </c>
      <c r="L1279" s="30" t="s">
        <v>148</v>
      </c>
    </row>
    <row r="1280" customFormat="false" ht="18" hidden="false" customHeight="true" outlineLevel="0" collapsed="false">
      <c r="A1280" s="25" t="s">
        <v>114</v>
      </c>
      <c r="B1280" s="32" t="s">
        <v>165</v>
      </c>
      <c r="C1280" s="27" t="s">
        <v>121</v>
      </c>
      <c r="D1280" s="28"/>
      <c r="E1280" s="28"/>
      <c r="F1280" s="29" t="n">
        <f aca="false">'📋 Matches'!E56</f>
        <v>0</v>
      </c>
      <c r="G1280" s="29" t="n">
        <f aca="false">'📋 Matches'!F56</f>
        <v>0</v>
      </c>
      <c r="H1280" s="30" t="s">
        <v>148</v>
      </c>
      <c r="I1280" s="30" t="s">
        <v>148</v>
      </c>
      <c r="J1280" s="30" t="s">
        <v>148</v>
      </c>
      <c r="K1280" s="30" t="s">
        <v>148</v>
      </c>
      <c r="L1280" s="30" t="s">
        <v>148</v>
      </c>
    </row>
    <row r="1281" customFormat="false" ht="18" hidden="false" customHeight="true" outlineLevel="0" collapsed="false">
      <c r="A1281" s="25" t="s">
        <v>114</v>
      </c>
      <c r="B1281" s="32" t="s">
        <v>165</v>
      </c>
      <c r="C1281" s="27" t="s">
        <v>122</v>
      </c>
      <c r="D1281" s="28"/>
      <c r="E1281" s="28"/>
      <c r="F1281" s="29" t="n">
        <f aca="false">'📋 Matches'!E57</f>
        <v>0</v>
      </c>
      <c r="G1281" s="29" t="n">
        <f aca="false">'📋 Matches'!F57</f>
        <v>0</v>
      </c>
      <c r="H1281" s="30" t="s">
        <v>148</v>
      </c>
      <c r="I1281" s="30" t="s">
        <v>148</v>
      </c>
      <c r="J1281" s="30" t="s">
        <v>148</v>
      </c>
      <c r="K1281" s="30" t="s">
        <v>148</v>
      </c>
      <c r="L1281" s="30" t="s">
        <v>148</v>
      </c>
    </row>
    <row r="1282" customFormat="false" ht="18" hidden="false" customHeight="true" outlineLevel="0" collapsed="false">
      <c r="A1282" s="25" t="s">
        <v>114</v>
      </c>
      <c r="B1282" s="32" t="s">
        <v>165</v>
      </c>
      <c r="C1282" s="27" t="s">
        <v>123</v>
      </c>
      <c r="D1282" s="28"/>
      <c r="E1282" s="28"/>
      <c r="F1282" s="29" t="n">
        <f aca="false">'📋 Matches'!E58</f>
        <v>0</v>
      </c>
      <c r="G1282" s="29" t="n">
        <f aca="false">'📋 Matches'!F58</f>
        <v>0</v>
      </c>
      <c r="H1282" s="30" t="s">
        <v>148</v>
      </c>
      <c r="I1282" s="30" t="s">
        <v>148</v>
      </c>
      <c r="J1282" s="30" t="s">
        <v>148</v>
      </c>
      <c r="K1282" s="30" t="s">
        <v>148</v>
      </c>
      <c r="L1282" s="30" t="s">
        <v>148</v>
      </c>
    </row>
    <row r="1283" customFormat="false" ht="18" hidden="false" customHeight="true" outlineLevel="0" collapsed="false">
      <c r="A1283" s="25" t="s">
        <v>114</v>
      </c>
      <c r="B1283" s="32" t="s">
        <v>165</v>
      </c>
      <c r="C1283" s="27" t="s">
        <v>124</v>
      </c>
      <c r="D1283" s="28"/>
      <c r="E1283" s="28"/>
      <c r="F1283" s="29" t="n">
        <f aca="false">'📋 Matches'!E59</f>
        <v>0</v>
      </c>
      <c r="G1283" s="29" t="n">
        <f aca="false">'📋 Matches'!F59</f>
        <v>0</v>
      </c>
      <c r="H1283" s="30" t="s">
        <v>148</v>
      </c>
      <c r="I1283" s="30" t="s">
        <v>148</v>
      </c>
      <c r="J1283" s="30" t="s">
        <v>148</v>
      </c>
      <c r="K1283" s="30" t="s">
        <v>148</v>
      </c>
      <c r="L1283" s="30" t="s">
        <v>148</v>
      </c>
    </row>
    <row r="1284" customFormat="false" ht="18" hidden="false" customHeight="true" outlineLevel="0" collapsed="false">
      <c r="A1284" s="25" t="s">
        <v>114</v>
      </c>
      <c r="B1284" s="32" t="s">
        <v>165</v>
      </c>
      <c r="C1284" s="27" t="s">
        <v>125</v>
      </c>
      <c r="D1284" s="28"/>
      <c r="E1284" s="28"/>
      <c r="F1284" s="29" t="n">
        <f aca="false">'📋 Matches'!E60</f>
        <v>0</v>
      </c>
      <c r="G1284" s="29" t="n">
        <f aca="false">'📋 Matches'!F60</f>
        <v>0</v>
      </c>
      <c r="H1284" s="30" t="s">
        <v>148</v>
      </c>
      <c r="I1284" s="30" t="s">
        <v>148</v>
      </c>
      <c r="J1284" s="30" t="s">
        <v>148</v>
      </c>
      <c r="K1284" s="30" t="s">
        <v>148</v>
      </c>
      <c r="L1284" s="30" t="s">
        <v>148</v>
      </c>
    </row>
    <row r="1285" customFormat="false" ht="18" hidden="false" customHeight="true" outlineLevel="0" collapsed="false">
      <c r="A1285" s="25" t="s">
        <v>114</v>
      </c>
      <c r="B1285" s="32" t="s">
        <v>165</v>
      </c>
      <c r="C1285" s="27" t="s">
        <v>126</v>
      </c>
      <c r="D1285" s="28"/>
      <c r="E1285" s="28"/>
      <c r="F1285" s="29" t="n">
        <f aca="false">'📋 Matches'!E61</f>
        <v>0</v>
      </c>
      <c r="G1285" s="29" t="n">
        <f aca="false">'📋 Matches'!F61</f>
        <v>0</v>
      </c>
      <c r="H1285" s="30" t="s">
        <v>148</v>
      </c>
      <c r="I1285" s="30" t="s">
        <v>148</v>
      </c>
      <c r="J1285" s="30" t="s">
        <v>148</v>
      </c>
      <c r="K1285" s="30" t="s">
        <v>148</v>
      </c>
      <c r="L1285" s="30" t="s">
        <v>148</v>
      </c>
    </row>
    <row r="1286" customFormat="false" ht="18" hidden="false" customHeight="true" outlineLevel="0" collapsed="false">
      <c r="A1286" s="25" t="s">
        <v>114</v>
      </c>
      <c r="B1286" s="32" t="s">
        <v>165</v>
      </c>
      <c r="C1286" s="27" t="s">
        <v>127</v>
      </c>
      <c r="D1286" s="28"/>
      <c r="E1286" s="28"/>
      <c r="F1286" s="29" t="n">
        <f aca="false">'📋 Matches'!E62</f>
        <v>0</v>
      </c>
      <c r="G1286" s="29" t="n">
        <f aca="false">'📋 Matches'!F62</f>
        <v>0</v>
      </c>
      <c r="H1286" s="30" t="s">
        <v>148</v>
      </c>
      <c r="I1286" s="30" t="s">
        <v>148</v>
      </c>
      <c r="J1286" s="30" t="s">
        <v>148</v>
      </c>
      <c r="K1286" s="30" t="s">
        <v>148</v>
      </c>
      <c r="L1286" s="30" t="s">
        <v>148</v>
      </c>
    </row>
    <row r="1287" customFormat="false" ht="18" hidden="false" customHeight="true" outlineLevel="0" collapsed="false">
      <c r="A1287" s="25" t="s">
        <v>114</v>
      </c>
      <c r="B1287" s="32" t="s">
        <v>165</v>
      </c>
      <c r="C1287" s="27" t="s">
        <v>128</v>
      </c>
      <c r="D1287" s="28"/>
      <c r="E1287" s="28"/>
      <c r="F1287" s="29" t="n">
        <f aca="false">'📋 Matches'!E63</f>
        <v>0</v>
      </c>
      <c r="G1287" s="29" t="n">
        <f aca="false">'📋 Matches'!F63</f>
        <v>0</v>
      </c>
      <c r="H1287" s="30" t="s">
        <v>148</v>
      </c>
      <c r="I1287" s="30" t="s">
        <v>148</v>
      </c>
      <c r="J1287" s="30" t="s">
        <v>148</v>
      </c>
      <c r="K1287" s="30" t="s">
        <v>148</v>
      </c>
      <c r="L1287" s="30" t="s">
        <v>148</v>
      </c>
    </row>
    <row r="1288" customFormat="false" ht="18" hidden="false" customHeight="true" outlineLevel="0" collapsed="false">
      <c r="A1288" s="25" t="s">
        <v>114</v>
      </c>
      <c r="B1288" s="32" t="s">
        <v>165</v>
      </c>
      <c r="C1288" s="27" t="s">
        <v>129</v>
      </c>
      <c r="D1288" s="28"/>
      <c r="E1288" s="28"/>
      <c r="F1288" s="29" t="n">
        <f aca="false">'📋 Matches'!E64</f>
        <v>0</v>
      </c>
      <c r="G1288" s="29" t="n">
        <f aca="false">'📋 Matches'!F64</f>
        <v>0</v>
      </c>
      <c r="H1288" s="30" t="s">
        <v>148</v>
      </c>
      <c r="I1288" s="30" t="s">
        <v>148</v>
      </c>
      <c r="J1288" s="30" t="s">
        <v>148</v>
      </c>
      <c r="K1288" s="30" t="s">
        <v>148</v>
      </c>
      <c r="L1288" s="30" t="s">
        <v>148</v>
      </c>
    </row>
    <row r="1289" customFormat="false" ht="18" hidden="false" customHeight="true" outlineLevel="0" collapsed="false">
      <c r="A1289" s="25" t="s">
        <v>114</v>
      </c>
      <c r="B1289" s="32" t="s">
        <v>165</v>
      </c>
      <c r="C1289" s="27" t="s">
        <v>130</v>
      </c>
      <c r="D1289" s="28"/>
      <c r="E1289" s="28"/>
      <c r="F1289" s="29" t="n">
        <f aca="false">'📋 Matches'!E65</f>
        <v>0</v>
      </c>
      <c r="G1289" s="29" t="n">
        <f aca="false">'📋 Matches'!F65</f>
        <v>0</v>
      </c>
      <c r="H1289" s="30" t="s">
        <v>148</v>
      </c>
      <c r="I1289" s="30" t="s">
        <v>148</v>
      </c>
      <c r="J1289" s="30" t="s">
        <v>148</v>
      </c>
      <c r="K1289" s="30" t="s">
        <v>148</v>
      </c>
      <c r="L1289" s="30" t="s">
        <v>148</v>
      </c>
    </row>
    <row r="1290" customFormat="false" ht="18" hidden="false" customHeight="true" outlineLevel="0" collapsed="false">
      <c r="A1290" s="25" t="s">
        <v>114</v>
      </c>
      <c r="B1290" s="32" t="s">
        <v>165</v>
      </c>
      <c r="C1290" s="27" t="s">
        <v>131</v>
      </c>
      <c r="D1290" s="28"/>
      <c r="E1290" s="28"/>
      <c r="F1290" s="29" t="n">
        <f aca="false">'📋 Matches'!E66</f>
        <v>0</v>
      </c>
      <c r="G1290" s="29" t="n">
        <f aca="false">'📋 Matches'!F66</f>
        <v>0</v>
      </c>
      <c r="H1290" s="30" t="s">
        <v>148</v>
      </c>
      <c r="I1290" s="30" t="s">
        <v>148</v>
      </c>
      <c r="J1290" s="30" t="s">
        <v>148</v>
      </c>
      <c r="K1290" s="30" t="s">
        <v>148</v>
      </c>
      <c r="L1290" s="30" t="s">
        <v>148</v>
      </c>
    </row>
    <row r="1291" customFormat="false" ht="18" hidden="false" customHeight="true" outlineLevel="0" collapsed="false">
      <c r="A1291" s="25" t="s">
        <v>114</v>
      </c>
      <c r="B1291" s="32" t="s">
        <v>165</v>
      </c>
      <c r="C1291" s="27" t="s">
        <v>132</v>
      </c>
      <c r="D1291" s="28"/>
      <c r="E1291" s="28"/>
      <c r="F1291" s="29" t="n">
        <f aca="false">'📋 Matches'!E67</f>
        <v>0</v>
      </c>
      <c r="G1291" s="29" t="n">
        <f aca="false">'📋 Matches'!F67</f>
        <v>0</v>
      </c>
      <c r="H1291" s="30" t="s">
        <v>148</v>
      </c>
      <c r="I1291" s="30" t="s">
        <v>148</v>
      </c>
      <c r="J1291" s="30" t="s">
        <v>148</v>
      </c>
      <c r="K1291" s="30" t="s">
        <v>148</v>
      </c>
      <c r="L1291" s="30" t="s">
        <v>148</v>
      </c>
    </row>
    <row r="1292" customFormat="false" ht="18" hidden="false" customHeight="true" outlineLevel="0" collapsed="false">
      <c r="A1292" s="25" t="s">
        <v>114</v>
      </c>
      <c r="B1292" s="32" t="s">
        <v>165</v>
      </c>
      <c r="C1292" s="27" t="s">
        <v>133</v>
      </c>
      <c r="D1292" s="28"/>
      <c r="E1292" s="28"/>
      <c r="F1292" s="29" t="n">
        <f aca="false">'📋 Matches'!E68</f>
        <v>0</v>
      </c>
      <c r="G1292" s="29" t="n">
        <f aca="false">'📋 Matches'!F68</f>
        <v>0</v>
      </c>
      <c r="H1292" s="30" t="s">
        <v>148</v>
      </c>
      <c r="I1292" s="30" t="s">
        <v>148</v>
      </c>
      <c r="J1292" s="30" t="s">
        <v>148</v>
      </c>
      <c r="K1292" s="30" t="s">
        <v>148</v>
      </c>
      <c r="L1292" s="30" t="s">
        <v>148</v>
      </c>
    </row>
    <row r="1293" customFormat="false" ht="18" hidden="false" customHeight="true" outlineLevel="0" collapsed="false">
      <c r="A1293" s="25" t="s">
        <v>114</v>
      </c>
      <c r="B1293" s="32" t="s">
        <v>165</v>
      </c>
      <c r="C1293" s="27" t="s">
        <v>134</v>
      </c>
      <c r="D1293" s="28"/>
      <c r="E1293" s="28"/>
      <c r="F1293" s="29" t="n">
        <f aca="false">'📋 Matches'!E69</f>
        <v>0</v>
      </c>
      <c r="G1293" s="29" t="n">
        <f aca="false">'📋 Matches'!F69</f>
        <v>0</v>
      </c>
      <c r="H1293" s="30" t="s">
        <v>148</v>
      </c>
      <c r="I1293" s="30" t="s">
        <v>148</v>
      </c>
      <c r="J1293" s="30" t="s">
        <v>148</v>
      </c>
      <c r="K1293" s="30" t="s">
        <v>148</v>
      </c>
      <c r="L1293" s="30" t="s">
        <v>148</v>
      </c>
    </row>
    <row r="1294" customFormat="false" ht="18" hidden="false" customHeight="true" outlineLevel="0" collapsed="false">
      <c r="A1294" s="25" t="s">
        <v>114</v>
      </c>
      <c r="B1294" s="32" t="s">
        <v>165</v>
      </c>
      <c r="C1294" s="27" t="s">
        <v>135</v>
      </c>
      <c r="D1294" s="28"/>
      <c r="E1294" s="28"/>
      <c r="F1294" s="29" t="n">
        <f aca="false">'📋 Matches'!E70</f>
        <v>0</v>
      </c>
      <c r="G1294" s="29" t="n">
        <f aca="false">'📋 Matches'!F70</f>
        <v>0</v>
      </c>
      <c r="H1294" s="30" t="s">
        <v>148</v>
      </c>
      <c r="I1294" s="30" t="s">
        <v>148</v>
      </c>
      <c r="J1294" s="30" t="s">
        <v>148</v>
      </c>
      <c r="K1294" s="30" t="s">
        <v>148</v>
      </c>
      <c r="L1294" s="30" t="s">
        <v>148</v>
      </c>
    </row>
    <row r="1295" customFormat="false" ht="18" hidden="false" customHeight="true" outlineLevel="0" collapsed="false">
      <c r="A1295" s="25" t="s">
        <v>114</v>
      </c>
      <c r="B1295" s="32" t="s">
        <v>165</v>
      </c>
      <c r="C1295" s="27" t="s">
        <v>136</v>
      </c>
      <c r="D1295" s="28"/>
      <c r="E1295" s="28"/>
      <c r="F1295" s="29" t="n">
        <f aca="false">'📋 Matches'!E71</f>
        <v>0</v>
      </c>
      <c r="G1295" s="29" t="n">
        <f aca="false">'📋 Matches'!F71</f>
        <v>0</v>
      </c>
      <c r="H1295" s="30" t="s">
        <v>148</v>
      </c>
      <c r="I1295" s="30" t="s">
        <v>148</v>
      </c>
      <c r="J1295" s="30" t="s">
        <v>148</v>
      </c>
      <c r="K1295" s="30" t="s">
        <v>148</v>
      </c>
      <c r="L1295" s="30" t="s">
        <v>148</v>
      </c>
    </row>
    <row r="1296" customFormat="false" ht="18" hidden="false" customHeight="true" outlineLevel="0" collapsed="false">
      <c r="A1296" s="25" t="s">
        <v>114</v>
      </c>
      <c r="B1296" s="32" t="s">
        <v>165</v>
      </c>
      <c r="C1296" s="27" t="s">
        <v>137</v>
      </c>
      <c r="D1296" s="28"/>
      <c r="E1296" s="28"/>
      <c r="F1296" s="29" t="n">
        <f aca="false">'📋 Matches'!E72</f>
        <v>0</v>
      </c>
      <c r="G1296" s="29" t="n">
        <f aca="false">'📋 Matches'!F72</f>
        <v>0</v>
      </c>
      <c r="H1296" s="30" t="s">
        <v>148</v>
      </c>
      <c r="I1296" s="30" t="s">
        <v>148</v>
      </c>
      <c r="J1296" s="30" t="s">
        <v>148</v>
      </c>
      <c r="K1296" s="30" t="s">
        <v>148</v>
      </c>
      <c r="L1296" s="30" t="s">
        <v>148</v>
      </c>
    </row>
    <row r="1297" customFormat="false" ht="18" hidden="false" customHeight="true" outlineLevel="0" collapsed="false">
      <c r="A1297" s="25" t="s">
        <v>114</v>
      </c>
      <c r="B1297" s="32" t="s">
        <v>165</v>
      </c>
      <c r="C1297" s="27" t="s">
        <v>138</v>
      </c>
      <c r="D1297" s="28"/>
      <c r="E1297" s="28"/>
      <c r="F1297" s="29" t="n">
        <f aca="false">'📋 Matches'!E73</f>
        <v>0</v>
      </c>
      <c r="G1297" s="29" t="n">
        <f aca="false">'📋 Matches'!F73</f>
        <v>0</v>
      </c>
      <c r="H1297" s="30" t="s">
        <v>148</v>
      </c>
      <c r="I1297" s="30" t="s">
        <v>148</v>
      </c>
      <c r="J1297" s="30" t="s">
        <v>148</v>
      </c>
      <c r="K1297" s="30" t="s">
        <v>148</v>
      </c>
      <c r="L1297" s="30" t="s">
        <v>148</v>
      </c>
    </row>
    <row r="1298" customFormat="false" ht="18" hidden="false" customHeight="true" outlineLevel="0" collapsed="false">
      <c r="A1298" s="17" t="s">
        <v>9</v>
      </c>
      <c r="B1298" s="31" t="s">
        <v>166</v>
      </c>
      <c r="C1298" s="19" t="s">
        <v>10</v>
      </c>
      <c r="D1298" s="20" t="n">
        <v>2</v>
      </c>
      <c r="E1298" s="20" t="n">
        <v>0</v>
      </c>
      <c r="F1298" s="21" t="n">
        <f aca="false">'📋 Matches'!E2</f>
        <v>2</v>
      </c>
      <c r="G1298" s="21" t="n">
        <f aca="false">'📋 Matches'!F2</f>
        <v>0</v>
      </c>
      <c r="H1298" s="22" t="n">
        <f aca="false">IF(AND(ISNUMBER(F1298),ISNUMBER(G1298)),IF(SIGN(D1298-E1298)=SIGN(F1298-G1298),48,0),"")</f>
        <v>48</v>
      </c>
      <c r="I1298" s="22" t="n">
        <f aca="false">IF(AND(ISNUMBER(F1298),ISNUMBER(G1298)),IF(D1298=F1298,15,0),"")</f>
        <v>15</v>
      </c>
      <c r="J1298" s="22" t="n">
        <f aca="false">IF(AND(ISNUMBER(F1298),ISNUMBER(G1298)),IF(E1298=G1298,15,0),"")</f>
        <v>15</v>
      </c>
      <c r="K1298" s="22" t="n">
        <f aca="false">IF(AND(ISNUMBER(F1298),ISNUMBER(G1298)),IF(ABS(D1298-E1298)=ABS(F1298-G1298),12,0),"")</f>
        <v>12</v>
      </c>
      <c r="L1298" s="23" t="n">
        <f aca="false">IF(ISNUMBER(H1298),H1298+I1298+J1298+K1298,"")</f>
        <v>90</v>
      </c>
    </row>
    <row r="1299" customFormat="false" ht="18" hidden="false" customHeight="true" outlineLevel="0" collapsed="false">
      <c r="A1299" s="17" t="s">
        <v>9</v>
      </c>
      <c r="B1299" s="31" t="s">
        <v>166</v>
      </c>
      <c r="C1299" s="19" t="s">
        <v>14</v>
      </c>
      <c r="D1299" s="20" t="n">
        <v>1</v>
      </c>
      <c r="E1299" s="20" t="n">
        <v>1</v>
      </c>
      <c r="F1299" s="21" t="n">
        <f aca="false">'📋 Matches'!E3</f>
        <v>2</v>
      </c>
      <c r="G1299" s="21" t="n">
        <f aca="false">'📋 Matches'!F3</f>
        <v>1</v>
      </c>
      <c r="H1299" s="22" t="n">
        <f aca="false">IF(AND(ISNUMBER(F1299),ISNUMBER(G1299)),IF(SIGN(D1299-E1299)=SIGN(F1299-G1299),48,0),"")</f>
        <v>0</v>
      </c>
      <c r="I1299" s="22" t="n">
        <f aca="false">IF(AND(ISNUMBER(F1299),ISNUMBER(G1299)),IF(D1299=F1299,15,0),"")</f>
        <v>0</v>
      </c>
      <c r="J1299" s="22" t="n">
        <f aca="false">IF(AND(ISNUMBER(F1299),ISNUMBER(G1299)),IF(E1299=G1299,15,0),"")</f>
        <v>15</v>
      </c>
      <c r="K1299" s="22" t="n">
        <f aca="false">IF(AND(ISNUMBER(F1299),ISNUMBER(G1299)),IF(ABS(D1299-E1299)=ABS(F1299-G1299),12,0),"")</f>
        <v>0</v>
      </c>
      <c r="L1299" s="23" t="n">
        <f aca="false">IF(ISNUMBER(H1299),H1299+I1299+J1299+K1299,"")</f>
        <v>15</v>
      </c>
    </row>
    <row r="1300" customFormat="false" ht="18" hidden="false" customHeight="true" outlineLevel="0" collapsed="false">
      <c r="A1300" s="17" t="s">
        <v>9</v>
      </c>
      <c r="B1300" s="31" t="s">
        <v>166</v>
      </c>
      <c r="C1300" s="19" t="s">
        <v>17</v>
      </c>
      <c r="D1300" s="20" t="n">
        <v>1</v>
      </c>
      <c r="E1300" s="20" t="n">
        <v>2</v>
      </c>
      <c r="F1300" s="21" t="n">
        <f aca="false">'📋 Matches'!E4</f>
        <v>1</v>
      </c>
      <c r="G1300" s="21" t="n">
        <f aca="false">'📋 Matches'!F4</f>
        <v>1</v>
      </c>
      <c r="H1300" s="22" t="n">
        <f aca="false">IF(AND(ISNUMBER(F1300),ISNUMBER(G1300)),IF(SIGN(D1300-E1300)=SIGN(F1300-G1300),48,0),"")</f>
        <v>0</v>
      </c>
      <c r="I1300" s="22" t="n">
        <f aca="false">IF(AND(ISNUMBER(F1300),ISNUMBER(G1300)),IF(D1300=F1300,15,0),"")</f>
        <v>15</v>
      </c>
      <c r="J1300" s="22" t="n">
        <f aca="false">IF(AND(ISNUMBER(F1300),ISNUMBER(G1300)),IF(E1300=G1300,15,0),"")</f>
        <v>0</v>
      </c>
      <c r="K1300" s="22" t="n">
        <f aca="false">IF(AND(ISNUMBER(F1300),ISNUMBER(G1300)),IF(ABS(D1300-E1300)=ABS(F1300-G1300),12,0),"")</f>
        <v>0</v>
      </c>
      <c r="L1300" s="23" t="n">
        <f aca="false">IF(ISNUMBER(H1300),H1300+I1300+J1300+K1300,"")</f>
        <v>15</v>
      </c>
    </row>
    <row r="1301" customFormat="false" ht="18" hidden="false" customHeight="true" outlineLevel="0" collapsed="false">
      <c r="A1301" s="17" t="s">
        <v>9</v>
      </c>
      <c r="B1301" s="31" t="s">
        <v>166</v>
      </c>
      <c r="C1301" s="19" t="s">
        <v>20</v>
      </c>
      <c r="D1301" s="20" t="n">
        <v>1</v>
      </c>
      <c r="E1301" s="20" t="n">
        <v>2</v>
      </c>
      <c r="F1301" s="21" t="n">
        <f aca="false">'📋 Matches'!E5</f>
        <v>4</v>
      </c>
      <c r="G1301" s="21" t="n">
        <f aca="false">'📋 Matches'!F5</f>
        <v>1</v>
      </c>
      <c r="H1301" s="22" t="n">
        <f aca="false">IF(AND(ISNUMBER(F1301),ISNUMBER(G1301)),IF(SIGN(D1301-E1301)=SIGN(F1301-G1301),48,0),"")</f>
        <v>0</v>
      </c>
      <c r="I1301" s="22" t="n">
        <f aca="false">IF(AND(ISNUMBER(F1301),ISNUMBER(G1301)),IF(D1301=F1301,15,0),"")</f>
        <v>0</v>
      </c>
      <c r="J1301" s="22" t="n">
        <f aca="false">IF(AND(ISNUMBER(F1301),ISNUMBER(G1301)),IF(E1301=G1301,15,0),"")</f>
        <v>0</v>
      </c>
      <c r="K1301" s="22" t="n">
        <f aca="false">IF(AND(ISNUMBER(F1301),ISNUMBER(G1301)),IF(ABS(D1301-E1301)=ABS(F1301-G1301),12,0),"")</f>
        <v>0</v>
      </c>
      <c r="L1301" s="23" t="n">
        <f aca="false">IF(ISNUMBER(H1301),H1301+I1301+J1301+K1301,"")</f>
        <v>0</v>
      </c>
    </row>
    <row r="1302" customFormat="false" ht="18" hidden="false" customHeight="true" outlineLevel="0" collapsed="false">
      <c r="A1302" s="17" t="s">
        <v>9</v>
      </c>
      <c r="B1302" s="31" t="s">
        <v>166</v>
      </c>
      <c r="C1302" s="19" t="s">
        <v>23</v>
      </c>
      <c r="D1302" s="20" t="n">
        <v>0</v>
      </c>
      <c r="E1302" s="20" t="n">
        <v>2</v>
      </c>
      <c r="F1302" s="21" t="n">
        <f aca="false">'📋 Matches'!E6</f>
        <v>0</v>
      </c>
      <c r="G1302" s="21" t="n">
        <f aca="false">'📋 Matches'!F6</f>
        <v>0</v>
      </c>
      <c r="H1302" s="22" t="str">
        <f aca="false">IF(AND(ISNUMBER(F1302),ISNUMBER(G1302)),IF(SIGN(D1302-E1302)=SIGN(F1302-G1302),48,0),"")</f>
        <v/>
      </c>
      <c r="I1302" s="22" t="str">
        <f aca="false">IF(AND(ISNUMBER(F1302),ISNUMBER(G1302)),IF(D1302=F1302,15,0),"")</f>
        <v/>
      </c>
      <c r="J1302" s="22" t="str">
        <f aca="false">IF(AND(ISNUMBER(F1302),ISNUMBER(G1302)),IF(E1302=G1302,15,0),"")</f>
        <v/>
      </c>
      <c r="K1302" s="22" t="str">
        <f aca="false">IF(AND(ISNUMBER(F1302),ISNUMBER(G1302)),IF(ABS(D1302-E1302)=ABS(F1302-G1302),12,0),"")</f>
        <v/>
      </c>
      <c r="L1302" s="23" t="str">
        <f aca="false">IF(ISNUMBER(H1302),H1302+I1302+J1302+K1302,"")</f>
        <v/>
      </c>
    </row>
    <row r="1303" customFormat="false" ht="18" hidden="false" customHeight="true" outlineLevel="0" collapsed="false">
      <c r="A1303" s="17" t="s">
        <v>9</v>
      </c>
      <c r="B1303" s="31" t="s">
        <v>166</v>
      </c>
      <c r="C1303" s="19" t="s">
        <v>27</v>
      </c>
      <c r="D1303" s="20" t="n">
        <v>3</v>
      </c>
      <c r="E1303" s="20" t="n">
        <v>1</v>
      </c>
      <c r="F1303" s="21" t="n">
        <f aca="false">'📋 Matches'!E7</f>
        <v>0</v>
      </c>
      <c r="G1303" s="21" t="n">
        <f aca="false">'📋 Matches'!F7</f>
        <v>0</v>
      </c>
      <c r="H1303" s="22" t="str">
        <f aca="false">IF(AND(ISNUMBER(F1303),ISNUMBER(G1303)),IF(SIGN(D1303-E1303)=SIGN(F1303-G1303),48,0),"")</f>
        <v/>
      </c>
      <c r="I1303" s="22" t="str">
        <f aca="false">IF(AND(ISNUMBER(F1303),ISNUMBER(G1303)),IF(D1303=F1303,15,0),"")</f>
        <v/>
      </c>
      <c r="J1303" s="22" t="str">
        <f aca="false">IF(AND(ISNUMBER(F1303),ISNUMBER(G1303)),IF(E1303=G1303,15,0),"")</f>
        <v/>
      </c>
      <c r="K1303" s="22" t="str">
        <f aca="false">IF(AND(ISNUMBER(F1303),ISNUMBER(G1303)),IF(ABS(D1303-E1303)=ABS(F1303-G1303),12,0),"")</f>
        <v/>
      </c>
      <c r="L1303" s="23" t="str">
        <f aca="false">IF(ISNUMBER(H1303),H1303+I1303+J1303+K1303,"")</f>
        <v/>
      </c>
    </row>
    <row r="1304" customFormat="false" ht="18" hidden="false" customHeight="true" outlineLevel="0" collapsed="false">
      <c r="A1304" s="17" t="s">
        <v>9</v>
      </c>
      <c r="B1304" s="31" t="s">
        <v>166</v>
      </c>
      <c r="C1304" s="19" t="s">
        <v>30</v>
      </c>
      <c r="D1304" s="20" t="n">
        <v>0</v>
      </c>
      <c r="E1304" s="20" t="n">
        <v>3</v>
      </c>
      <c r="F1304" s="21" t="n">
        <f aca="false">'📋 Matches'!E8</f>
        <v>0</v>
      </c>
      <c r="G1304" s="21" t="n">
        <f aca="false">'📋 Matches'!F8</f>
        <v>0</v>
      </c>
      <c r="H1304" s="22" t="str">
        <f aca="false">IF(AND(ISNUMBER(F1304),ISNUMBER(G1304)),IF(SIGN(D1304-E1304)=SIGN(F1304-G1304),48,0),"")</f>
        <v/>
      </c>
      <c r="I1304" s="22" t="str">
        <f aca="false">IF(AND(ISNUMBER(F1304),ISNUMBER(G1304)),IF(D1304=F1304,15,0),"")</f>
        <v/>
      </c>
      <c r="J1304" s="22" t="str">
        <f aca="false">IF(AND(ISNUMBER(F1304),ISNUMBER(G1304)),IF(E1304=G1304,15,0),"")</f>
        <v/>
      </c>
      <c r="K1304" s="22" t="str">
        <f aca="false">IF(AND(ISNUMBER(F1304),ISNUMBER(G1304)),IF(ABS(D1304-E1304)=ABS(F1304-G1304),12,0),"")</f>
        <v/>
      </c>
      <c r="L1304" s="23" t="str">
        <f aca="false">IF(ISNUMBER(H1304),H1304+I1304+J1304+K1304,"")</f>
        <v/>
      </c>
    </row>
    <row r="1305" customFormat="false" ht="18" hidden="false" customHeight="true" outlineLevel="0" collapsed="false">
      <c r="A1305" s="17" t="s">
        <v>9</v>
      </c>
      <c r="B1305" s="31" t="s">
        <v>166</v>
      </c>
      <c r="C1305" s="19" t="s">
        <v>33</v>
      </c>
      <c r="D1305" s="20" t="n">
        <v>1</v>
      </c>
      <c r="E1305" s="20" t="n">
        <v>3</v>
      </c>
      <c r="F1305" s="21" t="n">
        <f aca="false">'📋 Matches'!E9</f>
        <v>0</v>
      </c>
      <c r="G1305" s="21" t="n">
        <f aca="false">'📋 Matches'!F9</f>
        <v>0</v>
      </c>
      <c r="H1305" s="22" t="str">
        <f aca="false">IF(AND(ISNUMBER(F1305),ISNUMBER(G1305)),IF(SIGN(D1305-E1305)=SIGN(F1305-G1305),48,0),"")</f>
        <v/>
      </c>
      <c r="I1305" s="22" t="str">
        <f aca="false">IF(AND(ISNUMBER(F1305),ISNUMBER(G1305)),IF(D1305=F1305,15,0),"")</f>
        <v/>
      </c>
      <c r="J1305" s="22" t="str">
        <f aca="false">IF(AND(ISNUMBER(F1305),ISNUMBER(G1305)),IF(E1305=G1305,15,0),"")</f>
        <v/>
      </c>
      <c r="K1305" s="22" t="str">
        <f aca="false">IF(AND(ISNUMBER(F1305),ISNUMBER(G1305)),IF(ABS(D1305-E1305)=ABS(F1305-G1305),12,0),"")</f>
        <v/>
      </c>
      <c r="L1305" s="23" t="str">
        <f aca="false">IF(ISNUMBER(H1305),H1305+I1305+J1305+K1305,"")</f>
        <v/>
      </c>
    </row>
    <row r="1306" customFormat="false" ht="18" hidden="false" customHeight="true" outlineLevel="0" collapsed="false">
      <c r="A1306" s="17" t="s">
        <v>9</v>
      </c>
      <c r="B1306" s="31" t="s">
        <v>166</v>
      </c>
      <c r="C1306" s="19" t="s">
        <v>36</v>
      </c>
      <c r="D1306" s="20" t="n">
        <v>4</v>
      </c>
      <c r="E1306" s="20" t="n">
        <v>0</v>
      </c>
      <c r="F1306" s="21" t="n">
        <f aca="false">'📋 Matches'!E10</f>
        <v>0</v>
      </c>
      <c r="G1306" s="21" t="n">
        <f aca="false">'📋 Matches'!F10</f>
        <v>0</v>
      </c>
      <c r="H1306" s="22" t="str">
        <f aca="false">IF(AND(ISNUMBER(F1306),ISNUMBER(G1306)),IF(SIGN(D1306-E1306)=SIGN(F1306-G1306),48,0),"")</f>
        <v/>
      </c>
      <c r="I1306" s="22" t="str">
        <f aca="false">IF(AND(ISNUMBER(F1306),ISNUMBER(G1306)),IF(D1306=F1306,15,0),"")</f>
        <v/>
      </c>
      <c r="J1306" s="22" t="str">
        <f aca="false">IF(AND(ISNUMBER(F1306),ISNUMBER(G1306)),IF(E1306=G1306,15,0),"")</f>
        <v/>
      </c>
      <c r="K1306" s="22" t="str">
        <f aca="false">IF(AND(ISNUMBER(F1306),ISNUMBER(G1306)),IF(ABS(D1306-E1306)=ABS(F1306-G1306),12,0),"")</f>
        <v/>
      </c>
      <c r="L1306" s="23" t="str">
        <f aca="false">IF(ISNUMBER(H1306),H1306+I1306+J1306+K1306,"")</f>
        <v/>
      </c>
    </row>
    <row r="1307" customFormat="false" ht="18" hidden="false" customHeight="true" outlineLevel="0" collapsed="false">
      <c r="A1307" s="17" t="s">
        <v>9</v>
      </c>
      <c r="B1307" s="31" t="s">
        <v>166</v>
      </c>
      <c r="C1307" s="19" t="s">
        <v>39</v>
      </c>
      <c r="D1307" s="20" t="n">
        <v>3</v>
      </c>
      <c r="E1307" s="20" t="n">
        <v>1</v>
      </c>
      <c r="F1307" s="21" t="n">
        <f aca="false">'📋 Matches'!E11</f>
        <v>0</v>
      </c>
      <c r="G1307" s="21" t="n">
        <f aca="false">'📋 Matches'!F11</f>
        <v>0</v>
      </c>
      <c r="H1307" s="22" t="str">
        <f aca="false">IF(AND(ISNUMBER(F1307),ISNUMBER(G1307)),IF(SIGN(D1307-E1307)=SIGN(F1307-G1307),48,0),"")</f>
        <v/>
      </c>
      <c r="I1307" s="22" t="str">
        <f aca="false">IF(AND(ISNUMBER(F1307),ISNUMBER(G1307)),IF(D1307=F1307,15,0),"")</f>
        <v/>
      </c>
      <c r="J1307" s="22" t="str">
        <f aca="false">IF(AND(ISNUMBER(F1307),ISNUMBER(G1307)),IF(E1307=G1307,15,0),"")</f>
        <v/>
      </c>
      <c r="K1307" s="22" t="str">
        <f aca="false">IF(AND(ISNUMBER(F1307),ISNUMBER(G1307)),IF(ABS(D1307-E1307)=ABS(F1307-G1307),12,0),"")</f>
        <v/>
      </c>
      <c r="L1307" s="23" t="str">
        <f aca="false">IF(ISNUMBER(H1307),H1307+I1307+J1307+K1307,"")</f>
        <v/>
      </c>
    </row>
    <row r="1308" customFormat="false" ht="18" hidden="false" customHeight="true" outlineLevel="0" collapsed="false">
      <c r="A1308" s="17" t="s">
        <v>9</v>
      </c>
      <c r="B1308" s="31" t="s">
        <v>166</v>
      </c>
      <c r="C1308" s="19" t="s">
        <v>42</v>
      </c>
      <c r="D1308" s="20" t="n">
        <v>0</v>
      </c>
      <c r="E1308" s="20" t="n">
        <v>2</v>
      </c>
      <c r="F1308" s="21" t="n">
        <f aca="false">'📋 Matches'!E12</f>
        <v>0</v>
      </c>
      <c r="G1308" s="21" t="n">
        <f aca="false">'📋 Matches'!F12</f>
        <v>0</v>
      </c>
      <c r="H1308" s="22" t="str">
        <f aca="false">IF(AND(ISNUMBER(F1308),ISNUMBER(G1308)),IF(SIGN(D1308-E1308)=SIGN(F1308-G1308),48,0),"")</f>
        <v/>
      </c>
      <c r="I1308" s="22" t="str">
        <f aca="false">IF(AND(ISNUMBER(F1308),ISNUMBER(G1308)),IF(D1308=F1308,15,0),"")</f>
        <v/>
      </c>
      <c r="J1308" s="22" t="str">
        <f aca="false">IF(AND(ISNUMBER(F1308),ISNUMBER(G1308)),IF(E1308=G1308,15,0),"")</f>
        <v/>
      </c>
      <c r="K1308" s="22" t="str">
        <f aca="false">IF(AND(ISNUMBER(F1308),ISNUMBER(G1308)),IF(ABS(D1308-E1308)=ABS(F1308-G1308),12,0),"")</f>
        <v/>
      </c>
      <c r="L1308" s="23" t="str">
        <f aca="false">IF(ISNUMBER(H1308),H1308+I1308+J1308+K1308,"")</f>
        <v/>
      </c>
    </row>
    <row r="1309" customFormat="false" ht="18" hidden="false" customHeight="true" outlineLevel="0" collapsed="false">
      <c r="A1309" s="17" t="s">
        <v>9</v>
      </c>
      <c r="B1309" s="31" t="s">
        <v>166</v>
      </c>
      <c r="C1309" s="19" t="s">
        <v>45</v>
      </c>
      <c r="D1309" s="20" t="n">
        <v>3</v>
      </c>
      <c r="E1309" s="20" t="n">
        <v>1</v>
      </c>
      <c r="F1309" s="21" t="n">
        <f aca="false">'📋 Matches'!E13</f>
        <v>0</v>
      </c>
      <c r="G1309" s="21" t="n">
        <f aca="false">'📋 Matches'!F13</f>
        <v>0</v>
      </c>
      <c r="H1309" s="22" t="str">
        <f aca="false">IF(AND(ISNUMBER(F1309),ISNUMBER(G1309)),IF(SIGN(D1309-E1309)=SIGN(F1309-G1309),48,0),"")</f>
        <v/>
      </c>
      <c r="I1309" s="22" t="str">
        <f aca="false">IF(AND(ISNUMBER(F1309),ISNUMBER(G1309)),IF(D1309=F1309,15,0),"")</f>
        <v/>
      </c>
      <c r="J1309" s="22" t="str">
        <f aca="false">IF(AND(ISNUMBER(F1309),ISNUMBER(G1309)),IF(E1309=G1309,15,0),"")</f>
        <v/>
      </c>
      <c r="K1309" s="22" t="str">
        <f aca="false">IF(AND(ISNUMBER(F1309),ISNUMBER(G1309)),IF(ABS(D1309-E1309)=ABS(F1309-G1309),12,0),"")</f>
        <v/>
      </c>
      <c r="L1309" s="23" t="str">
        <f aca="false">IF(ISNUMBER(H1309),H1309+I1309+J1309+K1309,"")</f>
        <v/>
      </c>
    </row>
    <row r="1310" customFormat="false" ht="18" hidden="false" customHeight="true" outlineLevel="0" collapsed="false">
      <c r="A1310" s="17" t="s">
        <v>9</v>
      </c>
      <c r="B1310" s="31" t="s">
        <v>166</v>
      </c>
      <c r="C1310" s="19" t="s">
        <v>48</v>
      </c>
      <c r="D1310" s="20" t="n">
        <v>5</v>
      </c>
      <c r="E1310" s="20" t="n">
        <v>0</v>
      </c>
      <c r="F1310" s="21" t="n">
        <f aca="false">'📋 Matches'!E14</f>
        <v>0</v>
      </c>
      <c r="G1310" s="21" t="n">
        <f aca="false">'📋 Matches'!F14</f>
        <v>0</v>
      </c>
      <c r="H1310" s="22" t="str">
        <f aca="false">IF(AND(ISNUMBER(F1310),ISNUMBER(G1310)),IF(SIGN(D1310-E1310)=SIGN(F1310-G1310),48,0),"")</f>
        <v/>
      </c>
      <c r="I1310" s="22" t="str">
        <f aca="false">IF(AND(ISNUMBER(F1310),ISNUMBER(G1310)),IF(D1310=F1310,15,0),"")</f>
        <v/>
      </c>
      <c r="J1310" s="22" t="str">
        <f aca="false">IF(AND(ISNUMBER(F1310),ISNUMBER(G1310)),IF(E1310=G1310,15,0),"")</f>
        <v/>
      </c>
      <c r="K1310" s="22" t="str">
        <f aca="false">IF(AND(ISNUMBER(F1310),ISNUMBER(G1310)),IF(ABS(D1310-E1310)=ABS(F1310-G1310),12,0),"")</f>
        <v/>
      </c>
      <c r="L1310" s="23" t="str">
        <f aca="false">IF(ISNUMBER(H1310),H1310+I1310+J1310+K1310,"")</f>
        <v/>
      </c>
    </row>
    <row r="1311" customFormat="false" ht="18" hidden="false" customHeight="true" outlineLevel="0" collapsed="false">
      <c r="A1311" s="17" t="s">
        <v>9</v>
      </c>
      <c r="B1311" s="31" t="s">
        <v>166</v>
      </c>
      <c r="C1311" s="19" t="s">
        <v>51</v>
      </c>
      <c r="D1311" s="20" t="n">
        <v>2</v>
      </c>
      <c r="E1311" s="20" t="n">
        <v>0</v>
      </c>
      <c r="F1311" s="21" t="n">
        <f aca="false">'📋 Matches'!E15</f>
        <v>0</v>
      </c>
      <c r="G1311" s="21" t="n">
        <f aca="false">'📋 Matches'!F15</f>
        <v>0</v>
      </c>
      <c r="H1311" s="22" t="str">
        <f aca="false">IF(AND(ISNUMBER(F1311),ISNUMBER(G1311)),IF(SIGN(D1311-E1311)=SIGN(F1311-G1311),48,0),"")</f>
        <v/>
      </c>
      <c r="I1311" s="22" t="str">
        <f aca="false">IF(AND(ISNUMBER(F1311),ISNUMBER(G1311)),IF(D1311=F1311,15,0),"")</f>
        <v/>
      </c>
      <c r="J1311" s="22" t="str">
        <f aca="false">IF(AND(ISNUMBER(F1311),ISNUMBER(G1311)),IF(E1311=G1311,15,0),"")</f>
        <v/>
      </c>
      <c r="K1311" s="22" t="str">
        <f aca="false">IF(AND(ISNUMBER(F1311),ISNUMBER(G1311)),IF(ABS(D1311-E1311)=ABS(F1311-G1311),12,0),"")</f>
        <v/>
      </c>
      <c r="L1311" s="23" t="str">
        <f aca="false">IF(ISNUMBER(H1311),H1311+I1311+J1311+K1311,"")</f>
        <v/>
      </c>
    </row>
    <row r="1312" customFormat="false" ht="18" hidden="false" customHeight="true" outlineLevel="0" collapsed="false">
      <c r="A1312" s="17" t="s">
        <v>9</v>
      </c>
      <c r="B1312" s="31" t="s">
        <v>166</v>
      </c>
      <c r="C1312" s="19" t="s">
        <v>54</v>
      </c>
      <c r="D1312" s="20" t="n">
        <v>0</v>
      </c>
      <c r="E1312" s="20" t="n">
        <v>3</v>
      </c>
      <c r="F1312" s="21" t="n">
        <f aca="false">'📋 Matches'!E16</f>
        <v>0</v>
      </c>
      <c r="G1312" s="21" t="n">
        <f aca="false">'📋 Matches'!F16</f>
        <v>0</v>
      </c>
      <c r="H1312" s="22" t="str">
        <f aca="false">IF(AND(ISNUMBER(F1312),ISNUMBER(G1312)),IF(SIGN(D1312-E1312)=SIGN(F1312-G1312),48,0),"")</f>
        <v/>
      </c>
      <c r="I1312" s="22" t="str">
        <f aca="false">IF(AND(ISNUMBER(F1312),ISNUMBER(G1312)),IF(D1312=F1312,15,0),"")</f>
        <v/>
      </c>
      <c r="J1312" s="22" t="str">
        <f aca="false">IF(AND(ISNUMBER(F1312),ISNUMBER(G1312)),IF(E1312=G1312,15,0),"")</f>
        <v/>
      </c>
      <c r="K1312" s="22" t="str">
        <f aca="false">IF(AND(ISNUMBER(F1312),ISNUMBER(G1312)),IF(ABS(D1312-E1312)=ABS(F1312-G1312),12,0),"")</f>
        <v/>
      </c>
      <c r="L1312" s="23" t="str">
        <f aca="false">IF(ISNUMBER(H1312),H1312+I1312+J1312+K1312,"")</f>
        <v/>
      </c>
    </row>
    <row r="1313" customFormat="false" ht="18" hidden="false" customHeight="true" outlineLevel="0" collapsed="false">
      <c r="A1313" s="17" t="s">
        <v>9</v>
      </c>
      <c r="B1313" s="31" t="s">
        <v>166</v>
      </c>
      <c r="C1313" s="19" t="s">
        <v>57</v>
      </c>
      <c r="D1313" s="20" t="n">
        <v>1</v>
      </c>
      <c r="E1313" s="20" t="n">
        <v>2</v>
      </c>
      <c r="F1313" s="21" t="n">
        <f aca="false">'📋 Matches'!E17</f>
        <v>0</v>
      </c>
      <c r="G1313" s="21" t="n">
        <f aca="false">'📋 Matches'!F17</f>
        <v>0</v>
      </c>
      <c r="H1313" s="22" t="str">
        <f aca="false">IF(AND(ISNUMBER(F1313),ISNUMBER(G1313)),IF(SIGN(D1313-E1313)=SIGN(F1313-G1313),48,0),"")</f>
        <v/>
      </c>
      <c r="I1313" s="22" t="str">
        <f aca="false">IF(AND(ISNUMBER(F1313),ISNUMBER(G1313)),IF(D1313=F1313,15,0),"")</f>
        <v/>
      </c>
      <c r="J1313" s="22" t="str">
        <f aca="false">IF(AND(ISNUMBER(F1313),ISNUMBER(G1313)),IF(E1313=G1313,15,0),"")</f>
        <v/>
      </c>
      <c r="K1313" s="22" t="str">
        <f aca="false">IF(AND(ISNUMBER(F1313),ISNUMBER(G1313)),IF(ABS(D1313-E1313)=ABS(F1313-G1313),12,0),"")</f>
        <v/>
      </c>
      <c r="L1313" s="23" t="str">
        <f aca="false">IF(ISNUMBER(H1313),H1313+I1313+J1313+K1313,"")</f>
        <v/>
      </c>
    </row>
    <row r="1314" customFormat="false" ht="18" hidden="false" customHeight="true" outlineLevel="0" collapsed="false">
      <c r="A1314" s="17" t="s">
        <v>9</v>
      </c>
      <c r="B1314" s="31" t="s">
        <v>166</v>
      </c>
      <c r="C1314" s="19" t="s">
        <v>60</v>
      </c>
      <c r="D1314" s="20" t="n">
        <v>1</v>
      </c>
      <c r="E1314" s="20" t="n">
        <v>2</v>
      </c>
      <c r="F1314" s="21" t="n">
        <f aca="false">'📋 Matches'!E18</f>
        <v>0</v>
      </c>
      <c r="G1314" s="21" t="n">
        <f aca="false">'📋 Matches'!F18</f>
        <v>0</v>
      </c>
      <c r="H1314" s="22" t="str">
        <f aca="false">IF(AND(ISNUMBER(F1314),ISNUMBER(G1314)),IF(SIGN(D1314-E1314)=SIGN(F1314-G1314),48,0),"")</f>
        <v/>
      </c>
      <c r="I1314" s="22" t="str">
        <f aca="false">IF(AND(ISNUMBER(F1314),ISNUMBER(G1314)),IF(D1314=F1314,15,0),"")</f>
        <v/>
      </c>
      <c r="J1314" s="22" t="str">
        <f aca="false">IF(AND(ISNUMBER(F1314),ISNUMBER(G1314)),IF(E1314=G1314,15,0),"")</f>
        <v/>
      </c>
      <c r="K1314" s="22" t="str">
        <f aca="false">IF(AND(ISNUMBER(F1314),ISNUMBER(G1314)),IF(ABS(D1314-E1314)=ABS(F1314-G1314),12,0),"")</f>
        <v/>
      </c>
      <c r="L1314" s="23" t="str">
        <f aca="false">IF(ISNUMBER(H1314),H1314+I1314+J1314+K1314,"")</f>
        <v/>
      </c>
    </row>
    <row r="1315" customFormat="false" ht="18" hidden="false" customHeight="true" outlineLevel="0" collapsed="false">
      <c r="A1315" s="17" t="s">
        <v>9</v>
      </c>
      <c r="B1315" s="31" t="s">
        <v>166</v>
      </c>
      <c r="C1315" s="19" t="s">
        <v>63</v>
      </c>
      <c r="D1315" s="20" t="n">
        <v>0</v>
      </c>
      <c r="E1315" s="20" t="n">
        <v>3</v>
      </c>
      <c r="F1315" s="21" t="n">
        <f aca="false">'📋 Matches'!E19</f>
        <v>0</v>
      </c>
      <c r="G1315" s="21" t="n">
        <f aca="false">'📋 Matches'!F19</f>
        <v>0</v>
      </c>
      <c r="H1315" s="22" t="str">
        <f aca="false">IF(AND(ISNUMBER(F1315),ISNUMBER(G1315)),IF(SIGN(D1315-E1315)=SIGN(F1315-G1315),48,0),"")</f>
        <v/>
      </c>
      <c r="I1315" s="22" t="str">
        <f aca="false">IF(AND(ISNUMBER(F1315),ISNUMBER(G1315)),IF(D1315=F1315,15,0),"")</f>
        <v/>
      </c>
      <c r="J1315" s="22" t="str">
        <f aca="false">IF(AND(ISNUMBER(F1315),ISNUMBER(G1315)),IF(E1315=G1315,15,0),"")</f>
        <v/>
      </c>
      <c r="K1315" s="22" t="str">
        <f aca="false">IF(AND(ISNUMBER(F1315),ISNUMBER(G1315)),IF(ABS(D1315-E1315)=ABS(F1315-G1315),12,0),"")</f>
        <v/>
      </c>
      <c r="L1315" s="23" t="str">
        <f aca="false">IF(ISNUMBER(H1315),H1315+I1315+J1315+K1315,"")</f>
        <v/>
      </c>
    </row>
    <row r="1316" customFormat="false" ht="18" hidden="false" customHeight="true" outlineLevel="0" collapsed="false">
      <c r="A1316" s="17" t="s">
        <v>9</v>
      </c>
      <c r="B1316" s="31" t="s">
        <v>166</v>
      </c>
      <c r="C1316" s="19" t="s">
        <v>66</v>
      </c>
      <c r="D1316" s="20" t="n">
        <v>2</v>
      </c>
      <c r="E1316" s="20" t="n">
        <v>0</v>
      </c>
      <c r="F1316" s="21" t="n">
        <f aca="false">'📋 Matches'!E20</f>
        <v>0</v>
      </c>
      <c r="G1316" s="21" t="n">
        <f aca="false">'📋 Matches'!F20</f>
        <v>0</v>
      </c>
      <c r="H1316" s="22" t="str">
        <f aca="false">IF(AND(ISNUMBER(F1316),ISNUMBER(G1316)),IF(SIGN(D1316-E1316)=SIGN(F1316-G1316),48,0),"")</f>
        <v/>
      </c>
      <c r="I1316" s="22" t="str">
        <f aca="false">IF(AND(ISNUMBER(F1316),ISNUMBER(G1316)),IF(D1316=F1316,15,0),"")</f>
        <v/>
      </c>
      <c r="J1316" s="22" t="str">
        <f aca="false">IF(AND(ISNUMBER(F1316),ISNUMBER(G1316)),IF(E1316=G1316,15,0),"")</f>
        <v/>
      </c>
      <c r="K1316" s="22" t="str">
        <f aca="false">IF(AND(ISNUMBER(F1316),ISNUMBER(G1316)),IF(ABS(D1316-E1316)=ABS(F1316-G1316),12,0),"")</f>
        <v/>
      </c>
      <c r="L1316" s="23" t="str">
        <f aca="false">IF(ISNUMBER(H1316),H1316+I1316+J1316+K1316,"")</f>
        <v/>
      </c>
    </row>
    <row r="1317" customFormat="false" ht="18" hidden="false" customHeight="true" outlineLevel="0" collapsed="false">
      <c r="A1317" s="17" t="s">
        <v>9</v>
      </c>
      <c r="B1317" s="31" t="s">
        <v>166</v>
      </c>
      <c r="C1317" s="19" t="s">
        <v>69</v>
      </c>
      <c r="D1317" s="20" t="n">
        <v>1</v>
      </c>
      <c r="E1317" s="20" t="n">
        <v>0</v>
      </c>
      <c r="F1317" s="21" t="n">
        <f aca="false">'📋 Matches'!E21</f>
        <v>0</v>
      </c>
      <c r="G1317" s="21" t="n">
        <f aca="false">'📋 Matches'!F21</f>
        <v>0</v>
      </c>
      <c r="H1317" s="22" t="str">
        <f aca="false">IF(AND(ISNUMBER(F1317),ISNUMBER(G1317)),IF(SIGN(D1317-E1317)=SIGN(F1317-G1317),48,0),"")</f>
        <v/>
      </c>
      <c r="I1317" s="22" t="str">
        <f aca="false">IF(AND(ISNUMBER(F1317),ISNUMBER(G1317)),IF(D1317=F1317,15,0),"")</f>
        <v/>
      </c>
      <c r="J1317" s="22" t="str">
        <f aca="false">IF(AND(ISNUMBER(F1317),ISNUMBER(G1317)),IF(E1317=G1317,15,0),"")</f>
        <v/>
      </c>
      <c r="K1317" s="22" t="str">
        <f aca="false">IF(AND(ISNUMBER(F1317),ISNUMBER(G1317)),IF(ABS(D1317-E1317)=ABS(F1317-G1317),12,0),"")</f>
        <v/>
      </c>
      <c r="L1317" s="23" t="str">
        <f aca="false">IF(ISNUMBER(H1317),H1317+I1317+J1317+K1317,"")</f>
        <v/>
      </c>
    </row>
    <row r="1318" customFormat="false" ht="18" hidden="false" customHeight="true" outlineLevel="0" collapsed="false">
      <c r="A1318" s="17" t="s">
        <v>9</v>
      </c>
      <c r="B1318" s="31" t="s">
        <v>166</v>
      </c>
      <c r="C1318" s="19" t="s">
        <v>72</v>
      </c>
      <c r="D1318" s="20" t="n">
        <v>3</v>
      </c>
      <c r="E1318" s="20" t="n">
        <v>0</v>
      </c>
      <c r="F1318" s="21" t="n">
        <f aca="false">'📋 Matches'!E22</f>
        <v>0</v>
      </c>
      <c r="G1318" s="21" t="n">
        <f aca="false">'📋 Matches'!F22</f>
        <v>0</v>
      </c>
      <c r="H1318" s="22" t="str">
        <f aca="false">IF(AND(ISNUMBER(F1318),ISNUMBER(G1318)),IF(SIGN(D1318-E1318)=SIGN(F1318-G1318),48,0),"")</f>
        <v/>
      </c>
      <c r="I1318" s="22" t="str">
        <f aca="false">IF(AND(ISNUMBER(F1318),ISNUMBER(G1318)),IF(D1318=F1318,15,0),"")</f>
        <v/>
      </c>
      <c r="J1318" s="22" t="str">
        <f aca="false">IF(AND(ISNUMBER(F1318),ISNUMBER(G1318)),IF(E1318=G1318,15,0),"")</f>
        <v/>
      </c>
      <c r="K1318" s="22" t="str">
        <f aca="false">IF(AND(ISNUMBER(F1318),ISNUMBER(G1318)),IF(ABS(D1318-E1318)=ABS(F1318-G1318),12,0),"")</f>
        <v/>
      </c>
      <c r="L1318" s="23" t="str">
        <f aca="false">IF(ISNUMBER(H1318),H1318+I1318+J1318+K1318,"")</f>
        <v/>
      </c>
    </row>
    <row r="1319" customFormat="false" ht="18" hidden="false" customHeight="true" outlineLevel="0" collapsed="false">
      <c r="A1319" s="17" t="s">
        <v>9</v>
      </c>
      <c r="B1319" s="31" t="s">
        <v>166</v>
      </c>
      <c r="C1319" s="19" t="s">
        <v>75</v>
      </c>
      <c r="D1319" s="20" t="n">
        <v>1</v>
      </c>
      <c r="E1319" s="20" t="n">
        <v>1</v>
      </c>
      <c r="F1319" s="21" t="n">
        <f aca="false">'📋 Matches'!E23</f>
        <v>0</v>
      </c>
      <c r="G1319" s="21" t="n">
        <f aca="false">'📋 Matches'!F23</f>
        <v>0</v>
      </c>
      <c r="H1319" s="22" t="str">
        <f aca="false">IF(AND(ISNUMBER(F1319),ISNUMBER(G1319)),IF(SIGN(D1319-E1319)=SIGN(F1319-G1319),48,0),"")</f>
        <v/>
      </c>
      <c r="I1319" s="22" t="str">
        <f aca="false">IF(AND(ISNUMBER(F1319),ISNUMBER(G1319)),IF(D1319=F1319,15,0),"")</f>
        <v/>
      </c>
      <c r="J1319" s="22" t="str">
        <f aca="false">IF(AND(ISNUMBER(F1319),ISNUMBER(G1319)),IF(E1319=G1319,15,0),"")</f>
        <v/>
      </c>
      <c r="K1319" s="22" t="str">
        <f aca="false">IF(AND(ISNUMBER(F1319),ISNUMBER(G1319)),IF(ABS(D1319-E1319)=ABS(F1319-G1319),12,0),"")</f>
        <v/>
      </c>
      <c r="L1319" s="23" t="str">
        <f aca="false">IF(ISNUMBER(H1319),H1319+I1319+J1319+K1319,"")</f>
        <v/>
      </c>
    </row>
    <row r="1320" customFormat="false" ht="18" hidden="false" customHeight="true" outlineLevel="0" collapsed="false">
      <c r="A1320" s="17" t="s">
        <v>9</v>
      </c>
      <c r="B1320" s="31" t="s">
        <v>166</v>
      </c>
      <c r="C1320" s="19" t="s">
        <v>78</v>
      </c>
      <c r="D1320" s="20" t="n">
        <v>3</v>
      </c>
      <c r="E1320" s="20" t="n">
        <v>0</v>
      </c>
      <c r="F1320" s="21" t="n">
        <f aca="false">'📋 Matches'!E24</f>
        <v>0</v>
      </c>
      <c r="G1320" s="21" t="n">
        <f aca="false">'📋 Matches'!F24</f>
        <v>0</v>
      </c>
      <c r="H1320" s="22" t="str">
        <f aca="false">IF(AND(ISNUMBER(F1320),ISNUMBER(G1320)),IF(SIGN(D1320-E1320)=SIGN(F1320-G1320),48,0),"")</f>
        <v/>
      </c>
      <c r="I1320" s="22" t="str">
        <f aca="false">IF(AND(ISNUMBER(F1320),ISNUMBER(G1320)),IF(D1320=F1320,15,0),"")</f>
        <v/>
      </c>
      <c r="J1320" s="22" t="str">
        <f aca="false">IF(AND(ISNUMBER(F1320),ISNUMBER(G1320)),IF(E1320=G1320,15,0),"")</f>
        <v/>
      </c>
      <c r="K1320" s="22" t="str">
        <f aca="false">IF(AND(ISNUMBER(F1320),ISNUMBER(G1320)),IF(ABS(D1320-E1320)=ABS(F1320-G1320),12,0),"")</f>
        <v/>
      </c>
      <c r="L1320" s="23" t="str">
        <f aca="false">IF(ISNUMBER(H1320),H1320+I1320+J1320+K1320,"")</f>
        <v/>
      </c>
    </row>
    <row r="1321" customFormat="false" ht="18" hidden="false" customHeight="true" outlineLevel="0" collapsed="false">
      <c r="A1321" s="17" t="s">
        <v>9</v>
      </c>
      <c r="B1321" s="31" t="s">
        <v>166</v>
      </c>
      <c r="C1321" s="19" t="s">
        <v>81</v>
      </c>
      <c r="D1321" s="20" t="n">
        <v>2</v>
      </c>
      <c r="E1321" s="20" t="n">
        <v>0</v>
      </c>
      <c r="F1321" s="21" t="n">
        <f aca="false">'📋 Matches'!E25</f>
        <v>0</v>
      </c>
      <c r="G1321" s="21" t="n">
        <f aca="false">'📋 Matches'!F25</f>
        <v>0</v>
      </c>
      <c r="H1321" s="22" t="str">
        <f aca="false">IF(AND(ISNUMBER(F1321),ISNUMBER(G1321)),IF(SIGN(D1321-E1321)=SIGN(F1321-G1321),48,0),"")</f>
        <v/>
      </c>
      <c r="I1321" s="22" t="str">
        <f aca="false">IF(AND(ISNUMBER(F1321),ISNUMBER(G1321)),IF(D1321=F1321,15,0),"")</f>
        <v/>
      </c>
      <c r="J1321" s="22" t="str">
        <f aca="false">IF(AND(ISNUMBER(F1321),ISNUMBER(G1321)),IF(E1321=G1321,15,0),"")</f>
        <v/>
      </c>
      <c r="K1321" s="22" t="str">
        <f aca="false">IF(AND(ISNUMBER(F1321),ISNUMBER(G1321)),IF(ABS(D1321-E1321)=ABS(F1321-G1321),12,0),"")</f>
        <v/>
      </c>
      <c r="L1321" s="23" t="str">
        <f aca="false">IF(ISNUMBER(H1321),H1321+I1321+J1321+K1321,"")</f>
        <v/>
      </c>
    </row>
    <row r="1322" customFormat="false" ht="18" hidden="false" customHeight="true" outlineLevel="0" collapsed="false">
      <c r="A1322" s="17" t="s">
        <v>84</v>
      </c>
      <c r="B1322" s="31" t="s">
        <v>166</v>
      </c>
      <c r="C1322" s="19" t="s">
        <v>85</v>
      </c>
      <c r="D1322" s="20"/>
      <c r="E1322" s="20"/>
      <c r="F1322" s="21" t="n">
        <f aca="false">'📋 Matches'!E26</f>
        <v>0</v>
      </c>
      <c r="G1322" s="21" t="n">
        <f aca="false">'📋 Matches'!F26</f>
        <v>0</v>
      </c>
      <c r="H1322" s="24" t="s">
        <v>148</v>
      </c>
      <c r="I1322" s="24" t="s">
        <v>148</v>
      </c>
      <c r="J1322" s="24" t="s">
        <v>148</v>
      </c>
      <c r="K1322" s="24" t="s">
        <v>148</v>
      </c>
      <c r="L1322" s="24" t="s">
        <v>148</v>
      </c>
    </row>
    <row r="1323" customFormat="false" ht="18" hidden="false" customHeight="true" outlineLevel="0" collapsed="false">
      <c r="A1323" s="17" t="s">
        <v>84</v>
      </c>
      <c r="B1323" s="31" t="s">
        <v>166</v>
      </c>
      <c r="C1323" s="19" t="s">
        <v>87</v>
      </c>
      <c r="D1323" s="20"/>
      <c r="E1323" s="20"/>
      <c r="F1323" s="21" t="n">
        <f aca="false">'📋 Matches'!E27</f>
        <v>0</v>
      </c>
      <c r="G1323" s="21" t="n">
        <f aca="false">'📋 Matches'!F27</f>
        <v>0</v>
      </c>
      <c r="H1323" s="24" t="s">
        <v>148</v>
      </c>
      <c r="I1323" s="24" t="s">
        <v>148</v>
      </c>
      <c r="J1323" s="24" t="s">
        <v>148</v>
      </c>
      <c r="K1323" s="24" t="s">
        <v>148</v>
      </c>
      <c r="L1323" s="24" t="s">
        <v>148</v>
      </c>
    </row>
    <row r="1324" customFormat="false" ht="18" hidden="false" customHeight="true" outlineLevel="0" collapsed="false">
      <c r="A1324" s="17" t="s">
        <v>84</v>
      </c>
      <c r="B1324" s="31" t="s">
        <v>166</v>
      </c>
      <c r="C1324" s="19" t="s">
        <v>89</v>
      </c>
      <c r="D1324" s="20"/>
      <c r="E1324" s="20"/>
      <c r="F1324" s="21" t="n">
        <f aca="false">'📋 Matches'!E28</f>
        <v>0</v>
      </c>
      <c r="G1324" s="21" t="n">
        <f aca="false">'📋 Matches'!F28</f>
        <v>0</v>
      </c>
      <c r="H1324" s="24" t="s">
        <v>148</v>
      </c>
      <c r="I1324" s="24" t="s">
        <v>148</v>
      </c>
      <c r="J1324" s="24" t="s">
        <v>148</v>
      </c>
      <c r="K1324" s="24" t="s">
        <v>148</v>
      </c>
      <c r="L1324" s="24" t="s">
        <v>148</v>
      </c>
    </row>
    <row r="1325" customFormat="false" ht="18" hidden="false" customHeight="true" outlineLevel="0" collapsed="false">
      <c r="A1325" s="17" t="s">
        <v>84</v>
      </c>
      <c r="B1325" s="31" t="s">
        <v>166</v>
      </c>
      <c r="C1325" s="19" t="s">
        <v>90</v>
      </c>
      <c r="D1325" s="20"/>
      <c r="E1325" s="20"/>
      <c r="F1325" s="21" t="n">
        <f aca="false">'📋 Matches'!E29</f>
        <v>0</v>
      </c>
      <c r="G1325" s="21" t="n">
        <f aca="false">'📋 Matches'!F29</f>
        <v>0</v>
      </c>
      <c r="H1325" s="24" t="s">
        <v>148</v>
      </c>
      <c r="I1325" s="24" t="s">
        <v>148</v>
      </c>
      <c r="J1325" s="24" t="s">
        <v>148</v>
      </c>
      <c r="K1325" s="24" t="s">
        <v>148</v>
      </c>
      <c r="L1325" s="24" t="s">
        <v>148</v>
      </c>
    </row>
    <row r="1326" customFormat="false" ht="18" hidden="false" customHeight="true" outlineLevel="0" collapsed="false">
      <c r="A1326" s="17" t="s">
        <v>84</v>
      </c>
      <c r="B1326" s="31" t="s">
        <v>166</v>
      </c>
      <c r="C1326" s="19" t="s">
        <v>91</v>
      </c>
      <c r="D1326" s="20"/>
      <c r="E1326" s="20"/>
      <c r="F1326" s="21" t="n">
        <f aca="false">'📋 Matches'!E30</f>
        <v>0</v>
      </c>
      <c r="G1326" s="21" t="n">
        <f aca="false">'📋 Matches'!F30</f>
        <v>0</v>
      </c>
      <c r="H1326" s="24" t="s">
        <v>148</v>
      </c>
      <c r="I1326" s="24" t="s">
        <v>148</v>
      </c>
      <c r="J1326" s="24" t="s">
        <v>148</v>
      </c>
      <c r="K1326" s="24" t="s">
        <v>148</v>
      </c>
      <c r="L1326" s="24" t="s">
        <v>148</v>
      </c>
    </row>
    <row r="1327" customFormat="false" ht="18" hidden="false" customHeight="true" outlineLevel="0" collapsed="false">
      <c r="A1327" s="17" t="s">
        <v>84</v>
      </c>
      <c r="B1327" s="31" t="s">
        <v>166</v>
      </c>
      <c r="C1327" s="19" t="s">
        <v>92</v>
      </c>
      <c r="D1327" s="20"/>
      <c r="E1327" s="20"/>
      <c r="F1327" s="21" t="n">
        <f aca="false">'📋 Matches'!E31</f>
        <v>0</v>
      </c>
      <c r="G1327" s="21" t="n">
        <f aca="false">'📋 Matches'!F31</f>
        <v>0</v>
      </c>
      <c r="H1327" s="24" t="s">
        <v>148</v>
      </c>
      <c r="I1327" s="24" t="s">
        <v>148</v>
      </c>
      <c r="J1327" s="24" t="s">
        <v>148</v>
      </c>
      <c r="K1327" s="24" t="s">
        <v>148</v>
      </c>
      <c r="L1327" s="24" t="s">
        <v>148</v>
      </c>
    </row>
    <row r="1328" customFormat="false" ht="18" hidden="false" customHeight="true" outlineLevel="0" collapsed="false">
      <c r="A1328" s="17" t="s">
        <v>84</v>
      </c>
      <c r="B1328" s="31" t="s">
        <v>166</v>
      </c>
      <c r="C1328" s="19" t="s">
        <v>93</v>
      </c>
      <c r="D1328" s="20"/>
      <c r="E1328" s="20"/>
      <c r="F1328" s="21" t="n">
        <f aca="false">'📋 Matches'!E32</f>
        <v>0</v>
      </c>
      <c r="G1328" s="21" t="n">
        <f aca="false">'📋 Matches'!F32</f>
        <v>0</v>
      </c>
      <c r="H1328" s="24" t="s">
        <v>148</v>
      </c>
      <c r="I1328" s="24" t="s">
        <v>148</v>
      </c>
      <c r="J1328" s="24" t="s">
        <v>148</v>
      </c>
      <c r="K1328" s="24" t="s">
        <v>148</v>
      </c>
      <c r="L1328" s="24" t="s">
        <v>148</v>
      </c>
    </row>
    <row r="1329" customFormat="false" ht="18" hidden="false" customHeight="true" outlineLevel="0" collapsed="false">
      <c r="A1329" s="17" t="s">
        <v>84</v>
      </c>
      <c r="B1329" s="31" t="s">
        <v>166</v>
      </c>
      <c r="C1329" s="19" t="s">
        <v>94</v>
      </c>
      <c r="D1329" s="20"/>
      <c r="E1329" s="20"/>
      <c r="F1329" s="21" t="n">
        <f aca="false">'📋 Matches'!E33</f>
        <v>0</v>
      </c>
      <c r="G1329" s="21" t="n">
        <f aca="false">'📋 Matches'!F33</f>
        <v>0</v>
      </c>
      <c r="H1329" s="24" t="s">
        <v>148</v>
      </c>
      <c r="I1329" s="24" t="s">
        <v>148</v>
      </c>
      <c r="J1329" s="24" t="s">
        <v>148</v>
      </c>
      <c r="K1329" s="24" t="s">
        <v>148</v>
      </c>
      <c r="L1329" s="24" t="s">
        <v>148</v>
      </c>
    </row>
    <row r="1330" customFormat="false" ht="18" hidden="false" customHeight="true" outlineLevel="0" collapsed="false">
      <c r="A1330" s="17" t="s">
        <v>84</v>
      </c>
      <c r="B1330" s="31" t="s">
        <v>166</v>
      </c>
      <c r="C1330" s="19" t="s">
        <v>96</v>
      </c>
      <c r="D1330" s="20"/>
      <c r="E1330" s="20"/>
      <c r="F1330" s="21" t="n">
        <f aca="false">'📋 Matches'!E34</f>
        <v>0</v>
      </c>
      <c r="G1330" s="21" t="n">
        <f aca="false">'📋 Matches'!F34</f>
        <v>0</v>
      </c>
      <c r="H1330" s="24" t="s">
        <v>148</v>
      </c>
      <c r="I1330" s="24" t="s">
        <v>148</v>
      </c>
      <c r="J1330" s="24" t="s">
        <v>148</v>
      </c>
      <c r="K1330" s="24" t="s">
        <v>148</v>
      </c>
      <c r="L1330" s="24" t="s">
        <v>148</v>
      </c>
    </row>
    <row r="1331" customFormat="false" ht="18" hidden="false" customHeight="true" outlineLevel="0" collapsed="false">
      <c r="A1331" s="17" t="s">
        <v>84</v>
      </c>
      <c r="B1331" s="31" t="s">
        <v>166</v>
      </c>
      <c r="C1331" s="19" t="s">
        <v>97</v>
      </c>
      <c r="D1331" s="20"/>
      <c r="E1331" s="20"/>
      <c r="F1331" s="21" t="n">
        <f aca="false">'📋 Matches'!E35</f>
        <v>0</v>
      </c>
      <c r="G1331" s="21" t="n">
        <f aca="false">'📋 Matches'!F35</f>
        <v>0</v>
      </c>
      <c r="H1331" s="24" t="s">
        <v>148</v>
      </c>
      <c r="I1331" s="24" t="s">
        <v>148</v>
      </c>
      <c r="J1331" s="24" t="s">
        <v>148</v>
      </c>
      <c r="K1331" s="24" t="s">
        <v>148</v>
      </c>
      <c r="L1331" s="24" t="s">
        <v>148</v>
      </c>
    </row>
    <row r="1332" customFormat="false" ht="18" hidden="false" customHeight="true" outlineLevel="0" collapsed="false">
      <c r="A1332" s="17" t="s">
        <v>84</v>
      </c>
      <c r="B1332" s="31" t="s">
        <v>166</v>
      </c>
      <c r="C1332" s="19" t="s">
        <v>98</v>
      </c>
      <c r="D1332" s="20"/>
      <c r="E1332" s="20"/>
      <c r="F1332" s="21" t="n">
        <f aca="false">'📋 Matches'!E36</f>
        <v>0</v>
      </c>
      <c r="G1332" s="21" t="n">
        <f aca="false">'📋 Matches'!F36</f>
        <v>0</v>
      </c>
      <c r="H1332" s="24" t="s">
        <v>148</v>
      </c>
      <c r="I1332" s="24" t="s">
        <v>148</v>
      </c>
      <c r="J1332" s="24" t="s">
        <v>148</v>
      </c>
      <c r="K1332" s="24" t="s">
        <v>148</v>
      </c>
      <c r="L1332" s="24" t="s">
        <v>148</v>
      </c>
    </row>
    <row r="1333" customFormat="false" ht="18" hidden="false" customHeight="true" outlineLevel="0" collapsed="false">
      <c r="A1333" s="17" t="s">
        <v>84</v>
      </c>
      <c r="B1333" s="31" t="s">
        <v>166</v>
      </c>
      <c r="C1333" s="19" t="s">
        <v>100</v>
      </c>
      <c r="D1333" s="20"/>
      <c r="E1333" s="20"/>
      <c r="F1333" s="21" t="n">
        <f aca="false">'📋 Matches'!E37</f>
        <v>0</v>
      </c>
      <c r="G1333" s="21" t="n">
        <f aca="false">'📋 Matches'!F37</f>
        <v>0</v>
      </c>
      <c r="H1333" s="24" t="s">
        <v>148</v>
      </c>
      <c r="I1333" s="24" t="s">
        <v>148</v>
      </c>
      <c r="J1333" s="24" t="s">
        <v>148</v>
      </c>
      <c r="K1333" s="24" t="s">
        <v>148</v>
      </c>
      <c r="L1333" s="24" t="s">
        <v>148</v>
      </c>
    </row>
    <row r="1334" customFormat="false" ht="18" hidden="false" customHeight="true" outlineLevel="0" collapsed="false">
      <c r="A1334" s="17" t="s">
        <v>84</v>
      </c>
      <c r="B1334" s="31" t="s">
        <v>166</v>
      </c>
      <c r="C1334" s="19" t="s">
        <v>101</v>
      </c>
      <c r="D1334" s="20"/>
      <c r="E1334" s="20"/>
      <c r="F1334" s="21" t="n">
        <f aca="false">'📋 Matches'!E38</f>
        <v>0</v>
      </c>
      <c r="G1334" s="21" t="n">
        <f aca="false">'📋 Matches'!F38</f>
        <v>0</v>
      </c>
      <c r="H1334" s="24" t="s">
        <v>148</v>
      </c>
      <c r="I1334" s="24" t="s">
        <v>148</v>
      </c>
      <c r="J1334" s="24" t="s">
        <v>148</v>
      </c>
      <c r="K1334" s="24" t="s">
        <v>148</v>
      </c>
      <c r="L1334" s="24" t="s">
        <v>148</v>
      </c>
    </row>
    <row r="1335" customFormat="false" ht="18" hidden="false" customHeight="true" outlineLevel="0" collapsed="false">
      <c r="A1335" s="17" t="s">
        <v>84</v>
      </c>
      <c r="B1335" s="31" t="s">
        <v>166</v>
      </c>
      <c r="C1335" s="19" t="s">
        <v>102</v>
      </c>
      <c r="D1335" s="20"/>
      <c r="E1335" s="20"/>
      <c r="F1335" s="21" t="n">
        <f aca="false">'📋 Matches'!E39</f>
        <v>0</v>
      </c>
      <c r="G1335" s="21" t="n">
        <f aca="false">'📋 Matches'!F39</f>
        <v>0</v>
      </c>
      <c r="H1335" s="24" t="s">
        <v>148</v>
      </c>
      <c r="I1335" s="24" t="s">
        <v>148</v>
      </c>
      <c r="J1335" s="24" t="s">
        <v>148</v>
      </c>
      <c r="K1335" s="24" t="s">
        <v>148</v>
      </c>
      <c r="L1335" s="24" t="s">
        <v>148</v>
      </c>
    </row>
    <row r="1336" customFormat="false" ht="18" hidden="false" customHeight="true" outlineLevel="0" collapsed="false">
      <c r="A1336" s="17" t="s">
        <v>84</v>
      </c>
      <c r="B1336" s="31" t="s">
        <v>166</v>
      </c>
      <c r="C1336" s="19" t="s">
        <v>103</v>
      </c>
      <c r="D1336" s="20"/>
      <c r="E1336" s="20"/>
      <c r="F1336" s="21" t="n">
        <f aca="false">'📋 Matches'!E40</f>
        <v>0</v>
      </c>
      <c r="G1336" s="21" t="n">
        <f aca="false">'📋 Matches'!F40</f>
        <v>0</v>
      </c>
      <c r="H1336" s="24" t="s">
        <v>148</v>
      </c>
      <c r="I1336" s="24" t="s">
        <v>148</v>
      </c>
      <c r="J1336" s="24" t="s">
        <v>148</v>
      </c>
      <c r="K1336" s="24" t="s">
        <v>148</v>
      </c>
      <c r="L1336" s="24" t="s">
        <v>148</v>
      </c>
    </row>
    <row r="1337" customFormat="false" ht="18" hidden="false" customHeight="true" outlineLevel="0" collapsed="false">
      <c r="A1337" s="17" t="s">
        <v>84</v>
      </c>
      <c r="B1337" s="31" t="s">
        <v>166</v>
      </c>
      <c r="C1337" s="19" t="s">
        <v>104</v>
      </c>
      <c r="D1337" s="20"/>
      <c r="E1337" s="20"/>
      <c r="F1337" s="21" t="n">
        <f aca="false">'📋 Matches'!E41</f>
        <v>0</v>
      </c>
      <c r="G1337" s="21" t="n">
        <f aca="false">'📋 Matches'!F41</f>
        <v>0</v>
      </c>
      <c r="H1337" s="24" t="s">
        <v>148</v>
      </c>
      <c r="I1337" s="24" t="s">
        <v>148</v>
      </c>
      <c r="J1337" s="24" t="s">
        <v>148</v>
      </c>
      <c r="K1337" s="24" t="s">
        <v>148</v>
      </c>
      <c r="L1337" s="24" t="s">
        <v>148</v>
      </c>
    </row>
    <row r="1338" customFormat="false" ht="18" hidden="false" customHeight="true" outlineLevel="0" collapsed="false">
      <c r="A1338" s="17" t="s">
        <v>84</v>
      </c>
      <c r="B1338" s="31" t="s">
        <v>166</v>
      </c>
      <c r="C1338" s="19" t="s">
        <v>105</v>
      </c>
      <c r="D1338" s="20"/>
      <c r="E1338" s="20"/>
      <c r="F1338" s="21" t="n">
        <f aca="false">'📋 Matches'!E42</f>
        <v>0</v>
      </c>
      <c r="G1338" s="21" t="n">
        <f aca="false">'📋 Matches'!F42</f>
        <v>0</v>
      </c>
      <c r="H1338" s="24" t="s">
        <v>148</v>
      </c>
      <c r="I1338" s="24" t="s">
        <v>148</v>
      </c>
      <c r="J1338" s="24" t="s">
        <v>148</v>
      </c>
      <c r="K1338" s="24" t="s">
        <v>148</v>
      </c>
      <c r="L1338" s="24" t="s">
        <v>148</v>
      </c>
    </row>
    <row r="1339" customFormat="false" ht="18" hidden="false" customHeight="true" outlineLevel="0" collapsed="false">
      <c r="A1339" s="17" t="s">
        <v>84</v>
      </c>
      <c r="B1339" s="31" t="s">
        <v>166</v>
      </c>
      <c r="C1339" s="19" t="s">
        <v>106</v>
      </c>
      <c r="D1339" s="20"/>
      <c r="E1339" s="20"/>
      <c r="F1339" s="21" t="n">
        <f aca="false">'📋 Matches'!E43</f>
        <v>0</v>
      </c>
      <c r="G1339" s="21" t="n">
        <f aca="false">'📋 Matches'!F43</f>
        <v>0</v>
      </c>
      <c r="H1339" s="24" t="s">
        <v>148</v>
      </c>
      <c r="I1339" s="24" t="s">
        <v>148</v>
      </c>
      <c r="J1339" s="24" t="s">
        <v>148</v>
      </c>
      <c r="K1339" s="24" t="s">
        <v>148</v>
      </c>
      <c r="L1339" s="24" t="s">
        <v>148</v>
      </c>
    </row>
    <row r="1340" customFormat="false" ht="18" hidden="false" customHeight="true" outlineLevel="0" collapsed="false">
      <c r="A1340" s="17" t="s">
        <v>84</v>
      </c>
      <c r="B1340" s="31" t="s">
        <v>166</v>
      </c>
      <c r="C1340" s="19" t="s">
        <v>107</v>
      </c>
      <c r="D1340" s="20"/>
      <c r="E1340" s="20"/>
      <c r="F1340" s="21" t="n">
        <f aca="false">'📋 Matches'!E44</f>
        <v>0</v>
      </c>
      <c r="G1340" s="21" t="n">
        <f aca="false">'📋 Matches'!F44</f>
        <v>0</v>
      </c>
      <c r="H1340" s="24" t="s">
        <v>148</v>
      </c>
      <c r="I1340" s="24" t="s">
        <v>148</v>
      </c>
      <c r="J1340" s="24" t="s">
        <v>148</v>
      </c>
      <c r="K1340" s="24" t="s">
        <v>148</v>
      </c>
      <c r="L1340" s="24" t="s">
        <v>148</v>
      </c>
    </row>
    <row r="1341" customFormat="false" ht="18" hidden="false" customHeight="true" outlineLevel="0" collapsed="false">
      <c r="A1341" s="17" t="s">
        <v>84</v>
      </c>
      <c r="B1341" s="31" t="s">
        <v>166</v>
      </c>
      <c r="C1341" s="19" t="s">
        <v>108</v>
      </c>
      <c r="D1341" s="20"/>
      <c r="E1341" s="20"/>
      <c r="F1341" s="21" t="n">
        <f aca="false">'📋 Matches'!E45</f>
        <v>0</v>
      </c>
      <c r="G1341" s="21" t="n">
        <f aca="false">'📋 Matches'!F45</f>
        <v>0</v>
      </c>
      <c r="H1341" s="24" t="s">
        <v>148</v>
      </c>
      <c r="I1341" s="24" t="s">
        <v>148</v>
      </c>
      <c r="J1341" s="24" t="s">
        <v>148</v>
      </c>
      <c r="K1341" s="24" t="s">
        <v>148</v>
      </c>
      <c r="L1341" s="24" t="s">
        <v>148</v>
      </c>
    </row>
    <row r="1342" customFormat="false" ht="18" hidden="false" customHeight="true" outlineLevel="0" collapsed="false">
      <c r="A1342" s="17" t="s">
        <v>84</v>
      </c>
      <c r="B1342" s="31" t="s">
        <v>166</v>
      </c>
      <c r="C1342" s="19" t="s">
        <v>109</v>
      </c>
      <c r="D1342" s="20"/>
      <c r="E1342" s="20"/>
      <c r="F1342" s="21" t="n">
        <f aca="false">'📋 Matches'!E46</f>
        <v>0</v>
      </c>
      <c r="G1342" s="21" t="n">
        <f aca="false">'📋 Matches'!F46</f>
        <v>0</v>
      </c>
      <c r="H1342" s="24" t="s">
        <v>148</v>
      </c>
      <c r="I1342" s="24" t="s">
        <v>148</v>
      </c>
      <c r="J1342" s="24" t="s">
        <v>148</v>
      </c>
      <c r="K1342" s="24" t="s">
        <v>148</v>
      </c>
      <c r="L1342" s="24" t="s">
        <v>148</v>
      </c>
    </row>
    <row r="1343" customFormat="false" ht="18" hidden="false" customHeight="true" outlineLevel="0" collapsed="false">
      <c r="A1343" s="17" t="s">
        <v>84</v>
      </c>
      <c r="B1343" s="31" t="s">
        <v>166</v>
      </c>
      <c r="C1343" s="19" t="s">
        <v>110</v>
      </c>
      <c r="D1343" s="20"/>
      <c r="E1343" s="20"/>
      <c r="F1343" s="21" t="n">
        <f aca="false">'📋 Matches'!E47</f>
        <v>0</v>
      </c>
      <c r="G1343" s="21" t="n">
        <f aca="false">'📋 Matches'!F47</f>
        <v>0</v>
      </c>
      <c r="H1343" s="24" t="s">
        <v>148</v>
      </c>
      <c r="I1343" s="24" t="s">
        <v>148</v>
      </c>
      <c r="J1343" s="24" t="s">
        <v>148</v>
      </c>
      <c r="K1343" s="24" t="s">
        <v>148</v>
      </c>
      <c r="L1343" s="24" t="s">
        <v>148</v>
      </c>
    </row>
    <row r="1344" customFormat="false" ht="18" hidden="false" customHeight="true" outlineLevel="0" collapsed="false">
      <c r="A1344" s="17" t="s">
        <v>84</v>
      </c>
      <c r="B1344" s="31" t="s">
        <v>166</v>
      </c>
      <c r="C1344" s="19" t="s">
        <v>111</v>
      </c>
      <c r="D1344" s="20"/>
      <c r="E1344" s="20"/>
      <c r="F1344" s="21" t="n">
        <f aca="false">'📋 Matches'!E48</f>
        <v>0</v>
      </c>
      <c r="G1344" s="21" t="n">
        <f aca="false">'📋 Matches'!F48</f>
        <v>0</v>
      </c>
      <c r="H1344" s="24" t="s">
        <v>148</v>
      </c>
      <c r="I1344" s="24" t="s">
        <v>148</v>
      </c>
      <c r="J1344" s="24" t="s">
        <v>148</v>
      </c>
      <c r="K1344" s="24" t="s">
        <v>148</v>
      </c>
      <c r="L1344" s="24" t="s">
        <v>148</v>
      </c>
    </row>
    <row r="1345" customFormat="false" ht="18" hidden="false" customHeight="true" outlineLevel="0" collapsed="false">
      <c r="A1345" s="17" t="s">
        <v>84</v>
      </c>
      <c r="B1345" s="31" t="s">
        <v>166</v>
      </c>
      <c r="C1345" s="19" t="s">
        <v>112</v>
      </c>
      <c r="D1345" s="20"/>
      <c r="E1345" s="20"/>
      <c r="F1345" s="21" t="n">
        <f aca="false">'📋 Matches'!E49</f>
        <v>0</v>
      </c>
      <c r="G1345" s="21" t="n">
        <f aca="false">'📋 Matches'!F49</f>
        <v>0</v>
      </c>
      <c r="H1345" s="24" t="s">
        <v>148</v>
      </c>
      <c r="I1345" s="24" t="s">
        <v>148</v>
      </c>
      <c r="J1345" s="24" t="s">
        <v>148</v>
      </c>
      <c r="K1345" s="24" t="s">
        <v>148</v>
      </c>
      <c r="L1345" s="24" t="s">
        <v>148</v>
      </c>
    </row>
    <row r="1346" customFormat="false" ht="18" hidden="false" customHeight="true" outlineLevel="0" collapsed="false">
      <c r="A1346" s="17" t="s">
        <v>114</v>
      </c>
      <c r="B1346" s="31" t="s">
        <v>166</v>
      </c>
      <c r="C1346" s="19" t="s">
        <v>115</v>
      </c>
      <c r="D1346" s="20"/>
      <c r="E1346" s="20"/>
      <c r="F1346" s="21" t="n">
        <f aca="false">'📋 Matches'!E50</f>
        <v>0</v>
      </c>
      <c r="G1346" s="21" t="n">
        <f aca="false">'📋 Matches'!F50</f>
        <v>0</v>
      </c>
      <c r="H1346" s="24" t="s">
        <v>148</v>
      </c>
      <c r="I1346" s="24" t="s">
        <v>148</v>
      </c>
      <c r="J1346" s="24" t="s">
        <v>148</v>
      </c>
      <c r="K1346" s="24" t="s">
        <v>148</v>
      </c>
      <c r="L1346" s="24" t="s">
        <v>148</v>
      </c>
    </row>
    <row r="1347" customFormat="false" ht="18" hidden="false" customHeight="true" outlineLevel="0" collapsed="false">
      <c r="A1347" s="17" t="s">
        <v>114</v>
      </c>
      <c r="B1347" s="31" t="s">
        <v>166</v>
      </c>
      <c r="C1347" s="19" t="s">
        <v>116</v>
      </c>
      <c r="D1347" s="20"/>
      <c r="E1347" s="20"/>
      <c r="F1347" s="21" t="n">
        <f aca="false">'📋 Matches'!E51</f>
        <v>0</v>
      </c>
      <c r="G1347" s="21" t="n">
        <f aca="false">'📋 Matches'!F51</f>
        <v>0</v>
      </c>
      <c r="H1347" s="24" t="s">
        <v>148</v>
      </c>
      <c r="I1347" s="24" t="s">
        <v>148</v>
      </c>
      <c r="J1347" s="24" t="s">
        <v>148</v>
      </c>
      <c r="K1347" s="24" t="s">
        <v>148</v>
      </c>
      <c r="L1347" s="24" t="s">
        <v>148</v>
      </c>
    </row>
    <row r="1348" customFormat="false" ht="18" hidden="false" customHeight="true" outlineLevel="0" collapsed="false">
      <c r="A1348" s="17" t="s">
        <v>114</v>
      </c>
      <c r="B1348" s="31" t="s">
        <v>166</v>
      </c>
      <c r="C1348" s="19" t="s">
        <v>117</v>
      </c>
      <c r="D1348" s="20"/>
      <c r="E1348" s="20"/>
      <c r="F1348" s="21" t="n">
        <f aca="false">'📋 Matches'!E52</f>
        <v>0</v>
      </c>
      <c r="G1348" s="21" t="n">
        <f aca="false">'📋 Matches'!F52</f>
        <v>0</v>
      </c>
      <c r="H1348" s="24" t="s">
        <v>148</v>
      </c>
      <c r="I1348" s="24" t="s">
        <v>148</v>
      </c>
      <c r="J1348" s="24" t="s">
        <v>148</v>
      </c>
      <c r="K1348" s="24" t="s">
        <v>148</v>
      </c>
      <c r="L1348" s="24" t="s">
        <v>148</v>
      </c>
    </row>
    <row r="1349" customFormat="false" ht="18" hidden="false" customHeight="true" outlineLevel="0" collapsed="false">
      <c r="A1349" s="17" t="s">
        <v>114</v>
      </c>
      <c r="B1349" s="31" t="s">
        <v>166</v>
      </c>
      <c r="C1349" s="19" t="s">
        <v>118</v>
      </c>
      <c r="D1349" s="20"/>
      <c r="E1349" s="20"/>
      <c r="F1349" s="21" t="n">
        <f aca="false">'📋 Matches'!E53</f>
        <v>0</v>
      </c>
      <c r="G1349" s="21" t="n">
        <f aca="false">'📋 Matches'!F53</f>
        <v>0</v>
      </c>
      <c r="H1349" s="24" t="s">
        <v>148</v>
      </c>
      <c r="I1349" s="24" t="s">
        <v>148</v>
      </c>
      <c r="J1349" s="24" t="s">
        <v>148</v>
      </c>
      <c r="K1349" s="24" t="s">
        <v>148</v>
      </c>
      <c r="L1349" s="24" t="s">
        <v>148</v>
      </c>
    </row>
    <row r="1350" customFormat="false" ht="18" hidden="false" customHeight="true" outlineLevel="0" collapsed="false">
      <c r="A1350" s="17" t="s">
        <v>114</v>
      </c>
      <c r="B1350" s="31" t="s">
        <v>166</v>
      </c>
      <c r="C1350" s="19" t="s">
        <v>119</v>
      </c>
      <c r="D1350" s="20"/>
      <c r="E1350" s="20"/>
      <c r="F1350" s="21" t="n">
        <f aca="false">'📋 Matches'!E54</f>
        <v>0</v>
      </c>
      <c r="G1350" s="21" t="n">
        <f aca="false">'📋 Matches'!F54</f>
        <v>0</v>
      </c>
      <c r="H1350" s="24" t="s">
        <v>148</v>
      </c>
      <c r="I1350" s="24" t="s">
        <v>148</v>
      </c>
      <c r="J1350" s="24" t="s">
        <v>148</v>
      </c>
      <c r="K1350" s="24" t="s">
        <v>148</v>
      </c>
      <c r="L1350" s="24" t="s">
        <v>148</v>
      </c>
    </row>
    <row r="1351" customFormat="false" ht="18" hidden="false" customHeight="true" outlineLevel="0" collapsed="false">
      <c r="A1351" s="17" t="s">
        <v>114</v>
      </c>
      <c r="B1351" s="31" t="s">
        <v>166</v>
      </c>
      <c r="C1351" s="19" t="s">
        <v>120</v>
      </c>
      <c r="D1351" s="20"/>
      <c r="E1351" s="20"/>
      <c r="F1351" s="21" t="n">
        <f aca="false">'📋 Matches'!E55</f>
        <v>0</v>
      </c>
      <c r="G1351" s="21" t="n">
        <f aca="false">'📋 Matches'!F55</f>
        <v>0</v>
      </c>
      <c r="H1351" s="24" t="s">
        <v>148</v>
      </c>
      <c r="I1351" s="24" t="s">
        <v>148</v>
      </c>
      <c r="J1351" s="24" t="s">
        <v>148</v>
      </c>
      <c r="K1351" s="24" t="s">
        <v>148</v>
      </c>
      <c r="L1351" s="24" t="s">
        <v>148</v>
      </c>
    </row>
    <row r="1352" customFormat="false" ht="18" hidden="false" customHeight="true" outlineLevel="0" collapsed="false">
      <c r="A1352" s="17" t="s">
        <v>114</v>
      </c>
      <c r="B1352" s="31" t="s">
        <v>166</v>
      </c>
      <c r="C1352" s="19" t="s">
        <v>121</v>
      </c>
      <c r="D1352" s="20"/>
      <c r="E1352" s="20"/>
      <c r="F1352" s="21" t="n">
        <f aca="false">'📋 Matches'!E56</f>
        <v>0</v>
      </c>
      <c r="G1352" s="21" t="n">
        <f aca="false">'📋 Matches'!F56</f>
        <v>0</v>
      </c>
      <c r="H1352" s="24" t="s">
        <v>148</v>
      </c>
      <c r="I1352" s="24" t="s">
        <v>148</v>
      </c>
      <c r="J1352" s="24" t="s">
        <v>148</v>
      </c>
      <c r="K1352" s="24" t="s">
        <v>148</v>
      </c>
      <c r="L1352" s="24" t="s">
        <v>148</v>
      </c>
    </row>
    <row r="1353" customFormat="false" ht="18" hidden="false" customHeight="true" outlineLevel="0" collapsed="false">
      <c r="A1353" s="17" t="s">
        <v>114</v>
      </c>
      <c r="B1353" s="31" t="s">
        <v>166</v>
      </c>
      <c r="C1353" s="19" t="s">
        <v>122</v>
      </c>
      <c r="D1353" s="20"/>
      <c r="E1353" s="20"/>
      <c r="F1353" s="21" t="n">
        <f aca="false">'📋 Matches'!E57</f>
        <v>0</v>
      </c>
      <c r="G1353" s="21" t="n">
        <f aca="false">'📋 Matches'!F57</f>
        <v>0</v>
      </c>
      <c r="H1353" s="24" t="s">
        <v>148</v>
      </c>
      <c r="I1353" s="24" t="s">
        <v>148</v>
      </c>
      <c r="J1353" s="24" t="s">
        <v>148</v>
      </c>
      <c r="K1353" s="24" t="s">
        <v>148</v>
      </c>
      <c r="L1353" s="24" t="s">
        <v>148</v>
      </c>
    </row>
    <row r="1354" customFormat="false" ht="18" hidden="false" customHeight="true" outlineLevel="0" collapsed="false">
      <c r="A1354" s="17" t="s">
        <v>114</v>
      </c>
      <c r="B1354" s="31" t="s">
        <v>166</v>
      </c>
      <c r="C1354" s="19" t="s">
        <v>123</v>
      </c>
      <c r="D1354" s="20"/>
      <c r="E1354" s="20"/>
      <c r="F1354" s="21" t="n">
        <f aca="false">'📋 Matches'!E58</f>
        <v>0</v>
      </c>
      <c r="G1354" s="21" t="n">
        <f aca="false">'📋 Matches'!F58</f>
        <v>0</v>
      </c>
      <c r="H1354" s="24" t="s">
        <v>148</v>
      </c>
      <c r="I1354" s="24" t="s">
        <v>148</v>
      </c>
      <c r="J1354" s="24" t="s">
        <v>148</v>
      </c>
      <c r="K1354" s="24" t="s">
        <v>148</v>
      </c>
      <c r="L1354" s="24" t="s">
        <v>148</v>
      </c>
    </row>
    <row r="1355" customFormat="false" ht="18" hidden="false" customHeight="true" outlineLevel="0" collapsed="false">
      <c r="A1355" s="17" t="s">
        <v>114</v>
      </c>
      <c r="B1355" s="31" t="s">
        <v>166</v>
      </c>
      <c r="C1355" s="19" t="s">
        <v>124</v>
      </c>
      <c r="D1355" s="20"/>
      <c r="E1355" s="20"/>
      <c r="F1355" s="21" t="n">
        <f aca="false">'📋 Matches'!E59</f>
        <v>0</v>
      </c>
      <c r="G1355" s="21" t="n">
        <f aca="false">'📋 Matches'!F59</f>
        <v>0</v>
      </c>
      <c r="H1355" s="24" t="s">
        <v>148</v>
      </c>
      <c r="I1355" s="24" t="s">
        <v>148</v>
      </c>
      <c r="J1355" s="24" t="s">
        <v>148</v>
      </c>
      <c r="K1355" s="24" t="s">
        <v>148</v>
      </c>
      <c r="L1355" s="24" t="s">
        <v>148</v>
      </c>
    </row>
    <row r="1356" customFormat="false" ht="18" hidden="false" customHeight="true" outlineLevel="0" collapsed="false">
      <c r="A1356" s="17" t="s">
        <v>114</v>
      </c>
      <c r="B1356" s="31" t="s">
        <v>166</v>
      </c>
      <c r="C1356" s="19" t="s">
        <v>125</v>
      </c>
      <c r="D1356" s="20"/>
      <c r="E1356" s="20"/>
      <c r="F1356" s="21" t="n">
        <f aca="false">'📋 Matches'!E60</f>
        <v>0</v>
      </c>
      <c r="G1356" s="21" t="n">
        <f aca="false">'📋 Matches'!F60</f>
        <v>0</v>
      </c>
      <c r="H1356" s="24" t="s">
        <v>148</v>
      </c>
      <c r="I1356" s="24" t="s">
        <v>148</v>
      </c>
      <c r="J1356" s="24" t="s">
        <v>148</v>
      </c>
      <c r="K1356" s="24" t="s">
        <v>148</v>
      </c>
      <c r="L1356" s="24" t="s">
        <v>148</v>
      </c>
    </row>
    <row r="1357" customFormat="false" ht="18" hidden="false" customHeight="true" outlineLevel="0" collapsed="false">
      <c r="A1357" s="17" t="s">
        <v>114</v>
      </c>
      <c r="B1357" s="31" t="s">
        <v>166</v>
      </c>
      <c r="C1357" s="19" t="s">
        <v>126</v>
      </c>
      <c r="D1357" s="20"/>
      <c r="E1357" s="20"/>
      <c r="F1357" s="21" t="n">
        <f aca="false">'📋 Matches'!E61</f>
        <v>0</v>
      </c>
      <c r="G1357" s="21" t="n">
        <f aca="false">'📋 Matches'!F61</f>
        <v>0</v>
      </c>
      <c r="H1357" s="24" t="s">
        <v>148</v>
      </c>
      <c r="I1357" s="24" t="s">
        <v>148</v>
      </c>
      <c r="J1357" s="24" t="s">
        <v>148</v>
      </c>
      <c r="K1357" s="24" t="s">
        <v>148</v>
      </c>
      <c r="L1357" s="24" t="s">
        <v>148</v>
      </c>
    </row>
    <row r="1358" customFormat="false" ht="18" hidden="false" customHeight="true" outlineLevel="0" collapsed="false">
      <c r="A1358" s="17" t="s">
        <v>114</v>
      </c>
      <c r="B1358" s="31" t="s">
        <v>166</v>
      </c>
      <c r="C1358" s="19" t="s">
        <v>127</v>
      </c>
      <c r="D1358" s="20"/>
      <c r="E1358" s="20"/>
      <c r="F1358" s="21" t="n">
        <f aca="false">'📋 Matches'!E62</f>
        <v>0</v>
      </c>
      <c r="G1358" s="21" t="n">
        <f aca="false">'📋 Matches'!F62</f>
        <v>0</v>
      </c>
      <c r="H1358" s="24" t="s">
        <v>148</v>
      </c>
      <c r="I1358" s="24" t="s">
        <v>148</v>
      </c>
      <c r="J1358" s="24" t="s">
        <v>148</v>
      </c>
      <c r="K1358" s="24" t="s">
        <v>148</v>
      </c>
      <c r="L1358" s="24" t="s">
        <v>148</v>
      </c>
    </row>
    <row r="1359" customFormat="false" ht="18" hidden="false" customHeight="true" outlineLevel="0" collapsed="false">
      <c r="A1359" s="17" t="s">
        <v>114</v>
      </c>
      <c r="B1359" s="31" t="s">
        <v>166</v>
      </c>
      <c r="C1359" s="19" t="s">
        <v>128</v>
      </c>
      <c r="D1359" s="20"/>
      <c r="E1359" s="20"/>
      <c r="F1359" s="21" t="n">
        <f aca="false">'📋 Matches'!E63</f>
        <v>0</v>
      </c>
      <c r="G1359" s="21" t="n">
        <f aca="false">'📋 Matches'!F63</f>
        <v>0</v>
      </c>
      <c r="H1359" s="24" t="s">
        <v>148</v>
      </c>
      <c r="I1359" s="24" t="s">
        <v>148</v>
      </c>
      <c r="J1359" s="24" t="s">
        <v>148</v>
      </c>
      <c r="K1359" s="24" t="s">
        <v>148</v>
      </c>
      <c r="L1359" s="24" t="s">
        <v>148</v>
      </c>
    </row>
    <row r="1360" customFormat="false" ht="18" hidden="false" customHeight="true" outlineLevel="0" collapsed="false">
      <c r="A1360" s="17" t="s">
        <v>114</v>
      </c>
      <c r="B1360" s="31" t="s">
        <v>166</v>
      </c>
      <c r="C1360" s="19" t="s">
        <v>129</v>
      </c>
      <c r="D1360" s="20"/>
      <c r="E1360" s="20"/>
      <c r="F1360" s="21" t="n">
        <f aca="false">'📋 Matches'!E64</f>
        <v>0</v>
      </c>
      <c r="G1360" s="21" t="n">
        <f aca="false">'📋 Matches'!F64</f>
        <v>0</v>
      </c>
      <c r="H1360" s="24" t="s">
        <v>148</v>
      </c>
      <c r="I1360" s="24" t="s">
        <v>148</v>
      </c>
      <c r="J1360" s="24" t="s">
        <v>148</v>
      </c>
      <c r="K1360" s="24" t="s">
        <v>148</v>
      </c>
      <c r="L1360" s="24" t="s">
        <v>148</v>
      </c>
    </row>
    <row r="1361" customFormat="false" ht="18" hidden="false" customHeight="true" outlineLevel="0" collapsed="false">
      <c r="A1361" s="17" t="s">
        <v>114</v>
      </c>
      <c r="B1361" s="31" t="s">
        <v>166</v>
      </c>
      <c r="C1361" s="19" t="s">
        <v>130</v>
      </c>
      <c r="D1361" s="20"/>
      <c r="E1361" s="20"/>
      <c r="F1361" s="21" t="n">
        <f aca="false">'📋 Matches'!E65</f>
        <v>0</v>
      </c>
      <c r="G1361" s="21" t="n">
        <f aca="false">'📋 Matches'!F65</f>
        <v>0</v>
      </c>
      <c r="H1361" s="24" t="s">
        <v>148</v>
      </c>
      <c r="I1361" s="24" t="s">
        <v>148</v>
      </c>
      <c r="J1361" s="24" t="s">
        <v>148</v>
      </c>
      <c r="K1361" s="24" t="s">
        <v>148</v>
      </c>
      <c r="L1361" s="24" t="s">
        <v>148</v>
      </c>
    </row>
    <row r="1362" customFormat="false" ht="18" hidden="false" customHeight="true" outlineLevel="0" collapsed="false">
      <c r="A1362" s="17" t="s">
        <v>114</v>
      </c>
      <c r="B1362" s="31" t="s">
        <v>166</v>
      </c>
      <c r="C1362" s="19" t="s">
        <v>131</v>
      </c>
      <c r="D1362" s="20"/>
      <c r="E1362" s="20"/>
      <c r="F1362" s="21" t="n">
        <f aca="false">'📋 Matches'!E66</f>
        <v>0</v>
      </c>
      <c r="G1362" s="21" t="n">
        <f aca="false">'📋 Matches'!F66</f>
        <v>0</v>
      </c>
      <c r="H1362" s="24" t="s">
        <v>148</v>
      </c>
      <c r="I1362" s="24" t="s">
        <v>148</v>
      </c>
      <c r="J1362" s="24" t="s">
        <v>148</v>
      </c>
      <c r="K1362" s="24" t="s">
        <v>148</v>
      </c>
      <c r="L1362" s="24" t="s">
        <v>148</v>
      </c>
    </row>
    <row r="1363" customFormat="false" ht="18" hidden="false" customHeight="true" outlineLevel="0" collapsed="false">
      <c r="A1363" s="17" t="s">
        <v>114</v>
      </c>
      <c r="B1363" s="31" t="s">
        <v>166</v>
      </c>
      <c r="C1363" s="19" t="s">
        <v>132</v>
      </c>
      <c r="D1363" s="20"/>
      <c r="E1363" s="20"/>
      <c r="F1363" s="21" t="n">
        <f aca="false">'📋 Matches'!E67</f>
        <v>0</v>
      </c>
      <c r="G1363" s="21" t="n">
        <f aca="false">'📋 Matches'!F67</f>
        <v>0</v>
      </c>
      <c r="H1363" s="24" t="s">
        <v>148</v>
      </c>
      <c r="I1363" s="24" t="s">
        <v>148</v>
      </c>
      <c r="J1363" s="24" t="s">
        <v>148</v>
      </c>
      <c r="K1363" s="24" t="s">
        <v>148</v>
      </c>
      <c r="L1363" s="24" t="s">
        <v>148</v>
      </c>
    </row>
    <row r="1364" customFormat="false" ht="18" hidden="false" customHeight="true" outlineLevel="0" collapsed="false">
      <c r="A1364" s="17" t="s">
        <v>114</v>
      </c>
      <c r="B1364" s="31" t="s">
        <v>166</v>
      </c>
      <c r="C1364" s="19" t="s">
        <v>133</v>
      </c>
      <c r="D1364" s="20"/>
      <c r="E1364" s="20"/>
      <c r="F1364" s="21" t="n">
        <f aca="false">'📋 Matches'!E68</f>
        <v>0</v>
      </c>
      <c r="G1364" s="21" t="n">
        <f aca="false">'📋 Matches'!F68</f>
        <v>0</v>
      </c>
      <c r="H1364" s="24" t="s">
        <v>148</v>
      </c>
      <c r="I1364" s="24" t="s">
        <v>148</v>
      </c>
      <c r="J1364" s="24" t="s">
        <v>148</v>
      </c>
      <c r="K1364" s="24" t="s">
        <v>148</v>
      </c>
      <c r="L1364" s="24" t="s">
        <v>148</v>
      </c>
    </row>
    <row r="1365" customFormat="false" ht="18" hidden="false" customHeight="true" outlineLevel="0" collapsed="false">
      <c r="A1365" s="17" t="s">
        <v>114</v>
      </c>
      <c r="B1365" s="31" t="s">
        <v>166</v>
      </c>
      <c r="C1365" s="19" t="s">
        <v>134</v>
      </c>
      <c r="D1365" s="20"/>
      <c r="E1365" s="20"/>
      <c r="F1365" s="21" t="n">
        <f aca="false">'📋 Matches'!E69</f>
        <v>0</v>
      </c>
      <c r="G1365" s="21" t="n">
        <f aca="false">'📋 Matches'!F69</f>
        <v>0</v>
      </c>
      <c r="H1365" s="24" t="s">
        <v>148</v>
      </c>
      <c r="I1365" s="24" t="s">
        <v>148</v>
      </c>
      <c r="J1365" s="24" t="s">
        <v>148</v>
      </c>
      <c r="K1365" s="24" t="s">
        <v>148</v>
      </c>
      <c r="L1365" s="24" t="s">
        <v>148</v>
      </c>
    </row>
    <row r="1366" customFormat="false" ht="18" hidden="false" customHeight="true" outlineLevel="0" collapsed="false">
      <c r="A1366" s="17" t="s">
        <v>114</v>
      </c>
      <c r="B1366" s="31" t="s">
        <v>166</v>
      </c>
      <c r="C1366" s="19" t="s">
        <v>135</v>
      </c>
      <c r="D1366" s="20"/>
      <c r="E1366" s="20"/>
      <c r="F1366" s="21" t="n">
        <f aca="false">'📋 Matches'!E70</f>
        <v>0</v>
      </c>
      <c r="G1366" s="21" t="n">
        <f aca="false">'📋 Matches'!F70</f>
        <v>0</v>
      </c>
      <c r="H1366" s="24" t="s">
        <v>148</v>
      </c>
      <c r="I1366" s="24" t="s">
        <v>148</v>
      </c>
      <c r="J1366" s="24" t="s">
        <v>148</v>
      </c>
      <c r="K1366" s="24" t="s">
        <v>148</v>
      </c>
      <c r="L1366" s="24" t="s">
        <v>148</v>
      </c>
    </row>
    <row r="1367" customFormat="false" ht="18" hidden="false" customHeight="true" outlineLevel="0" collapsed="false">
      <c r="A1367" s="17" t="s">
        <v>114</v>
      </c>
      <c r="B1367" s="31" t="s">
        <v>166</v>
      </c>
      <c r="C1367" s="19" t="s">
        <v>136</v>
      </c>
      <c r="D1367" s="20"/>
      <c r="E1367" s="20"/>
      <c r="F1367" s="21" t="n">
        <f aca="false">'📋 Matches'!E71</f>
        <v>0</v>
      </c>
      <c r="G1367" s="21" t="n">
        <f aca="false">'📋 Matches'!F71</f>
        <v>0</v>
      </c>
      <c r="H1367" s="24" t="s">
        <v>148</v>
      </c>
      <c r="I1367" s="24" t="s">
        <v>148</v>
      </c>
      <c r="J1367" s="24" t="s">
        <v>148</v>
      </c>
      <c r="K1367" s="24" t="s">
        <v>148</v>
      </c>
      <c r="L1367" s="24" t="s">
        <v>148</v>
      </c>
    </row>
    <row r="1368" customFormat="false" ht="18" hidden="false" customHeight="true" outlineLevel="0" collapsed="false">
      <c r="A1368" s="17" t="s">
        <v>114</v>
      </c>
      <c r="B1368" s="31" t="s">
        <v>166</v>
      </c>
      <c r="C1368" s="19" t="s">
        <v>137</v>
      </c>
      <c r="D1368" s="20"/>
      <c r="E1368" s="20"/>
      <c r="F1368" s="21" t="n">
        <f aca="false">'📋 Matches'!E72</f>
        <v>0</v>
      </c>
      <c r="G1368" s="21" t="n">
        <f aca="false">'📋 Matches'!F72</f>
        <v>0</v>
      </c>
      <c r="H1368" s="24" t="s">
        <v>148</v>
      </c>
      <c r="I1368" s="24" t="s">
        <v>148</v>
      </c>
      <c r="J1368" s="24" t="s">
        <v>148</v>
      </c>
      <c r="K1368" s="24" t="s">
        <v>148</v>
      </c>
      <c r="L1368" s="24" t="s">
        <v>148</v>
      </c>
    </row>
    <row r="1369" customFormat="false" ht="18" hidden="false" customHeight="true" outlineLevel="0" collapsed="false">
      <c r="A1369" s="17" t="s">
        <v>114</v>
      </c>
      <c r="B1369" s="31" t="s">
        <v>166</v>
      </c>
      <c r="C1369" s="19" t="s">
        <v>138</v>
      </c>
      <c r="D1369" s="20"/>
      <c r="E1369" s="20"/>
      <c r="F1369" s="21" t="n">
        <f aca="false">'📋 Matches'!E73</f>
        <v>0</v>
      </c>
      <c r="G1369" s="21" t="n">
        <f aca="false">'📋 Matches'!F73</f>
        <v>0</v>
      </c>
      <c r="H1369" s="24" t="s">
        <v>148</v>
      </c>
      <c r="I1369" s="24" t="s">
        <v>148</v>
      </c>
      <c r="J1369" s="24" t="s">
        <v>148</v>
      </c>
      <c r="K1369" s="24" t="s">
        <v>148</v>
      </c>
      <c r="L1369" s="24" t="s">
        <v>148</v>
      </c>
    </row>
    <row r="1370" customFormat="false" ht="18" hidden="false" customHeight="true" outlineLevel="0" collapsed="false">
      <c r="A1370" s="25" t="s">
        <v>9</v>
      </c>
      <c r="B1370" s="32" t="s">
        <v>167</v>
      </c>
      <c r="C1370" s="27" t="s">
        <v>10</v>
      </c>
      <c r="D1370" s="28" t="n">
        <v>1</v>
      </c>
      <c r="E1370" s="28" t="n">
        <v>0</v>
      </c>
      <c r="F1370" s="29" t="n">
        <f aca="false">'📋 Matches'!E2</f>
        <v>2</v>
      </c>
      <c r="G1370" s="29" t="n">
        <f aca="false">'📋 Matches'!F2</f>
        <v>0</v>
      </c>
      <c r="H1370" s="22" t="n">
        <f aca="false">IF(AND(ISNUMBER(F1370),ISNUMBER(G1370)),IF(SIGN(D1370-E1370)=SIGN(F1370-G1370),48,0),"")</f>
        <v>48</v>
      </c>
      <c r="I1370" s="22" t="n">
        <f aca="false">IF(AND(ISNUMBER(F1370),ISNUMBER(G1370)),IF(D1370=F1370,15,0),"")</f>
        <v>0</v>
      </c>
      <c r="J1370" s="22" t="n">
        <f aca="false">IF(AND(ISNUMBER(F1370),ISNUMBER(G1370)),IF(E1370=G1370,15,0),"")</f>
        <v>15</v>
      </c>
      <c r="K1370" s="22" t="n">
        <f aca="false">IF(AND(ISNUMBER(F1370),ISNUMBER(G1370)),IF(ABS(D1370-E1370)=ABS(F1370-G1370),12,0),"")</f>
        <v>0</v>
      </c>
      <c r="L1370" s="23" t="n">
        <f aca="false">IF(ISNUMBER(H1370),H1370+I1370+J1370+K1370,"")</f>
        <v>63</v>
      </c>
    </row>
    <row r="1371" customFormat="false" ht="18" hidden="false" customHeight="true" outlineLevel="0" collapsed="false">
      <c r="A1371" s="25" t="s">
        <v>9</v>
      </c>
      <c r="B1371" s="32" t="s">
        <v>167</v>
      </c>
      <c r="C1371" s="27" t="s">
        <v>14</v>
      </c>
      <c r="D1371" s="28" t="n">
        <v>2</v>
      </c>
      <c r="E1371" s="28" t="n">
        <v>1</v>
      </c>
      <c r="F1371" s="29" t="n">
        <f aca="false">'📋 Matches'!E3</f>
        <v>2</v>
      </c>
      <c r="G1371" s="29" t="n">
        <f aca="false">'📋 Matches'!F3</f>
        <v>1</v>
      </c>
      <c r="H1371" s="22" t="n">
        <f aca="false">IF(AND(ISNUMBER(F1371),ISNUMBER(G1371)),IF(SIGN(D1371-E1371)=SIGN(F1371-G1371),48,0),"")</f>
        <v>48</v>
      </c>
      <c r="I1371" s="22" t="n">
        <f aca="false">IF(AND(ISNUMBER(F1371),ISNUMBER(G1371)),IF(D1371=F1371,15,0),"")</f>
        <v>15</v>
      </c>
      <c r="J1371" s="22" t="n">
        <f aca="false">IF(AND(ISNUMBER(F1371),ISNUMBER(G1371)),IF(E1371=G1371,15,0),"")</f>
        <v>15</v>
      </c>
      <c r="K1371" s="22" t="n">
        <f aca="false">IF(AND(ISNUMBER(F1371),ISNUMBER(G1371)),IF(ABS(D1371-E1371)=ABS(F1371-G1371),12,0),"")</f>
        <v>12</v>
      </c>
      <c r="L1371" s="23" t="n">
        <f aca="false">IF(ISNUMBER(H1371),H1371+I1371+J1371+K1371,"")</f>
        <v>90</v>
      </c>
    </row>
    <row r="1372" customFormat="false" ht="18" hidden="false" customHeight="true" outlineLevel="0" collapsed="false">
      <c r="A1372" s="25" t="s">
        <v>9</v>
      </c>
      <c r="B1372" s="32" t="s">
        <v>167</v>
      </c>
      <c r="C1372" s="27" t="s">
        <v>17</v>
      </c>
      <c r="D1372" s="28" t="n">
        <v>1</v>
      </c>
      <c r="E1372" s="28" t="n">
        <v>1</v>
      </c>
      <c r="F1372" s="29" t="n">
        <f aca="false">'📋 Matches'!E4</f>
        <v>1</v>
      </c>
      <c r="G1372" s="29" t="n">
        <f aca="false">'📋 Matches'!F4</f>
        <v>1</v>
      </c>
      <c r="H1372" s="22" t="n">
        <f aca="false">IF(AND(ISNUMBER(F1372),ISNUMBER(G1372)),IF(SIGN(D1372-E1372)=SIGN(F1372-G1372),48,0),"")</f>
        <v>48</v>
      </c>
      <c r="I1372" s="22" t="n">
        <f aca="false">IF(AND(ISNUMBER(F1372),ISNUMBER(G1372)),IF(D1372=F1372,15,0),"")</f>
        <v>15</v>
      </c>
      <c r="J1372" s="22" t="n">
        <f aca="false">IF(AND(ISNUMBER(F1372),ISNUMBER(G1372)),IF(E1372=G1372,15,0),"")</f>
        <v>15</v>
      </c>
      <c r="K1372" s="22" t="n">
        <f aca="false">IF(AND(ISNUMBER(F1372),ISNUMBER(G1372)),IF(ABS(D1372-E1372)=ABS(F1372-G1372),12,0),"")</f>
        <v>12</v>
      </c>
      <c r="L1372" s="23" t="n">
        <f aca="false">IF(ISNUMBER(H1372),H1372+I1372+J1372+K1372,"")</f>
        <v>90</v>
      </c>
    </row>
    <row r="1373" customFormat="false" ht="18" hidden="false" customHeight="true" outlineLevel="0" collapsed="false">
      <c r="A1373" s="25" t="s">
        <v>9</v>
      </c>
      <c r="B1373" s="32" t="s">
        <v>167</v>
      </c>
      <c r="C1373" s="27" t="s">
        <v>20</v>
      </c>
      <c r="D1373" s="28" t="n">
        <v>2</v>
      </c>
      <c r="E1373" s="28" t="n">
        <v>0</v>
      </c>
      <c r="F1373" s="29" t="n">
        <f aca="false">'📋 Matches'!E5</f>
        <v>4</v>
      </c>
      <c r="G1373" s="29" t="n">
        <f aca="false">'📋 Matches'!F5</f>
        <v>1</v>
      </c>
      <c r="H1373" s="22" t="n">
        <f aca="false">IF(AND(ISNUMBER(F1373),ISNUMBER(G1373)),IF(SIGN(D1373-E1373)=SIGN(F1373-G1373),48,0),"")</f>
        <v>48</v>
      </c>
      <c r="I1373" s="22" t="n">
        <f aca="false">IF(AND(ISNUMBER(F1373),ISNUMBER(G1373)),IF(D1373=F1373,15,0),"")</f>
        <v>0</v>
      </c>
      <c r="J1373" s="22" t="n">
        <f aca="false">IF(AND(ISNUMBER(F1373),ISNUMBER(G1373)),IF(E1373=G1373,15,0),"")</f>
        <v>0</v>
      </c>
      <c r="K1373" s="22" t="n">
        <f aca="false">IF(AND(ISNUMBER(F1373),ISNUMBER(G1373)),IF(ABS(D1373-E1373)=ABS(F1373-G1373),12,0),"")</f>
        <v>0</v>
      </c>
      <c r="L1373" s="23" t="n">
        <f aca="false">IF(ISNUMBER(H1373),H1373+I1373+J1373+K1373,"")</f>
        <v>48</v>
      </c>
    </row>
    <row r="1374" customFormat="false" ht="18" hidden="false" customHeight="true" outlineLevel="0" collapsed="false">
      <c r="A1374" s="25" t="s">
        <v>9</v>
      </c>
      <c r="B1374" s="32" t="s">
        <v>167</v>
      </c>
      <c r="C1374" s="27" t="s">
        <v>23</v>
      </c>
      <c r="D1374" s="28" t="n">
        <v>0</v>
      </c>
      <c r="E1374" s="28" t="n">
        <v>2</v>
      </c>
      <c r="F1374" s="29" t="n">
        <f aca="false">'📋 Matches'!E6</f>
        <v>0</v>
      </c>
      <c r="G1374" s="29" t="n">
        <f aca="false">'📋 Matches'!F6</f>
        <v>0</v>
      </c>
      <c r="H1374" s="22" t="str">
        <f aca="false">IF(AND(ISNUMBER(F1374),ISNUMBER(G1374)),IF(SIGN(D1374-E1374)=SIGN(F1374-G1374),48,0),"")</f>
        <v/>
      </c>
      <c r="I1374" s="22" t="str">
        <f aca="false">IF(AND(ISNUMBER(F1374),ISNUMBER(G1374)),IF(D1374=F1374,15,0),"")</f>
        <v/>
      </c>
      <c r="J1374" s="22" t="str">
        <f aca="false">IF(AND(ISNUMBER(F1374),ISNUMBER(G1374)),IF(E1374=G1374,15,0),"")</f>
        <v/>
      </c>
      <c r="K1374" s="22" t="str">
        <f aca="false">IF(AND(ISNUMBER(F1374),ISNUMBER(G1374)),IF(ABS(D1374-E1374)=ABS(F1374-G1374),12,0),"")</f>
        <v/>
      </c>
      <c r="L1374" s="23" t="str">
        <f aca="false">IF(ISNUMBER(H1374),H1374+I1374+J1374+K1374,"")</f>
        <v/>
      </c>
    </row>
    <row r="1375" customFormat="false" ht="18" hidden="false" customHeight="true" outlineLevel="0" collapsed="false">
      <c r="A1375" s="25" t="s">
        <v>9</v>
      </c>
      <c r="B1375" s="32" t="s">
        <v>167</v>
      </c>
      <c r="C1375" s="27" t="s">
        <v>27</v>
      </c>
      <c r="D1375" s="28" t="n">
        <v>3</v>
      </c>
      <c r="E1375" s="28" t="n">
        <v>1</v>
      </c>
      <c r="F1375" s="29" t="n">
        <f aca="false">'📋 Matches'!E7</f>
        <v>0</v>
      </c>
      <c r="G1375" s="29" t="n">
        <f aca="false">'📋 Matches'!F7</f>
        <v>0</v>
      </c>
      <c r="H1375" s="22" t="str">
        <f aca="false">IF(AND(ISNUMBER(F1375),ISNUMBER(G1375)),IF(SIGN(D1375-E1375)=SIGN(F1375-G1375),48,0),"")</f>
        <v/>
      </c>
      <c r="I1375" s="22" t="str">
        <f aca="false">IF(AND(ISNUMBER(F1375),ISNUMBER(G1375)),IF(D1375=F1375,15,0),"")</f>
        <v/>
      </c>
      <c r="J1375" s="22" t="str">
        <f aca="false">IF(AND(ISNUMBER(F1375),ISNUMBER(G1375)),IF(E1375=G1375,15,0),"")</f>
        <v/>
      </c>
      <c r="K1375" s="22" t="str">
        <f aca="false">IF(AND(ISNUMBER(F1375),ISNUMBER(G1375)),IF(ABS(D1375-E1375)=ABS(F1375-G1375),12,0),"")</f>
        <v/>
      </c>
      <c r="L1375" s="23" t="str">
        <f aca="false">IF(ISNUMBER(H1375),H1375+I1375+J1375+K1375,"")</f>
        <v/>
      </c>
    </row>
    <row r="1376" customFormat="false" ht="18" hidden="false" customHeight="true" outlineLevel="0" collapsed="false">
      <c r="A1376" s="25" t="s">
        <v>9</v>
      </c>
      <c r="B1376" s="32" t="s">
        <v>167</v>
      </c>
      <c r="C1376" s="27" t="s">
        <v>30</v>
      </c>
      <c r="D1376" s="28" t="n">
        <v>0</v>
      </c>
      <c r="E1376" s="28" t="n">
        <v>2</v>
      </c>
      <c r="F1376" s="29" t="n">
        <f aca="false">'📋 Matches'!E8</f>
        <v>0</v>
      </c>
      <c r="G1376" s="29" t="n">
        <f aca="false">'📋 Matches'!F8</f>
        <v>0</v>
      </c>
      <c r="H1376" s="22" t="str">
        <f aca="false">IF(AND(ISNUMBER(F1376),ISNUMBER(G1376)),IF(SIGN(D1376-E1376)=SIGN(F1376-G1376),48,0),"")</f>
        <v/>
      </c>
      <c r="I1376" s="22" t="str">
        <f aca="false">IF(AND(ISNUMBER(F1376),ISNUMBER(G1376)),IF(D1376=F1376,15,0),"")</f>
        <v/>
      </c>
      <c r="J1376" s="22" t="str">
        <f aca="false">IF(AND(ISNUMBER(F1376),ISNUMBER(G1376)),IF(E1376=G1376,15,0),"")</f>
        <v/>
      </c>
      <c r="K1376" s="22" t="str">
        <f aca="false">IF(AND(ISNUMBER(F1376),ISNUMBER(G1376)),IF(ABS(D1376-E1376)=ABS(F1376-G1376),12,0),"")</f>
        <v/>
      </c>
      <c r="L1376" s="23" t="str">
        <f aca="false">IF(ISNUMBER(H1376),H1376+I1376+J1376+K1376,"")</f>
        <v/>
      </c>
    </row>
    <row r="1377" customFormat="false" ht="18" hidden="false" customHeight="true" outlineLevel="0" collapsed="false">
      <c r="A1377" s="25" t="s">
        <v>9</v>
      </c>
      <c r="B1377" s="32" t="s">
        <v>167</v>
      </c>
      <c r="C1377" s="27" t="s">
        <v>33</v>
      </c>
      <c r="D1377" s="28" t="n">
        <v>1</v>
      </c>
      <c r="E1377" s="28" t="n">
        <v>3</v>
      </c>
      <c r="F1377" s="29" t="n">
        <f aca="false">'📋 Matches'!E9</f>
        <v>0</v>
      </c>
      <c r="G1377" s="29" t="n">
        <f aca="false">'📋 Matches'!F9</f>
        <v>0</v>
      </c>
      <c r="H1377" s="22" t="str">
        <f aca="false">IF(AND(ISNUMBER(F1377),ISNUMBER(G1377)),IF(SIGN(D1377-E1377)=SIGN(F1377-G1377),48,0),"")</f>
        <v/>
      </c>
      <c r="I1377" s="22" t="str">
        <f aca="false">IF(AND(ISNUMBER(F1377),ISNUMBER(G1377)),IF(D1377=F1377,15,0),"")</f>
        <v/>
      </c>
      <c r="J1377" s="22" t="str">
        <f aca="false">IF(AND(ISNUMBER(F1377),ISNUMBER(G1377)),IF(E1377=G1377,15,0),"")</f>
        <v/>
      </c>
      <c r="K1377" s="22" t="str">
        <f aca="false">IF(AND(ISNUMBER(F1377),ISNUMBER(G1377)),IF(ABS(D1377-E1377)=ABS(F1377-G1377),12,0),"")</f>
        <v/>
      </c>
      <c r="L1377" s="23" t="str">
        <f aca="false">IF(ISNUMBER(H1377),H1377+I1377+J1377+K1377,"")</f>
        <v/>
      </c>
    </row>
    <row r="1378" customFormat="false" ht="18" hidden="false" customHeight="true" outlineLevel="0" collapsed="false">
      <c r="A1378" s="25" t="s">
        <v>9</v>
      </c>
      <c r="B1378" s="32" t="s">
        <v>167</v>
      </c>
      <c r="C1378" s="27" t="s">
        <v>36</v>
      </c>
      <c r="D1378" s="28" t="n">
        <v>4</v>
      </c>
      <c r="E1378" s="28" t="n">
        <v>0</v>
      </c>
      <c r="F1378" s="29" t="n">
        <f aca="false">'📋 Matches'!E10</f>
        <v>0</v>
      </c>
      <c r="G1378" s="29" t="n">
        <f aca="false">'📋 Matches'!F10</f>
        <v>0</v>
      </c>
      <c r="H1378" s="22" t="str">
        <f aca="false">IF(AND(ISNUMBER(F1378),ISNUMBER(G1378)),IF(SIGN(D1378-E1378)=SIGN(F1378-G1378),48,0),"")</f>
        <v/>
      </c>
      <c r="I1378" s="22" t="str">
        <f aca="false">IF(AND(ISNUMBER(F1378),ISNUMBER(G1378)),IF(D1378=F1378,15,0),"")</f>
        <v/>
      </c>
      <c r="J1378" s="22" t="str">
        <f aca="false">IF(AND(ISNUMBER(F1378),ISNUMBER(G1378)),IF(E1378=G1378,15,0),"")</f>
        <v/>
      </c>
      <c r="K1378" s="22" t="str">
        <f aca="false">IF(AND(ISNUMBER(F1378),ISNUMBER(G1378)),IF(ABS(D1378-E1378)=ABS(F1378-G1378),12,0),"")</f>
        <v/>
      </c>
      <c r="L1378" s="23" t="str">
        <f aca="false">IF(ISNUMBER(H1378),H1378+I1378+J1378+K1378,"")</f>
        <v/>
      </c>
    </row>
    <row r="1379" customFormat="false" ht="18" hidden="false" customHeight="true" outlineLevel="0" collapsed="false">
      <c r="A1379" s="25" t="s">
        <v>9</v>
      </c>
      <c r="B1379" s="32" t="s">
        <v>167</v>
      </c>
      <c r="C1379" s="27" t="s">
        <v>39</v>
      </c>
      <c r="D1379" s="28" t="n">
        <v>2</v>
      </c>
      <c r="E1379" s="28" t="n">
        <v>2</v>
      </c>
      <c r="F1379" s="29" t="n">
        <f aca="false">'📋 Matches'!E11</f>
        <v>0</v>
      </c>
      <c r="G1379" s="29" t="n">
        <f aca="false">'📋 Matches'!F11</f>
        <v>0</v>
      </c>
      <c r="H1379" s="22" t="str">
        <f aca="false">IF(AND(ISNUMBER(F1379),ISNUMBER(G1379)),IF(SIGN(D1379-E1379)=SIGN(F1379-G1379),48,0),"")</f>
        <v/>
      </c>
      <c r="I1379" s="22" t="str">
        <f aca="false">IF(AND(ISNUMBER(F1379),ISNUMBER(G1379)),IF(D1379=F1379,15,0),"")</f>
        <v/>
      </c>
      <c r="J1379" s="22" t="str">
        <f aca="false">IF(AND(ISNUMBER(F1379),ISNUMBER(G1379)),IF(E1379=G1379,15,0),"")</f>
        <v/>
      </c>
      <c r="K1379" s="22" t="str">
        <f aca="false">IF(AND(ISNUMBER(F1379),ISNUMBER(G1379)),IF(ABS(D1379-E1379)=ABS(F1379-G1379),12,0),"")</f>
        <v/>
      </c>
      <c r="L1379" s="23" t="str">
        <f aca="false">IF(ISNUMBER(H1379),H1379+I1379+J1379+K1379,"")</f>
        <v/>
      </c>
    </row>
    <row r="1380" customFormat="false" ht="18" hidden="false" customHeight="true" outlineLevel="0" collapsed="false">
      <c r="A1380" s="25" t="s">
        <v>9</v>
      </c>
      <c r="B1380" s="32" t="s">
        <v>167</v>
      </c>
      <c r="C1380" s="27" t="s">
        <v>42</v>
      </c>
      <c r="D1380" s="28" t="n">
        <v>1</v>
      </c>
      <c r="E1380" s="28" t="n">
        <v>2</v>
      </c>
      <c r="F1380" s="29" t="n">
        <f aca="false">'📋 Matches'!E12</f>
        <v>0</v>
      </c>
      <c r="G1380" s="29" t="n">
        <f aca="false">'📋 Matches'!F12</f>
        <v>0</v>
      </c>
      <c r="H1380" s="22" t="str">
        <f aca="false">IF(AND(ISNUMBER(F1380),ISNUMBER(G1380)),IF(SIGN(D1380-E1380)=SIGN(F1380-G1380),48,0),"")</f>
        <v/>
      </c>
      <c r="I1380" s="22" t="str">
        <f aca="false">IF(AND(ISNUMBER(F1380),ISNUMBER(G1380)),IF(D1380=F1380,15,0),"")</f>
        <v/>
      </c>
      <c r="J1380" s="22" t="str">
        <f aca="false">IF(AND(ISNUMBER(F1380),ISNUMBER(G1380)),IF(E1380=G1380,15,0),"")</f>
        <v/>
      </c>
      <c r="K1380" s="22" t="str">
        <f aca="false">IF(AND(ISNUMBER(F1380),ISNUMBER(G1380)),IF(ABS(D1380-E1380)=ABS(F1380-G1380),12,0),"")</f>
        <v/>
      </c>
      <c r="L1380" s="23" t="str">
        <f aca="false">IF(ISNUMBER(H1380),H1380+I1380+J1380+K1380,"")</f>
        <v/>
      </c>
    </row>
    <row r="1381" customFormat="false" ht="18" hidden="false" customHeight="true" outlineLevel="0" collapsed="false">
      <c r="A1381" s="25" t="s">
        <v>9</v>
      </c>
      <c r="B1381" s="32" t="s">
        <v>167</v>
      </c>
      <c r="C1381" s="27" t="s">
        <v>45</v>
      </c>
      <c r="D1381" s="28" t="n">
        <v>2</v>
      </c>
      <c r="E1381" s="28" t="n">
        <v>1</v>
      </c>
      <c r="F1381" s="29" t="n">
        <f aca="false">'📋 Matches'!E13</f>
        <v>0</v>
      </c>
      <c r="G1381" s="29" t="n">
        <f aca="false">'📋 Matches'!F13</f>
        <v>0</v>
      </c>
      <c r="H1381" s="22" t="str">
        <f aca="false">IF(AND(ISNUMBER(F1381),ISNUMBER(G1381)),IF(SIGN(D1381-E1381)=SIGN(F1381-G1381),48,0),"")</f>
        <v/>
      </c>
      <c r="I1381" s="22" t="str">
        <f aca="false">IF(AND(ISNUMBER(F1381),ISNUMBER(G1381)),IF(D1381=F1381,15,0),"")</f>
        <v/>
      </c>
      <c r="J1381" s="22" t="str">
        <f aca="false">IF(AND(ISNUMBER(F1381),ISNUMBER(G1381)),IF(E1381=G1381,15,0),"")</f>
        <v/>
      </c>
      <c r="K1381" s="22" t="str">
        <f aca="false">IF(AND(ISNUMBER(F1381),ISNUMBER(G1381)),IF(ABS(D1381-E1381)=ABS(F1381-G1381),12,0),"")</f>
        <v/>
      </c>
      <c r="L1381" s="23" t="str">
        <f aca="false">IF(ISNUMBER(H1381),H1381+I1381+J1381+K1381,"")</f>
        <v/>
      </c>
    </row>
    <row r="1382" customFormat="false" ht="18" hidden="false" customHeight="true" outlineLevel="0" collapsed="false">
      <c r="A1382" s="25" t="s">
        <v>9</v>
      </c>
      <c r="B1382" s="32" t="s">
        <v>167</v>
      </c>
      <c r="C1382" s="27" t="s">
        <v>48</v>
      </c>
      <c r="D1382" s="28" t="n">
        <v>3</v>
      </c>
      <c r="E1382" s="28" t="n">
        <v>0</v>
      </c>
      <c r="F1382" s="29" t="n">
        <f aca="false">'📋 Matches'!E14</f>
        <v>0</v>
      </c>
      <c r="G1382" s="29" t="n">
        <f aca="false">'📋 Matches'!F14</f>
        <v>0</v>
      </c>
      <c r="H1382" s="22" t="str">
        <f aca="false">IF(AND(ISNUMBER(F1382),ISNUMBER(G1382)),IF(SIGN(D1382-E1382)=SIGN(F1382-G1382),48,0),"")</f>
        <v/>
      </c>
      <c r="I1382" s="22" t="str">
        <f aca="false">IF(AND(ISNUMBER(F1382),ISNUMBER(G1382)),IF(D1382=F1382,15,0),"")</f>
        <v/>
      </c>
      <c r="J1382" s="22" t="str">
        <f aca="false">IF(AND(ISNUMBER(F1382),ISNUMBER(G1382)),IF(E1382=G1382,15,0),"")</f>
        <v/>
      </c>
      <c r="K1382" s="22" t="str">
        <f aca="false">IF(AND(ISNUMBER(F1382),ISNUMBER(G1382)),IF(ABS(D1382-E1382)=ABS(F1382-G1382),12,0),"")</f>
        <v/>
      </c>
      <c r="L1382" s="23" t="str">
        <f aca="false">IF(ISNUMBER(H1382),H1382+I1382+J1382+K1382,"")</f>
        <v/>
      </c>
    </row>
    <row r="1383" customFormat="false" ht="18" hidden="false" customHeight="true" outlineLevel="0" collapsed="false">
      <c r="A1383" s="25" t="s">
        <v>9</v>
      </c>
      <c r="B1383" s="32" t="s">
        <v>167</v>
      </c>
      <c r="C1383" s="27" t="s">
        <v>51</v>
      </c>
      <c r="D1383" s="28" t="n">
        <v>2</v>
      </c>
      <c r="E1383" s="28" t="n">
        <v>1</v>
      </c>
      <c r="F1383" s="29" t="n">
        <f aca="false">'📋 Matches'!E15</f>
        <v>0</v>
      </c>
      <c r="G1383" s="29" t="n">
        <f aca="false">'📋 Matches'!F15</f>
        <v>0</v>
      </c>
      <c r="H1383" s="22" t="str">
        <f aca="false">IF(AND(ISNUMBER(F1383),ISNUMBER(G1383)),IF(SIGN(D1383-E1383)=SIGN(F1383-G1383),48,0),"")</f>
        <v/>
      </c>
      <c r="I1383" s="22" t="str">
        <f aca="false">IF(AND(ISNUMBER(F1383),ISNUMBER(G1383)),IF(D1383=F1383,15,0),"")</f>
        <v/>
      </c>
      <c r="J1383" s="22" t="str">
        <f aca="false">IF(AND(ISNUMBER(F1383),ISNUMBER(G1383)),IF(E1383=G1383,15,0),"")</f>
        <v/>
      </c>
      <c r="K1383" s="22" t="str">
        <f aca="false">IF(AND(ISNUMBER(F1383),ISNUMBER(G1383)),IF(ABS(D1383-E1383)=ABS(F1383-G1383),12,0),"")</f>
        <v/>
      </c>
      <c r="L1383" s="23" t="str">
        <f aca="false">IF(ISNUMBER(H1383),H1383+I1383+J1383+K1383,"")</f>
        <v/>
      </c>
    </row>
    <row r="1384" customFormat="false" ht="18" hidden="false" customHeight="true" outlineLevel="0" collapsed="false">
      <c r="A1384" s="25" t="s">
        <v>9</v>
      </c>
      <c r="B1384" s="32" t="s">
        <v>167</v>
      </c>
      <c r="C1384" s="27" t="s">
        <v>54</v>
      </c>
      <c r="D1384" s="28" t="n">
        <v>0</v>
      </c>
      <c r="E1384" s="28" t="n">
        <v>3</v>
      </c>
      <c r="F1384" s="29" t="n">
        <f aca="false">'📋 Matches'!E16</f>
        <v>0</v>
      </c>
      <c r="G1384" s="29" t="n">
        <f aca="false">'📋 Matches'!F16</f>
        <v>0</v>
      </c>
      <c r="H1384" s="22" t="str">
        <f aca="false">IF(AND(ISNUMBER(F1384),ISNUMBER(G1384)),IF(SIGN(D1384-E1384)=SIGN(F1384-G1384),48,0),"")</f>
        <v/>
      </c>
      <c r="I1384" s="22" t="str">
        <f aca="false">IF(AND(ISNUMBER(F1384),ISNUMBER(G1384)),IF(D1384=F1384,15,0),"")</f>
        <v/>
      </c>
      <c r="J1384" s="22" t="str">
        <f aca="false">IF(AND(ISNUMBER(F1384),ISNUMBER(G1384)),IF(E1384=G1384,15,0),"")</f>
        <v/>
      </c>
      <c r="K1384" s="22" t="str">
        <f aca="false">IF(AND(ISNUMBER(F1384),ISNUMBER(G1384)),IF(ABS(D1384-E1384)=ABS(F1384-G1384),12,0),"")</f>
        <v/>
      </c>
      <c r="L1384" s="23" t="str">
        <f aca="false">IF(ISNUMBER(H1384),H1384+I1384+J1384+K1384,"")</f>
        <v/>
      </c>
    </row>
    <row r="1385" customFormat="false" ht="18" hidden="false" customHeight="true" outlineLevel="0" collapsed="false">
      <c r="A1385" s="25" t="s">
        <v>9</v>
      </c>
      <c r="B1385" s="32" t="s">
        <v>167</v>
      </c>
      <c r="C1385" s="27" t="s">
        <v>57</v>
      </c>
      <c r="D1385" s="28" t="n">
        <v>3</v>
      </c>
      <c r="E1385" s="28" t="n">
        <v>1</v>
      </c>
      <c r="F1385" s="29" t="n">
        <f aca="false">'📋 Matches'!E17</f>
        <v>0</v>
      </c>
      <c r="G1385" s="29" t="n">
        <f aca="false">'📋 Matches'!F17</f>
        <v>0</v>
      </c>
      <c r="H1385" s="22" t="str">
        <f aca="false">IF(AND(ISNUMBER(F1385),ISNUMBER(G1385)),IF(SIGN(D1385-E1385)=SIGN(F1385-G1385),48,0),"")</f>
        <v/>
      </c>
      <c r="I1385" s="22" t="str">
        <f aca="false">IF(AND(ISNUMBER(F1385),ISNUMBER(G1385)),IF(D1385=F1385,15,0),"")</f>
        <v/>
      </c>
      <c r="J1385" s="22" t="str">
        <f aca="false">IF(AND(ISNUMBER(F1385),ISNUMBER(G1385)),IF(E1385=G1385,15,0),"")</f>
        <v/>
      </c>
      <c r="K1385" s="22" t="str">
        <f aca="false">IF(AND(ISNUMBER(F1385),ISNUMBER(G1385)),IF(ABS(D1385-E1385)=ABS(F1385-G1385),12,0),"")</f>
        <v/>
      </c>
      <c r="L1385" s="23" t="str">
        <f aca="false">IF(ISNUMBER(H1385),H1385+I1385+J1385+K1385,"")</f>
        <v/>
      </c>
    </row>
    <row r="1386" customFormat="false" ht="18" hidden="false" customHeight="true" outlineLevel="0" collapsed="false">
      <c r="A1386" s="25" t="s">
        <v>9</v>
      </c>
      <c r="B1386" s="32" t="s">
        <v>167</v>
      </c>
      <c r="C1386" s="27" t="s">
        <v>60</v>
      </c>
      <c r="D1386" s="28" t="n">
        <v>2</v>
      </c>
      <c r="E1386" s="28" t="n">
        <v>0</v>
      </c>
      <c r="F1386" s="29" t="n">
        <f aca="false">'📋 Matches'!E18</f>
        <v>0</v>
      </c>
      <c r="G1386" s="29" t="n">
        <f aca="false">'📋 Matches'!F18</f>
        <v>0</v>
      </c>
      <c r="H1386" s="22" t="str">
        <f aca="false">IF(AND(ISNUMBER(F1386),ISNUMBER(G1386)),IF(SIGN(D1386-E1386)=SIGN(F1386-G1386),48,0),"")</f>
        <v/>
      </c>
      <c r="I1386" s="22" t="str">
        <f aca="false">IF(AND(ISNUMBER(F1386),ISNUMBER(G1386)),IF(D1386=F1386,15,0),"")</f>
        <v/>
      </c>
      <c r="J1386" s="22" t="str">
        <f aca="false">IF(AND(ISNUMBER(F1386),ISNUMBER(G1386)),IF(E1386=G1386,15,0),"")</f>
        <v/>
      </c>
      <c r="K1386" s="22" t="str">
        <f aca="false">IF(AND(ISNUMBER(F1386),ISNUMBER(G1386)),IF(ABS(D1386-E1386)=ABS(F1386-G1386),12,0),"")</f>
        <v/>
      </c>
      <c r="L1386" s="23" t="str">
        <f aca="false">IF(ISNUMBER(H1386),H1386+I1386+J1386+K1386,"")</f>
        <v/>
      </c>
    </row>
    <row r="1387" customFormat="false" ht="18" hidden="false" customHeight="true" outlineLevel="0" collapsed="false">
      <c r="A1387" s="25" t="s">
        <v>9</v>
      </c>
      <c r="B1387" s="32" t="s">
        <v>167</v>
      </c>
      <c r="C1387" s="27" t="s">
        <v>63</v>
      </c>
      <c r="D1387" s="28" t="n">
        <v>1</v>
      </c>
      <c r="E1387" s="28" t="n">
        <v>4</v>
      </c>
      <c r="F1387" s="29" t="n">
        <f aca="false">'📋 Matches'!E19</f>
        <v>0</v>
      </c>
      <c r="G1387" s="29" t="n">
        <f aca="false">'📋 Matches'!F19</f>
        <v>0</v>
      </c>
      <c r="H1387" s="22" t="str">
        <f aca="false">IF(AND(ISNUMBER(F1387),ISNUMBER(G1387)),IF(SIGN(D1387-E1387)=SIGN(F1387-G1387),48,0),"")</f>
        <v/>
      </c>
      <c r="I1387" s="22" t="str">
        <f aca="false">IF(AND(ISNUMBER(F1387),ISNUMBER(G1387)),IF(D1387=F1387,15,0),"")</f>
        <v/>
      </c>
      <c r="J1387" s="22" t="str">
        <f aca="false">IF(AND(ISNUMBER(F1387),ISNUMBER(G1387)),IF(E1387=G1387,15,0),"")</f>
        <v/>
      </c>
      <c r="K1387" s="22" t="str">
        <f aca="false">IF(AND(ISNUMBER(F1387),ISNUMBER(G1387)),IF(ABS(D1387-E1387)=ABS(F1387-G1387),12,0),"")</f>
        <v/>
      </c>
      <c r="L1387" s="23" t="str">
        <f aca="false">IF(ISNUMBER(H1387),H1387+I1387+J1387+K1387,"")</f>
        <v/>
      </c>
    </row>
    <row r="1388" customFormat="false" ht="18" hidden="false" customHeight="true" outlineLevel="0" collapsed="false">
      <c r="A1388" s="25" t="s">
        <v>9</v>
      </c>
      <c r="B1388" s="32" t="s">
        <v>167</v>
      </c>
      <c r="C1388" s="27" t="s">
        <v>66</v>
      </c>
      <c r="D1388" s="28" t="n">
        <v>4</v>
      </c>
      <c r="E1388" s="28" t="n">
        <v>1</v>
      </c>
      <c r="F1388" s="29" t="n">
        <f aca="false">'📋 Matches'!E20</f>
        <v>0</v>
      </c>
      <c r="G1388" s="29" t="n">
        <f aca="false">'📋 Matches'!F20</f>
        <v>0</v>
      </c>
      <c r="H1388" s="22" t="str">
        <f aca="false">IF(AND(ISNUMBER(F1388),ISNUMBER(G1388)),IF(SIGN(D1388-E1388)=SIGN(F1388-G1388),48,0),"")</f>
        <v/>
      </c>
      <c r="I1388" s="22" t="str">
        <f aca="false">IF(AND(ISNUMBER(F1388),ISNUMBER(G1388)),IF(D1388=F1388,15,0),"")</f>
        <v/>
      </c>
      <c r="J1388" s="22" t="str">
        <f aca="false">IF(AND(ISNUMBER(F1388),ISNUMBER(G1388)),IF(E1388=G1388,15,0),"")</f>
        <v/>
      </c>
      <c r="K1388" s="22" t="str">
        <f aca="false">IF(AND(ISNUMBER(F1388),ISNUMBER(G1388)),IF(ABS(D1388-E1388)=ABS(F1388-G1388),12,0),"")</f>
        <v/>
      </c>
      <c r="L1388" s="23" t="str">
        <f aca="false">IF(ISNUMBER(H1388),H1388+I1388+J1388+K1388,"")</f>
        <v/>
      </c>
    </row>
    <row r="1389" customFormat="false" ht="18" hidden="false" customHeight="true" outlineLevel="0" collapsed="false">
      <c r="A1389" s="25" t="s">
        <v>9</v>
      </c>
      <c r="B1389" s="32" t="s">
        <v>167</v>
      </c>
      <c r="C1389" s="27" t="s">
        <v>69</v>
      </c>
      <c r="D1389" s="28" t="n">
        <v>2</v>
      </c>
      <c r="E1389" s="28" t="n">
        <v>0</v>
      </c>
      <c r="F1389" s="29" t="n">
        <f aca="false">'📋 Matches'!E21</f>
        <v>0</v>
      </c>
      <c r="G1389" s="29" t="n">
        <f aca="false">'📋 Matches'!F21</f>
        <v>0</v>
      </c>
      <c r="H1389" s="22" t="str">
        <f aca="false">IF(AND(ISNUMBER(F1389),ISNUMBER(G1389)),IF(SIGN(D1389-E1389)=SIGN(F1389-G1389),48,0),"")</f>
        <v/>
      </c>
      <c r="I1389" s="22" t="str">
        <f aca="false">IF(AND(ISNUMBER(F1389),ISNUMBER(G1389)),IF(D1389=F1389,15,0),"")</f>
        <v/>
      </c>
      <c r="J1389" s="22" t="str">
        <f aca="false">IF(AND(ISNUMBER(F1389),ISNUMBER(G1389)),IF(E1389=G1389,15,0),"")</f>
        <v/>
      </c>
      <c r="K1389" s="22" t="str">
        <f aca="false">IF(AND(ISNUMBER(F1389),ISNUMBER(G1389)),IF(ABS(D1389-E1389)=ABS(F1389-G1389),12,0),"")</f>
        <v/>
      </c>
      <c r="L1389" s="23" t="str">
        <f aca="false">IF(ISNUMBER(H1389),H1389+I1389+J1389+K1389,"")</f>
        <v/>
      </c>
    </row>
    <row r="1390" customFormat="false" ht="18" hidden="false" customHeight="true" outlineLevel="0" collapsed="false">
      <c r="A1390" s="25" t="s">
        <v>9</v>
      </c>
      <c r="B1390" s="32" t="s">
        <v>167</v>
      </c>
      <c r="C1390" s="27" t="s">
        <v>72</v>
      </c>
      <c r="D1390" s="28" t="n">
        <v>2</v>
      </c>
      <c r="E1390" s="28" t="n">
        <v>0</v>
      </c>
      <c r="F1390" s="29" t="n">
        <f aca="false">'📋 Matches'!E22</f>
        <v>0</v>
      </c>
      <c r="G1390" s="29" t="n">
        <f aca="false">'📋 Matches'!F22</f>
        <v>0</v>
      </c>
      <c r="H1390" s="22" t="str">
        <f aca="false">IF(AND(ISNUMBER(F1390),ISNUMBER(G1390)),IF(SIGN(D1390-E1390)=SIGN(F1390-G1390),48,0),"")</f>
        <v/>
      </c>
      <c r="I1390" s="22" t="str">
        <f aca="false">IF(AND(ISNUMBER(F1390),ISNUMBER(G1390)),IF(D1390=F1390,15,0),"")</f>
        <v/>
      </c>
      <c r="J1390" s="22" t="str">
        <f aca="false">IF(AND(ISNUMBER(F1390),ISNUMBER(G1390)),IF(E1390=G1390,15,0),"")</f>
        <v/>
      </c>
      <c r="K1390" s="22" t="str">
        <f aca="false">IF(AND(ISNUMBER(F1390),ISNUMBER(G1390)),IF(ABS(D1390-E1390)=ABS(F1390-G1390),12,0),"")</f>
        <v/>
      </c>
      <c r="L1390" s="23" t="str">
        <f aca="false">IF(ISNUMBER(H1390),H1390+I1390+J1390+K1390,"")</f>
        <v/>
      </c>
    </row>
    <row r="1391" customFormat="false" ht="18" hidden="false" customHeight="true" outlineLevel="0" collapsed="false">
      <c r="A1391" s="25" t="s">
        <v>9</v>
      </c>
      <c r="B1391" s="32" t="s">
        <v>167</v>
      </c>
      <c r="C1391" s="27" t="s">
        <v>75</v>
      </c>
      <c r="D1391" s="28" t="n">
        <v>2</v>
      </c>
      <c r="E1391" s="28" t="n">
        <v>1</v>
      </c>
      <c r="F1391" s="29" t="n">
        <f aca="false">'📋 Matches'!E23</f>
        <v>0</v>
      </c>
      <c r="G1391" s="29" t="n">
        <f aca="false">'📋 Matches'!F23</f>
        <v>0</v>
      </c>
      <c r="H1391" s="22" t="str">
        <f aca="false">IF(AND(ISNUMBER(F1391),ISNUMBER(G1391)),IF(SIGN(D1391-E1391)=SIGN(F1391-G1391),48,0),"")</f>
        <v/>
      </c>
      <c r="I1391" s="22" t="str">
        <f aca="false">IF(AND(ISNUMBER(F1391),ISNUMBER(G1391)),IF(D1391=F1391,15,0),"")</f>
        <v/>
      </c>
      <c r="J1391" s="22" t="str">
        <f aca="false">IF(AND(ISNUMBER(F1391),ISNUMBER(G1391)),IF(E1391=G1391,15,0),"")</f>
        <v/>
      </c>
      <c r="K1391" s="22" t="str">
        <f aca="false">IF(AND(ISNUMBER(F1391),ISNUMBER(G1391)),IF(ABS(D1391-E1391)=ABS(F1391-G1391),12,0),"")</f>
        <v/>
      </c>
      <c r="L1391" s="23" t="str">
        <f aca="false">IF(ISNUMBER(H1391),H1391+I1391+J1391+K1391,"")</f>
        <v/>
      </c>
    </row>
    <row r="1392" customFormat="false" ht="18" hidden="false" customHeight="true" outlineLevel="0" collapsed="false">
      <c r="A1392" s="25" t="s">
        <v>9</v>
      </c>
      <c r="B1392" s="32" t="s">
        <v>167</v>
      </c>
      <c r="C1392" s="27" t="s">
        <v>78</v>
      </c>
      <c r="D1392" s="28" t="n">
        <v>1</v>
      </c>
      <c r="E1392" s="28" t="n">
        <v>0</v>
      </c>
      <c r="F1392" s="29" t="n">
        <f aca="false">'📋 Matches'!E24</f>
        <v>0</v>
      </c>
      <c r="G1392" s="29" t="n">
        <f aca="false">'📋 Matches'!F24</f>
        <v>0</v>
      </c>
      <c r="H1392" s="22" t="str">
        <f aca="false">IF(AND(ISNUMBER(F1392),ISNUMBER(G1392)),IF(SIGN(D1392-E1392)=SIGN(F1392-G1392),48,0),"")</f>
        <v/>
      </c>
      <c r="I1392" s="22" t="str">
        <f aca="false">IF(AND(ISNUMBER(F1392),ISNUMBER(G1392)),IF(D1392=F1392,15,0),"")</f>
        <v/>
      </c>
      <c r="J1392" s="22" t="str">
        <f aca="false">IF(AND(ISNUMBER(F1392),ISNUMBER(G1392)),IF(E1392=G1392,15,0),"")</f>
        <v/>
      </c>
      <c r="K1392" s="22" t="str">
        <f aca="false">IF(AND(ISNUMBER(F1392),ISNUMBER(G1392)),IF(ABS(D1392-E1392)=ABS(F1392-G1392),12,0),"")</f>
        <v/>
      </c>
      <c r="L1392" s="23" t="str">
        <f aca="false">IF(ISNUMBER(H1392),H1392+I1392+J1392+K1392,"")</f>
        <v/>
      </c>
    </row>
    <row r="1393" customFormat="false" ht="18" hidden="false" customHeight="true" outlineLevel="0" collapsed="false">
      <c r="A1393" s="25" t="s">
        <v>9</v>
      </c>
      <c r="B1393" s="32" t="s">
        <v>167</v>
      </c>
      <c r="C1393" s="27" t="s">
        <v>81</v>
      </c>
      <c r="D1393" s="28" t="n">
        <v>0</v>
      </c>
      <c r="E1393" s="28" t="n">
        <v>3</v>
      </c>
      <c r="F1393" s="29" t="n">
        <f aca="false">'📋 Matches'!E25</f>
        <v>0</v>
      </c>
      <c r="G1393" s="29" t="n">
        <f aca="false">'📋 Matches'!F25</f>
        <v>0</v>
      </c>
      <c r="H1393" s="22" t="str">
        <f aca="false">IF(AND(ISNUMBER(F1393),ISNUMBER(G1393)),IF(SIGN(D1393-E1393)=SIGN(F1393-G1393),48,0),"")</f>
        <v/>
      </c>
      <c r="I1393" s="22" t="str">
        <f aca="false">IF(AND(ISNUMBER(F1393),ISNUMBER(G1393)),IF(D1393=F1393,15,0),"")</f>
        <v/>
      </c>
      <c r="J1393" s="22" t="str">
        <f aca="false">IF(AND(ISNUMBER(F1393),ISNUMBER(G1393)),IF(E1393=G1393,15,0),"")</f>
        <v/>
      </c>
      <c r="K1393" s="22" t="str">
        <f aca="false">IF(AND(ISNUMBER(F1393),ISNUMBER(G1393)),IF(ABS(D1393-E1393)=ABS(F1393-G1393),12,0),"")</f>
        <v/>
      </c>
      <c r="L1393" s="23" t="str">
        <f aca="false">IF(ISNUMBER(H1393),H1393+I1393+J1393+K1393,"")</f>
        <v/>
      </c>
    </row>
    <row r="1394" customFormat="false" ht="18" hidden="false" customHeight="true" outlineLevel="0" collapsed="false">
      <c r="A1394" s="25" t="s">
        <v>84</v>
      </c>
      <c r="B1394" s="32" t="s">
        <v>167</v>
      </c>
      <c r="C1394" s="27" t="s">
        <v>85</v>
      </c>
      <c r="D1394" s="28"/>
      <c r="E1394" s="28"/>
      <c r="F1394" s="29" t="n">
        <f aca="false">'📋 Matches'!E26</f>
        <v>0</v>
      </c>
      <c r="G1394" s="29" t="n">
        <f aca="false">'📋 Matches'!F26</f>
        <v>0</v>
      </c>
      <c r="H1394" s="30" t="s">
        <v>148</v>
      </c>
      <c r="I1394" s="30" t="s">
        <v>148</v>
      </c>
      <c r="J1394" s="30" t="s">
        <v>148</v>
      </c>
      <c r="K1394" s="30" t="s">
        <v>148</v>
      </c>
      <c r="L1394" s="30" t="s">
        <v>148</v>
      </c>
    </row>
    <row r="1395" customFormat="false" ht="18" hidden="false" customHeight="true" outlineLevel="0" collapsed="false">
      <c r="A1395" s="25" t="s">
        <v>84</v>
      </c>
      <c r="B1395" s="32" t="s">
        <v>167</v>
      </c>
      <c r="C1395" s="27" t="s">
        <v>87</v>
      </c>
      <c r="D1395" s="28"/>
      <c r="E1395" s="28"/>
      <c r="F1395" s="29" t="n">
        <f aca="false">'📋 Matches'!E27</f>
        <v>0</v>
      </c>
      <c r="G1395" s="29" t="n">
        <f aca="false">'📋 Matches'!F27</f>
        <v>0</v>
      </c>
      <c r="H1395" s="30" t="s">
        <v>148</v>
      </c>
      <c r="I1395" s="30" t="s">
        <v>148</v>
      </c>
      <c r="J1395" s="30" t="s">
        <v>148</v>
      </c>
      <c r="K1395" s="30" t="s">
        <v>148</v>
      </c>
      <c r="L1395" s="30" t="s">
        <v>148</v>
      </c>
    </row>
    <row r="1396" customFormat="false" ht="18" hidden="false" customHeight="true" outlineLevel="0" collapsed="false">
      <c r="A1396" s="25" t="s">
        <v>84</v>
      </c>
      <c r="B1396" s="32" t="s">
        <v>167</v>
      </c>
      <c r="C1396" s="27" t="s">
        <v>89</v>
      </c>
      <c r="D1396" s="28"/>
      <c r="E1396" s="28"/>
      <c r="F1396" s="29" t="n">
        <f aca="false">'📋 Matches'!E28</f>
        <v>0</v>
      </c>
      <c r="G1396" s="29" t="n">
        <f aca="false">'📋 Matches'!F28</f>
        <v>0</v>
      </c>
      <c r="H1396" s="30" t="s">
        <v>148</v>
      </c>
      <c r="I1396" s="30" t="s">
        <v>148</v>
      </c>
      <c r="J1396" s="30" t="s">
        <v>148</v>
      </c>
      <c r="K1396" s="30" t="s">
        <v>148</v>
      </c>
      <c r="L1396" s="30" t="s">
        <v>148</v>
      </c>
    </row>
    <row r="1397" customFormat="false" ht="18" hidden="false" customHeight="true" outlineLevel="0" collapsed="false">
      <c r="A1397" s="25" t="s">
        <v>84</v>
      </c>
      <c r="B1397" s="32" t="s">
        <v>167</v>
      </c>
      <c r="C1397" s="27" t="s">
        <v>90</v>
      </c>
      <c r="D1397" s="28"/>
      <c r="E1397" s="28"/>
      <c r="F1397" s="29" t="n">
        <f aca="false">'📋 Matches'!E29</f>
        <v>0</v>
      </c>
      <c r="G1397" s="29" t="n">
        <f aca="false">'📋 Matches'!F29</f>
        <v>0</v>
      </c>
      <c r="H1397" s="30" t="s">
        <v>148</v>
      </c>
      <c r="I1397" s="30" t="s">
        <v>148</v>
      </c>
      <c r="J1397" s="30" t="s">
        <v>148</v>
      </c>
      <c r="K1397" s="30" t="s">
        <v>148</v>
      </c>
      <c r="L1397" s="30" t="s">
        <v>148</v>
      </c>
    </row>
    <row r="1398" customFormat="false" ht="18" hidden="false" customHeight="true" outlineLevel="0" collapsed="false">
      <c r="A1398" s="25" t="s">
        <v>84</v>
      </c>
      <c r="B1398" s="32" t="s">
        <v>167</v>
      </c>
      <c r="C1398" s="27" t="s">
        <v>91</v>
      </c>
      <c r="D1398" s="28"/>
      <c r="E1398" s="28"/>
      <c r="F1398" s="29" t="n">
        <f aca="false">'📋 Matches'!E30</f>
        <v>0</v>
      </c>
      <c r="G1398" s="29" t="n">
        <f aca="false">'📋 Matches'!F30</f>
        <v>0</v>
      </c>
      <c r="H1398" s="30" t="s">
        <v>148</v>
      </c>
      <c r="I1398" s="30" t="s">
        <v>148</v>
      </c>
      <c r="J1398" s="30" t="s">
        <v>148</v>
      </c>
      <c r="K1398" s="30" t="s">
        <v>148</v>
      </c>
      <c r="L1398" s="30" t="s">
        <v>148</v>
      </c>
    </row>
    <row r="1399" customFormat="false" ht="18" hidden="false" customHeight="true" outlineLevel="0" collapsed="false">
      <c r="A1399" s="25" t="s">
        <v>84</v>
      </c>
      <c r="B1399" s="32" t="s">
        <v>167</v>
      </c>
      <c r="C1399" s="27" t="s">
        <v>92</v>
      </c>
      <c r="D1399" s="28"/>
      <c r="E1399" s="28"/>
      <c r="F1399" s="29" t="n">
        <f aca="false">'📋 Matches'!E31</f>
        <v>0</v>
      </c>
      <c r="G1399" s="29" t="n">
        <f aca="false">'📋 Matches'!F31</f>
        <v>0</v>
      </c>
      <c r="H1399" s="30" t="s">
        <v>148</v>
      </c>
      <c r="I1399" s="30" t="s">
        <v>148</v>
      </c>
      <c r="J1399" s="30" t="s">
        <v>148</v>
      </c>
      <c r="K1399" s="30" t="s">
        <v>148</v>
      </c>
      <c r="L1399" s="30" t="s">
        <v>148</v>
      </c>
    </row>
    <row r="1400" customFormat="false" ht="18" hidden="false" customHeight="true" outlineLevel="0" collapsed="false">
      <c r="A1400" s="25" t="s">
        <v>84</v>
      </c>
      <c r="B1400" s="32" t="s">
        <v>167</v>
      </c>
      <c r="C1400" s="27" t="s">
        <v>93</v>
      </c>
      <c r="D1400" s="28"/>
      <c r="E1400" s="28"/>
      <c r="F1400" s="29" t="n">
        <f aca="false">'📋 Matches'!E32</f>
        <v>0</v>
      </c>
      <c r="G1400" s="29" t="n">
        <f aca="false">'📋 Matches'!F32</f>
        <v>0</v>
      </c>
      <c r="H1400" s="30" t="s">
        <v>148</v>
      </c>
      <c r="I1400" s="30" t="s">
        <v>148</v>
      </c>
      <c r="J1400" s="30" t="s">
        <v>148</v>
      </c>
      <c r="K1400" s="30" t="s">
        <v>148</v>
      </c>
      <c r="L1400" s="30" t="s">
        <v>148</v>
      </c>
    </row>
    <row r="1401" customFormat="false" ht="18" hidden="false" customHeight="true" outlineLevel="0" collapsed="false">
      <c r="A1401" s="25" t="s">
        <v>84</v>
      </c>
      <c r="B1401" s="32" t="s">
        <v>167</v>
      </c>
      <c r="C1401" s="27" t="s">
        <v>94</v>
      </c>
      <c r="D1401" s="28"/>
      <c r="E1401" s="28"/>
      <c r="F1401" s="29" t="n">
        <f aca="false">'📋 Matches'!E33</f>
        <v>0</v>
      </c>
      <c r="G1401" s="29" t="n">
        <f aca="false">'📋 Matches'!F33</f>
        <v>0</v>
      </c>
      <c r="H1401" s="30" t="s">
        <v>148</v>
      </c>
      <c r="I1401" s="30" t="s">
        <v>148</v>
      </c>
      <c r="J1401" s="30" t="s">
        <v>148</v>
      </c>
      <c r="K1401" s="30" t="s">
        <v>148</v>
      </c>
      <c r="L1401" s="30" t="s">
        <v>148</v>
      </c>
    </row>
    <row r="1402" customFormat="false" ht="18" hidden="false" customHeight="true" outlineLevel="0" collapsed="false">
      <c r="A1402" s="25" t="s">
        <v>84</v>
      </c>
      <c r="B1402" s="32" t="s">
        <v>167</v>
      </c>
      <c r="C1402" s="27" t="s">
        <v>96</v>
      </c>
      <c r="D1402" s="28"/>
      <c r="E1402" s="28"/>
      <c r="F1402" s="29" t="n">
        <f aca="false">'📋 Matches'!E34</f>
        <v>0</v>
      </c>
      <c r="G1402" s="29" t="n">
        <f aca="false">'📋 Matches'!F34</f>
        <v>0</v>
      </c>
      <c r="H1402" s="30" t="s">
        <v>148</v>
      </c>
      <c r="I1402" s="30" t="s">
        <v>148</v>
      </c>
      <c r="J1402" s="30" t="s">
        <v>148</v>
      </c>
      <c r="K1402" s="30" t="s">
        <v>148</v>
      </c>
      <c r="L1402" s="30" t="s">
        <v>148</v>
      </c>
    </row>
    <row r="1403" customFormat="false" ht="18" hidden="false" customHeight="true" outlineLevel="0" collapsed="false">
      <c r="A1403" s="25" t="s">
        <v>84</v>
      </c>
      <c r="B1403" s="32" t="s">
        <v>167</v>
      </c>
      <c r="C1403" s="27" t="s">
        <v>97</v>
      </c>
      <c r="D1403" s="28"/>
      <c r="E1403" s="28"/>
      <c r="F1403" s="29" t="n">
        <f aca="false">'📋 Matches'!E35</f>
        <v>0</v>
      </c>
      <c r="G1403" s="29" t="n">
        <f aca="false">'📋 Matches'!F35</f>
        <v>0</v>
      </c>
      <c r="H1403" s="30" t="s">
        <v>148</v>
      </c>
      <c r="I1403" s="30" t="s">
        <v>148</v>
      </c>
      <c r="J1403" s="30" t="s">
        <v>148</v>
      </c>
      <c r="K1403" s="30" t="s">
        <v>148</v>
      </c>
      <c r="L1403" s="30" t="s">
        <v>148</v>
      </c>
    </row>
    <row r="1404" customFormat="false" ht="18" hidden="false" customHeight="true" outlineLevel="0" collapsed="false">
      <c r="A1404" s="25" t="s">
        <v>84</v>
      </c>
      <c r="B1404" s="32" t="s">
        <v>167</v>
      </c>
      <c r="C1404" s="27" t="s">
        <v>98</v>
      </c>
      <c r="D1404" s="28"/>
      <c r="E1404" s="28"/>
      <c r="F1404" s="29" t="n">
        <f aca="false">'📋 Matches'!E36</f>
        <v>0</v>
      </c>
      <c r="G1404" s="29" t="n">
        <f aca="false">'📋 Matches'!F36</f>
        <v>0</v>
      </c>
      <c r="H1404" s="30" t="s">
        <v>148</v>
      </c>
      <c r="I1404" s="30" t="s">
        <v>148</v>
      </c>
      <c r="J1404" s="30" t="s">
        <v>148</v>
      </c>
      <c r="K1404" s="30" t="s">
        <v>148</v>
      </c>
      <c r="L1404" s="30" t="s">
        <v>148</v>
      </c>
    </row>
    <row r="1405" customFormat="false" ht="18" hidden="false" customHeight="true" outlineLevel="0" collapsed="false">
      <c r="A1405" s="25" t="s">
        <v>84</v>
      </c>
      <c r="B1405" s="32" t="s">
        <v>167</v>
      </c>
      <c r="C1405" s="27" t="s">
        <v>100</v>
      </c>
      <c r="D1405" s="28"/>
      <c r="E1405" s="28"/>
      <c r="F1405" s="29" t="n">
        <f aca="false">'📋 Matches'!E37</f>
        <v>0</v>
      </c>
      <c r="G1405" s="29" t="n">
        <f aca="false">'📋 Matches'!F37</f>
        <v>0</v>
      </c>
      <c r="H1405" s="30" t="s">
        <v>148</v>
      </c>
      <c r="I1405" s="30" t="s">
        <v>148</v>
      </c>
      <c r="J1405" s="30" t="s">
        <v>148</v>
      </c>
      <c r="K1405" s="30" t="s">
        <v>148</v>
      </c>
      <c r="L1405" s="30" t="s">
        <v>148</v>
      </c>
    </row>
    <row r="1406" customFormat="false" ht="18" hidden="false" customHeight="true" outlineLevel="0" collapsed="false">
      <c r="A1406" s="25" t="s">
        <v>84</v>
      </c>
      <c r="B1406" s="32" t="s">
        <v>167</v>
      </c>
      <c r="C1406" s="27" t="s">
        <v>101</v>
      </c>
      <c r="D1406" s="28"/>
      <c r="E1406" s="28"/>
      <c r="F1406" s="29" t="n">
        <f aca="false">'📋 Matches'!E38</f>
        <v>0</v>
      </c>
      <c r="G1406" s="29" t="n">
        <f aca="false">'📋 Matches'!F38</f>
        <v>0</v>
      </c>
      <c r="H1406" s="30" t="s">
        <v>148</v>
      </c>
      <c r="I1406" s="30" t="s">
        <v>148</v>
      </c>
      <c r="J1406" s="30" t="s">
        <v>148</v>
      </c>
      <c r="K1406" s="30" t="s">
        <v>148</v>
      </c>
      <c r="L1406" s="30" t="s">
        <v>148</v>
      </c>
    </row>
    <row r="1407" customFormat="false" ht="18" hidden="false" customHeight="true" outlineLevel="0" collapsed="false">
      <c r="A1407" s="25" t="s">
        <v>84</v>
      </c>
      <c r="B1407" s="32" t="s">
        <v>167</v>
      </c>
      <c r="C1407" s="27" t="s">
        <v>102</v>
      </c>
      <c r="D1407" s="28"/>
      <c r="E1407" s="28"/>
      <c r="F1407" s="29" t="n">
        <f aca="false">'📋 Matches'!E39</f>
        <v>0</v>
      </c>
      <c r="G1407" s="29" t="n">
        <f aca="false">'📋 Matches'!F39</f>
        <v>0</v>
      </c>
      <c r="H1407" s="30" t="s">
        <v>148</v>
      </c>
      <c r="I1407" s="30" t="s">
        <v>148</v>
      </c>
      <c r="J1407" s="30" t="s">
        <v>148</v>
      </c>
      <c r="K1407" s="30" t="s">
        <v>148</v>
      </c>
      <c r="L1407" s="30" t="s">
        <v>148</v>
      </c>
    </row>
    <row r="1408" customFormat="false" ht="18" hidden="false" customHeight="true" outlineLevel="0" collapsed="false">
      <c r="A1408" s="25" t="s">
        <v>84</v>
      </c>
      <c r="B1408" s="32" t="s">
        <v>167</v>
      </c>
      <c r="C1408" s="27" t="s">
        <v>103</v>
      </c>
      <c r="D1408" s="28"/>
      <c r="E1408" s="28"/>
      <c r="F1408" s="29" t="n">
        <f aca="false">'📋 Matches'!E40</f>
        <v>0</v>
      </c>
      <c r="G1408" s="29" t="n">
        <f aca="false">'📋 Matches'!F40</f>
        <v>0</v>
      </c>
      <c r="H1408" s="30" t="s">
        <v>148</v>
      </c>
      <c r="I1408" s="30" t="s">
        <v>148</v>
      </c>
      <c r="J1408" s="30" t="s">
        <v>148</v>
      </c>
      <c r="K1408" s="30" t="s">
        <v>148</v>
      </c>
      <c r="L1408" s="30" t="s">
        <v>148</v>
      </c>
    </row>
    <row r="1409" customFormat="false" ht="18" hidden="false" customHeight="true" outlineLevel="0" collapsed="false">
      <c r="A1409" s="25" t="s">
        <v>84</v>
      </c>
      <c r="B1409" s="32" t="s">
        <v>167</v>
      </c>
      <c r="C1409" s="27" t="s">
        <v>104</v>
      </c>
      <c r="D1409" s="28"/>
      <c r="E1409" s="28"/>
      <c r="F1409" s="29" t="n">
        <f aca="false">'📋 Matches'!E41</f>
        <v>0</v>
      </c>
      <c r="G1409" s="29" t="n">
        <f aca="false">'📋 Matches'!F41</f>
        <v>0</v>
      </c>
      <c r="H1409" s="30" t="s">
        <v>148</v>
      </c>
      <c r="I1409" s="30" t="s">
        <v>148</v>
      </c>
      <c r="J1409" s="30" t="s">
        <v>148</v>
      </c>
      <c r="K1409" s="30" t="s">
        <v>148</v>
      </c>
      <c r="L1409" s="30" t="s">
        <v>148</v>
      </c>
    </row>
    <row r="1410" customFormat="false" ht="18" hidden="false" customHeight="true" outlineLevel="0" collapsed="false">
      <c r="A1410" s="25" t="s">
        <v>84</v>
      </c>
      <c r="B1410" s="32" t="s">
        <v>167</v>
      </c>
      <c r="C1410" s="27" t="s">
        <v>105</v>
      </c>
      <c r="D1410" s="28"/>
      <c r="E1410" s="28"/>
      <c r="F1410" s="29" t="n">
        <f aca="false">'📋 Matches'!E42</f>
        <v>0</v>
      </c>
      <c r="G1410" s="29" t="n">
        <f aca="false">'📋 Matches'!F42</f>
        <v>0</v>
      </c>
      <c r="H1410" s="30" t="s">
        <v>148</v>
      </c>
      <c r="I1410" s="30" t="s">
        <v>148</v>
      </c>
      <c r="J1410" s="30" t="s">
        <v>148</v>
      </c>
      <c r="K1410" s="30" t="s">
        <v>148</v>
      </c>
      <c r="L1410" s="30" t="s">
        <v>148</v>
      </c>
    </row>
    <row r="1411" customFormat="false" ht="18" hidden="false" customHeight="true" outlineLevel="0" collapsed="false">
      <c r="A1411" s="25" t="s">
        <v>84</v>
      </c>
      <c r="B1411" s="32" t="s">
        <v>167</v>
      </c>
      <c r="C1411" s="27" t="s">
        <v>106</v>
      </c>
      <c r="D1411" s="28"/>
      <c r="E1411" s="28"/>
      <c r="F1411" s="29" t="n">
        <f aca="false">'📋 Matches'!E43</f>
        <v>0</v>
      </c>
      <c r="G1411" s="29" t="n">
        <f aca="false">'📋 Matches'!F43</f>
        <v>0</v>
      </c>
      <c r="H1411" s="30" t="s">
        <v>148</v>
      </c>
      <c r="I1411" s="30" t="s">
        <v>148</v>
      </c>
      <c r="J1411" s="30" t="s">
        <v>148</v>
      </c>
      <c r="K1411" s="30" t="s">
        <v>148</v>
      </c>
      <c r="L1411" s="30" t="s">
        <v>148</v>
      </c>
    </row>
    <row r="1412" customFormat="false" ht="18" hidden="false" customHeight="true" outlineLevel="0" collapsed="false">
      <c r="A1412" s="25" t="s">
        <v>84</v>
      </c>
      <c r="B1412" s="32" t="s">
        <v>167</v>
      </c>
      <c r="C1412" s="27" t="s">
        <v>107</v>
      </c>
      <c r="D1412" s="28"/>
      <c r="E1412" s="28"/>
      <c r="F1412" s="29" t="n">
        <f aca="false">'📋 Matches'!E44</f>
        <v>0</v>
      </c>
      <c r="G1412" s="29" t="n">
        <f aca="false">'📋 Matches'!F44</f>
        <v>0</v>
      </c>
      <c r="H1412" s="30" t="s">
        <v>148</v>
      </c>
      <c r="I1412" s="30" t="s">
        <v>148</v>
      </c>
      <c r="J1412" s="30" t="s">
        <v>148</v>
      </c>
      <c r="K1412" s="30" t="s">
        <v>148</v>
      </c>
      <c r="L1412" s="30" t="s">
        <v>148</v>
      </c>
    </row>
    <row r="1413" customFormat="false" ht="18" hidden="false" customHeight="true" outlineLevel="0" collapsed="false">
      <c r="A1413" s="25" t="s">
        <v>84</v>
      </c>
      <c r="B1413" s="32" t="s">
        <v>167</v>
      </c>
      <c r="C1413" s="27" t="s">
        <v>108</v>
      </c>
      <c r="D1413" s="28"/>
      <c r="E1413" s="28"/>
      <c r="F1413" s="29" t="n">
        <f aca="false">'📋 Matches'!E45</f>
        <v>0</v>
      </c>
      <c r="G1413" s="29" t="n">
        <f aca="false">'📋 Matches'!F45</f>
        <v>0</v>
      </c>
      <c r="H1413" s="30" t="s">
        <v>148</v>
      </c>
      <c r="I1413" s="30" t="s">
        <v>148</v>
      </c>
      <c r="J1413" s="30" t="s">
        <v>148</v>
      </c>
      <c r="K1413" s="30" t="s">
        <v>148</v>
      </c>
      <c r="L1413" s="30" t="s">
        <v>148</v>
      </c>
    </row>
    <row r="1414" customFormat="false" ht="18" hidden="false" customHeight="true" outlineLevel="0" collapsed="false">
      <c r="A1414" s="25" t="s">
        <v>84</v>
      </c>
      <c r="B1414" s="32" t="s">
        <v>167</v>
      </c>
      <c r="C1414" s="27" t="s">
        <v>109</v>
      </c>
      <c r="D1414" s="28"/>
      <c r="E1414" s="28"/>
      <c r="F1414" s="29" t="n">
        <f aca="false">'📋 Matches'!E46</f>
        <v>0</v>
      </c>
      <c r="G1414" s="29" t="n">
        <f aca="false">'📋 Matches'!F46</f>
        <v>0</v>
      </c>
      <c r="H1414" s="30" t="s">
        <v>148</v>
      </c>
      <c r="I1414" s="30" t="s">
        <v>148</v>
      </c>
      <c r="J1414" s="30" t="s">
        <v>148</v>
      </c>
      <c r="K1414" s="30" t="s">
        <v>148</v>
      </c>
      <c r="L1414" s="30" t="s">
        <v>148</v>
      </c>
    </row>
    <row r="1415" customFormat="false" ht="18" hidden="false" customHeight="true" outlineLevel="0" collapsed="false">
      <c r="A1415" s="25" t="s">
        <v>84</v>
      </c>
      <c r="B1415" s="32" t="s">
        <v>167</v>
      </c>
      <c r="C1415" s="27" t="s">
        <v>110</v>
      </c>
      <c r="D1415" s="28"/>
      <c r="E1415" s="28"/>
      <c r="F1415" s="29" t="n">
        <f aca="false">'📋 Matches'!E47</f>
        <v>0</v>
      </c>
      <c r="G1415" s="29" t="n">
        <f aca="false">'📋 Matches'!F47</f>
        <v>0</v>
      </c>
      <c r="H1415" s="30" t="s">
        <v>148</v>
      </c>
      <c r="I1415" s="30" t="s">
        <v>148</v>
      </c>
      <c r="J1415" s="30" t="s">
        <v>148</v>
      </c>
      <c r="K1415" s="30" t="s">
        <v>148</v>
      </c>
      <c r="L1415" s="30" t="s">
        <v>148</v>
      </c>
    </row>
    <row r="1416" customFormat="false" ht="18" hidden="false" customHeight="true" outlineLevel="0" collapsed="false">
      <c r="A1416" s="25" t="s">
        <v>84</v>
      </c>
      <c r="B1416" s="32" t="s">
        <v>167</v>
      </c>
      <c r="C1416" s="27" t="s">
        <v>111</v>
      </c>
      <c r="D1416" s="28"/>
      <c r="E1416" s="28"/>
      <c r="F1416" s="29" t="n">
        <f aca="false">'📋 Matches'!E48</f>
        <v>0</v>
      </c>
      <c r="G1416" s="29" t="n">
        <f aca="false">'📋 Matches'!F48</f>
        <v>0</v>
      </c>
      <c r="H1416" s="30" t="s">
        <v>148</v>
      </c>
      <c r="I1416" s="30" t="s">
        <v>148</v>
      </c>
      <c r="J1416" s="30" t="s">
        <v>148</v>
      </c>
      <c r="K1416" s="30" t="s">
        <v>148</v>
      </c>
      <c r="L1416" s="30" t="s">
        <v>148</v>
      </c>
    </row>
    <row r="1417" customFormat="false" ht="18" hidden="false" customHeight="true" outlineLevel="0" collapsed="false">
      <c r="A1417" s="25" t="s">
        <v>84</v>
      </c>
      <c r="B1417" s="32" t="s">
        <v>167</v>
      </c>
      <c r="C1417" s="27" t="s">
        <v>112</v>
      </c>
      <c r="D1417" s="28"/>
      <c r="E1417" s="28"/>
      <c r="F1417" s="29" t="n">
        <f aca="false">'📋 Matches'!E49</f>
        <v>0</v>
      </c>
      <c r="G1417" s="29" t="n">
        <f aca="false">'📋 Matches'!F49</f>
        <v>0</v>
      </c>
      <c r="H1417" s="30" t="s">
        <v>148</v>
      </c>
      <c r="I1417" s="30" t="s">
        <v>148</v>
      </c>
      <c r="J1417" s="30" t="s">
        <v>148</v>
      </c>
      <c r="K1417" s="30" t="s">
        <v>148</v>
      </c>
      <c r="L1417" s="30" t="s">
        <v>148</v>
      </c>
    </row>
    <row r="1418" customFormat="false" ht="18" hidden="false" customHeight="true" outlineLevel="0" collapsed="false">
      <c r="A1418" s="25" t="s">
        <v>114</v>
      </c>
      <c r="B1418" s="32" t="s">
        <v>167</v>
      </c>
      <c r="C1418" s="27" t="s">
        <v>115</v>
      </c>
      <c r="D1418" s="28"/>
      <c r="E1418" s="28"/>
      <c r="F1418" s="29" t="n">
        <f aca="false">'📋 Matches'!E50</f>
        <v>0</v>
      </c>
      <c r="G1418" s="29" t="n">
        <f aca="false">'📋 Matches'!F50</f>
        <v>0</v>
      </c>
      <c r="H1418" s="30" t="s">
        <v>148</v>
      </c>
      <c r="I1418" s="30" t="s">
        <v>148</v>
      </c>
      <c r="J1418" s="30" t="s">
        <v>148</v>
      </c>
      <c r="K1418" s="30" t="s">
        <v>148</v>
      </c>
      <c r="L1418" s="30" t="s">
        <v>148</v>
      </c>
    </row>
    <row r="1419" customFormat="false" ht="18" hidden="false" customHeight="true" outlineLevel="0" collapsed="false">
      <c r="A1419" s="25" t="s">
        <v>114</v>
      </c>
      <c r="B1419" s="32" t="s">
        <v>167</v>
      </c>
      <c r="C1419" s="27" t="s">
        <v>116</v>
      </c>
      <c r="D1419" s="28"/>
      <c r="E1419" s="28"/>
      <c r="F1419" s="29" t="n">
        <f aca="false">'📋 Matches'!E51</f>
        <v>0</v>
      </c>
      <c r="G1419" s="29" t="n">
        <f aca="false">'📋 Matches'!F51</f>
        <v>0</v>
      </c>
      <c r="H1419" s="30" t="s">
        <v>148</v>
      </c>
      <c r="I1419" s="30" t="s">
        <v>148</v>
      </c>
      <c r="J1419" s="30" t="s">
        <v>148</v>
      </c>
      <c r="K1419" s="30" t="s">
        <v>148</v>
      </c>
      <c r="L1419" s="30" t="s">
        <v>148</v>
      </c>
    </row>
    <row r="1420" customFormat="false" ht="18" hidden="false" customHeight="true" outlineLevel="0" collapsed="false">
      <c r="A1420" s="25" t="s">
        <v>114</v>
      </c>
      <c r="B1420" s="32" t="s">
        <v>167</v>
      </c>
      <c r="C1420" s="27" t="s">
        <v>117</v>
      </c>
      <c r="D1420" s="28"/>
      <c r="E1420" s="28"/>
      <c r="F1420" s="29" t="n">
        <f aca="false">'📋 Matches'!E52</f>
        <v>0</v>
      </c>
      <c r="G1420" s="29" t="n">
        <f aca="false">'📋 Matches'!F52</f>
        <v>0</v>
      </c>
      <c r="H1420" s="30" t="s">
        <v>148</v>
      </c>
      <c r="I1420" s="30" t="s">
        <v>148</v>
      </c>
      <c r="J1420" s="30" t="s">
        <v>148</v>
      </c>
      <c r="K1420" s="30" t="s">
        <v>148</v>
      </c>
      <c r="L1420" s="30" t="s">
        <v>148</v>
      </c>
    </row>
    <row r="1421" customFormat="false" ht="18" hidden="false" customHeight="true" outlineLevel="0" collapsed="false">
      <c r="A1421" s="25" t="s">
        <v>114</v>
      </c>
      <c r="B1421" s="32" t="s">
        <v>167</v>
      </c>
      <c r="C1421" s="27" t="s">
        <v>118</v>
      </c>
      <c r="D1421" s="28"/>
      <c r="E1421" s="28"/>
      <c r="F1421" s="29" t="n">
        <f aca="false">'📋 Matches'!E53</f>
        <v>0</v>
      </c>
      <c r="G1421" s="29" t="n">
        <f aca="false">'📋 Matches'!F53</f>
        <v>0</v>
      </c>
      <c r="H1421" s="30" t="s">
        <v>148</v>
      </c>
      <c r="I1421" s="30" t="s">
        <v>148</v>
      </c>
      <c r="J1421" s="30" t="s">
        <v>148</v>
      </c>
      <c r="K1421" s="30" t="s">
        <v>148</v>
      </c>
      <c r="L1421" s="30" t="s">
        <v>148</v>
      </c>
    </row>
    <row r="1422" customFormat="false" ht="18" hidden="false" customHeight="true" outlineLevel="0" collapsed="false">
      <c r="A1422" s="25" t="s">
        <v>114</v>
      </c>
      <c r="B1422" s="32" t="s">
        <v>167</v>
      </c>
      <c r="C1422" s="27" t="s">
        <v>119</v>
      </c>
      <c r="D1422" s="28"/>
      <c r="E1422" s="28"/>
      <c r="F1422" s="29" t="n">
        <f aca="false">'📋 Matches'!E54</f>
        <v>0</v>
      </c>
      <c r="G1422" s="29" t="n">
        <f aca="false">'📋 Matches'!F54</f>
        <v>0</v>
      </c>
      <c r="H1422" s="30" t="s">
        <v>148</v>
      </c>
      <c r="I1422" s="30" t="s">
        <v>148</v>
      </c>
      <c r="J1422" s="30" t="s">
        <v>148</v>
      </c>
      <c r="K1422" s="30" t="s">
        <v>148</v>
      </c>
      <c r="L1422" s="30" t="s">
        <v>148</v>
      </c>
    </row>
    <row r="1423" customFormat="false" ht="18" hidden="false" customHeight="true" outlineLevel="0" collapsed="false">
      <c r="A1423" s="25" t="s">
        <v>114</v>
      </c>
      <c r="B1423" s="32" t="s">
        <v>167</v>
      </c>
      <c r="C1423" s="27" t="s">
        <v>120</v>
      </c>
      <c r="D1423" s="28"/>
      <c r="E1423" s="28"/>
      <c r="F1423" s="29" t="n">
        <f aca="false">'📋 Matches'!E55</f>
        <v>0</v>
      </c>
      <c r="G1423" s="29" t="n">
        <f aca="false">'📋 Matches'!F55</f>
        <v>0</v>
      </c>
      <c r="H1423" s="30" t="s">
        <v>148</v>
      </c>
      <c r="I1423" s="30" t="s">
        <v>148</v>
      </c>
      <c r="J1423" s="30" t="s">
        <v>148</v>
      </c>
      <c r="K1423" s="30" t="s">
        <v>148</v>
      </c>
      <c r="L1423" s="30" t="s">
        <v>148</v>
      </c>
    </row>
    <row r="1424" customFormat="false" ht="18" hidden="false" customHeight="true" outlineLevel="0" collapsed="false">
      <c r="A1424" s="25" t="s">
        <v>114</v>
      </c>
      <c r="B1424" s="32" t="s">
        <v>167</v>
      </c>
      <c r="C1424" s="27" t="s">
        <v>121</v>
      </c>
      <c r="D1424" s="28"/>
      <c r="E1424" s="28"/>
      <c r="F1424" s="29" t="n">
        <f aca="false">'📋 Matches'!E56</f>
        <v>0</v>
      </c>
      <c r="G1424" s="29" t="n">
        <f aca="false">'📋 Matches'!F56</f>
        <v>0</v>
      </c>
      <c r="H1424" s="30" t="s">
        <v>148</v>
      </c>
      <c r="I1424" s="30" t="s">
        <v>148</v>
      </c>
      <c r="J1424" s="30" t="s">
        <v>148</v>
      </c>
      <c r="K1424" s="30" t="s">
        <v>148</v>
      </c>
      <c r="L1424" s="30" t="s">
        <v>148</v>
      </c>
    </row>
    <row r="1425" customFormat="false" ht="18" hidden="false" customHeight="true" outlineLevel="0" collapsed="false">
      <c r="A1425" s="25" t="s">
        <v>114</v>
      </c>
      <c r="B1425" s="32" t="s">
        <v>167</v>
      </c>
      <c r="C1425" s="27" t="s">
        <v>122</v>
      </c>
      <c r="D1425" s="28"/>
      <c r="E1425" s="28"/>
      <c r="F1425" s="29" t="n">
        <f aca="false">'📋 Matches'!E57</f>
        <v>0</v>
      </c>
      <c r="G1425" s="29" t="n">
        <f aca="false">'📋 Matches'!F57</f>
        <v>0</v>
      </c>
      <c r="H1425" s="30" t="s">
        <v>148</v>
      </c>
      <c r="I1425" s="30" t="s">
        <v>148</v>
      </c>
      <c r="J1425" s="30" t="s">
        <v>148</v>
      </c>
      <c r="K1425" s="30" t="s">
        <v>148</v>
      </c>
      <c r="L1425" s="30" t="s">
        <v>148</v>
      </c>
    </row>
    <row r="1426" customFormat="false" ht="18" hidden="false" customHeight="true" outlineLevel="0" collapsed="false">
      <c r="A1426" s="25" t="s">
        <v>114</v>
      </c>
      <c r="B1426" s="32" t="s">
        <v>167</v>
      </c>
      <c r="C1426" s="27" t="s">
        <v>123</v>
      </c>
      <c r="D1426" s="28"/>
      <c r="E1426" s="28"/>
      <c r="F1426" s="29" t="n">
        <f aca="false">'📋 Matches'!E58</f>
        <v>0</v>
      </c>
      <c r="G1426" s="29" t="n">
        <f aca="false">'📋 Matches'!F58</f>
        <v>0</v>
      </c>
      <c r="H1426" s="30" t="s">
        <v>148</v>
      </c>
      <c r="I1426" s="30" t="s">
        <v>148</v>
      </c>
      <c r="J1426" s="30" t="s">
        <v>148</v>
      </c>
      <c r="K1426" s="30" t="s">
        <v>148</v>
      </c>
      <c r="L1426" s="30" t="s">
        <v>148</v>
      </c>
    </row>
    <row r="1427" customFormat="false" ht="18" hidden="false" customHeight="true" outlineLevel="0" collapsed="false">
      <c r="A1427" s="25" t="s">
        <v>114</v>
      </c>
      <c r="B1427" s="32" t="s">
        <v>167</v>
      </c>
      <c r="C1427" s="27" t="s">
        <v>124</v>
      </c>
      <c r="D1427" s="28"/>
      <c r="E1427" s="28"/>
      <c r="F1427" s="29" t="n">
        <f aca="false">'📋 Matches'!E59</f>
        <v>0</v>
      </c>
      <c r="G1427" s="29" t="n">
        <f aca="false">'📋 Matches'!F59</f>
        <v>0</v>
      </c>
      <c r="H1427" s="30" t="s">
        <v>148</v>
      </c>
      <c r="I1427" s="30" t="s">
        <v>148</v>
      </c>
      <c r="J1427" s="30" t="s">
        <v>148</v>
      </c>
      <c r="K1427" s="30" t="s">
        <v>148</v>
      </c>
      <c r="L1427" s="30" t="s">
        <v>148</v>
      </c>
    </row>
    <row r="1428" customFormat="false" ht="18" hidden="false" customHeight="true" outlineLevel="0" collapsed="false">
      <c r="A1428" s="25" t="s">
        <v>114</v>
      </c>
      <c r="B1428" s="32" t="s">
        <v>167</v>
      </c>
      <c r="C1428" s="27" t="s">
        <v>125</v>
      </c>
      <c r="D1428" s="28"/>
      <c r="E1428" s="28"/>
      <c r="F1428" s="29" t="n">
        <f aca="false">'📋 Matches'!E60</f>
        <v>0</v>
      </c>
      <c r="G1428" s="29" t="n">
        <f aca="false">'📋 Matches'!F60</f>
        <v>0</v>
      </c>
      <c r="H1428" s="30" t="s">
        <v>148</v>
      </c>
      <c r="I1428" s="30" t="s">
        <v>148</v>
      </c>
      <c r="J1428" s="30" t="s">
        <v>148</v>
      </c>
      <c r="K1428" s="30" t="s">
        <v>148</v>
      </c>
      <c r="L1428" s="30" t="s">
        <v>148</v>
      </c>
    </row>
    <row r="1429" customFormat="false" ht="18" hidden="false" customHeight="true" outlineLevel="0" collapsed="false">
      <c r="A1429" s="25" t="s">
        <v>114</v>
      </c>
      <c r="B1429" s="32" t="s">
        <v>167</v>
      </c>
      <c r="C1429" s="27" t="s">
        <v>126</v>
      </c>
      <c r="D1429" s="28"/>
      <c r="E1429" s="28"/>
      <c r="F1429" s="29" t="n">
        <f aca="false">'📋 Matches'!E61</f>
        <v>0</v>
      </c>
      <c r="G1429" s="29" t="n">
        <f aca="false">'📋 Matches'!F61</f>
        <v>0</v>
      </c>
      <c r="H1429" s="30" t="s">
        <v>148</v>
      </c>
      <c r="I1429" s="30" t="s">
        <v>148</v>
      </c>
      <c r="J1429" s="30" t="s">
        <v>148</v>
      </c>
      <c r="K1429" s="30" t="s">
        <v>148</v>
      </c>
      <c r="L1429" s="30" t="s">
        <v>148</v>
      </c>
    </row>
    <row r="1430" customFormat="false" ht="18" hidden="false" customHeight="true" outlineLevel="0" collapsed="false">
      <c r="A1430" s="25" t="s">
        <v>114</v>
      </c>
      <c r="B1430" s="32" t="s">
        <v>167</v>
      </c>
      <c r="C1430" s="27" t="s">
        <v>127</v>
      </c>
      <c r="D1430" s="28"/>
      <c r="E1430" s="28"/>
      <c r="F1430" s="29" t="n">
        <f aca="false">'📋 Matches'!E62</f>
        <v>0</v>
      </c>
      <c r="G1430" s="29" t="n">
        <f aca="false">'📋 Matches'!F62</f>
        <v>0</v>
      </c>
      <c r="H1430" s="30" t="s">
        <v>148</v>
      </c>
      <c r="I1430" s="30" t="s">
        <v>148</v>
      </c>
      <c r="J1430" s="30" t="s">
        <v>148</v>
      </c>
      <c r="K1430" s="30" t="s">
        <v>148</v>
      </c>
      <c r="L1430" s="30" t="s">
        <v>148</v>
      </c>
    </row>
    <row r="1431" customFormat="false" ht="18" hidden="false" customHeight="true" outlineLevel="0" collapsed="false">
      <c r="A1431" s="25" t="s">
        <v>114</v>
      </c>
      <c r="B1431" s="32" t="s">
        <v>167</v>
      </c>
      <c r="C1431" s="27" t="s">
        <v>128</v>
      </c>
      <c r="D1431" s="28"/>
      <c r="E1431" s="28"/>
      <c r="F1431" s="29" t="n">
        <f aca="false">'📋 Matches'!E63</f>
        <v>0</v>
      </c>
      <c r="G1431" s="29" t="n">
        <f aca="false">'📋 Matches'!F63</f>
        <v>0</v>
      </c>
      <c r="H1431" s="30" t="s">
        <v>148</v>
      </c>
      <c r="I1431" s="30" t="s">
        <v>148</v>
      </c>
      <c r="J1431" s="30" t="s">
        <v>148</v>
      </c>
      <c r="K1431" s="30" t="s">
        <v>148</v>
      </c>
      <c r="L1431" s="30" t="s">
        <v>148</v>
      </c>
    </row>
    <row r="1432" customFormat="false" ht="18" hidden="false" customHeight="true" outlineLevel="0" collapsed="false">
      <c r="A1432" s="25" t="s">
        <v>114</v>
      </c>
      <c r="B1432" s="32" t="s">
        <v>167</v>
      </c>
      <c r="C1432" s="27" t="s">
        <v>129</v>
      </c>
      <c r="D1432" s="28"/>
      <c r="E1432" s="28"/>
      <c r="F1432" s="29" t="n">
        <f aca="false">'📋 Matches'!E64</f>
        <v>0</v>
      </c>
      <c r="G1432" s="29" t="n">
        <f aca="false">'📋 Matches'!F64</f>
        <v>0</v>
      </c>
      <c r="H1432" s="30" t="s">
        <v>148</v>
      </c>
      <c r="I1432" s="30" t="s">
        <v>148</v>
      </c>
      <c r="J1432" s="30" t="s">
        <v>148</v>
      </c>
      <c r="K1432" s="30" t="s">
        <v>148</v>
      </c>
      <c r="L1432" s="30" t="s">
        <v>148</v>
      </c>
    </row>
    <row r="1433" customFormat="false" ht="18" hidden="false" customHeight="true" outlineLevel="0" collapsed="false">
      <c r="A1433" s="25" t="s">
        <v>114</v>
      </c>
      <c r="B1433" s="32" t="s">
        <v>167</v>
      </c>
      <c r="C1433" s="27" t="s">
        <v>130</v>
      </c>
      <c r="D1433" s="28"/>
      <c r="E1433" s="28"/>
      <c r="F1433" s="29" t="n">
        <f aca="false">'📋 Matches'!E65</f>
        <v>0</v>
      </c>
      <c r="G1433" s="29" t="n">
        <f aca="false">'📋 Matches'!F65</f>
        <v>0</v>
      </c>
      <c r="H1433" s="30" t="s">
        <v>148</v>
      </c>
      <c r="I1433" s="30" t="s">
        <v>148</v>
      </c>
      <c r="J1433" s="30" t="s">
        <v>148</v>
      </c>
      <c r="K1433" s="30" t="s">
        <v>148</v>
      </c>
      <c r="L1433" s="30" t="s">
        <v>148</v>
      </c>
    </row>
    <row r="1434" customFormat="false" ht="18" hidden="false" customHeight="true" outlineLevel="0" collapsed="false">
      <c r="A1434" s="25" t="s">
        <v>114</v>
      </c>
      <c r="B1434" s="32" t="s">
        <v>167</v>
      </c>
      <c r="C1434" s="27" t="s">
        <v>131</v>
      </c>
      <c r="D1434" s="28"/>
      <c r="E1434" s="28"/>
      <c r="F1434" s="29" t="n">
        <f aca="false">'📋 Matches'!E66</f>
        <v>0</v>
      </c>
      <c r="G1434" s="29" t="n">
        <f aca="false">'📋 Matches'!F66</f>
        <v>0</v>
      </c>
      <c r="H1434" s="30" t="s">
        <v>148</v>
      </c>
      <c r="I1434" s="30" t="s">
        <v>148</v>
      </c>
      <c r="J1434" s="30" t="s">
        <v>148</v>
      </c>
      <c r="K1434" s="30" t="s">
        <v>148</v>
      </c>
      <c r="L1434" s="30" t="s">
        <v>148</v>
      </c>
    </row>
    <row r="1435" customFormat="false" ht="18" hidden="false" customHeight="true" outlineLevel="0" collapsed="false">
      <c r="A1435" s="25" t="s">
        <v>114</v>
      </c>
      <c r="B1435" s="32" t="s">
        <v>167</v>
      </c>
      <c r="C1435" s="27" t="s">
        <v>132</v>
      </c>
      <c r="D1435" s="28"/>
      <c r="E1435" s="28"/>
      <c r="F1435" s="29" t="n">
        <f aca="false">'📋 Matches'!E67</f>
        <v>0</v>
      </c>
      <c r="G1435" s="29" t="n">
        <f aca="false">'📋 Matches'!F67</f>
        <v>0</v>
      </c>
      <c r="H1435" s="30" t="s">
        <v>148</v>
      </c>
      <c r="I1435" s="30" t="s">
        <v>148</v>
      </c>
      <c r="J1435" s="30" t="s">
        <v>148</v>
      </c>
      <c r="K1435" s="30" t="s">
        <v>148</v>
      </c>
      <c r="L1435" s="30" t="s">
        <v>148</v>
      </c>
    </row>
    <row r="1436" customFormat="false" ht="18" hidden="false" customHeight="true" outlineLevel="0" collapsed="false">
      <c r="A1436" s="25" t="s">
        <v>114</v>
      </c>
      <c r="B1436" s="32" t="s">
        <v>167</v>
      </c>
      <c r="C1436" s="27" t="s">
        <v>133</v>
      </c>
      <c r="D1436" s="28"/>
      <c r="E1436" s="28"/>
      <c r="F1436" s="29" t="n">
        <f aca="false">'📋 Matches'!E68</f>
        <v>0</v>
      </c>
      <c r="G1436" s="29" t="n">
        <f aca="false">'📋 Matches'!F68</f>
        <v>0</v>
      </c>
      <c r="H1436" s="30" t="s">
        <v>148</v>
      </c>
      <c r="I1436" s="30" t="s">
        <v>148</v>
      </c>
      <c r="J1436" s="30" t="s">
        <v>148</v>
      </c>
      <c r="K1436" s="30" t="s">
        <v>148</v>
      </c>
      <c r="L1436" s="30" t="s">
        <v>148</v>
      </c>
    </row>
    <row r="1437" customFormat="false" ht="18" hidden="false" customHeight="true" outlineLevel="0" collapsed="false">
      <c r="A1437" s="25" t="s">
        <v>114</v>
      </c>
      <c r="B1437" s="32" t="s">
        <v>167</v>
      </c>
      <c r="C1437" s="27" t="s">
        <v>134</v>
      </c>
      <c r="D1437" s="28"/>
      <c r="E1437" s="28"/>
      <c r="F1437" s="29" t="n">
        <f aca="false">'📋 Matches'!E69</f>
        <v>0</v>
      </c>
      <c r="G1437" s="29" t="n">
        <f aca="false">'📋 Matches'!F69</f>
        <v>0</v>
      </c>
      <c r="H1437" s="30" t="s">
        <v>148</v>
      </c>
      <c r="I1437" s="30" t="s">
        <v>148</v>
      </c>
      <c r="J1437" s="30" t="s">
        <v>148</v>
      </c>
      <c r="K1437" s="30" t="s">
        <v>148</v>
      </c>
      <c r="L1437" s="30" t="s">
        <v>148</v>
      </c>
    </row>
    <row r="1438" customFormat="false" ht="18" hidden="false" customHeight="true" outlineLevel="0" collapsed="false">
      <c r="A1438" s="25" t="s">
        <v>114</v>
      </c>
      <c r="B1438" s="32" t="s">
        <v>167</v>
      </c>
      <c r="C1438" s="27" t="s">
        <v>135</v>
      </c>
      <c r="D1438" s="28"/>
      <c r="E1438" s="28"/>
      <c r="F1438" s="29" t="n">
        <f aca="false">'📋 Matches'!E70</f>
        <v>0</v>
      </c>
      <c r="G1438" s="29" t="n">
        <f aca="false">'📋 Matches'!F70</f>
        <v>0</v>
      </c>
      <c r="H1438" s="30" t="s">
        <v>148</v>
      </c>
      <c r="I1438" s="30" t="s">
        <v>148</v>
      </c>
      <c r="J1438" s="30" t="s">
        <v>148</v>
      </c>
      <c r="K1438" s="30" t="s">
        <v>148</v>
      </c>
      <c r="L1438" s="30" t="s">
        <v>148</v>
      </c>
    </row>
    <row r="1439" customFormat="false" ht="18" hidden="false" customHeight="true" outlineLevel="0" collapsed="false">
      <c r="A1439" s="25" t="s">
        <v>114</v>
      </c>
      <c r="B1439" s="32" t="s">
        <v>167</v>
      </c>
      <c r="C1439" s="27" t="s">
        <v>136</v>
      </c>
      <c r="D1439" s="28"/>
      <c r="E1439" s="28"/>
      <c r="F1439" s="29" t="n">
        <f aca="false">'📋 Matches'!E71</f>
        <v>0</v>
      </c>
      <c r="G1439" s="29" t="n">
        <f aca="false">'📋 Matches'!F71</f>
        <v>0</v>
      </c>
      <c r="H1439" s="30" t="s">
        <v>148</v>
      </c>
      <c r="I1439" s="30" t="s">
        <v>148</v>
      </c>
      <c r="J1439" s="30" t="s">
        <v>148</v>
      </c>
      <c r="K1439" s="30" t="s">
        <v>148</v>
      </c>
      <c r="L1439" s="30" t="s">
        <v>148</v>
      </c>
    </row>
    <row r="1440" customFormat="false" ht="18" hidden="false" customHeight="true" outlineLevel="0" collapsed="false">
      <c r="A1440" s="25" t="s">
        <v>114</v>
      </c>
      <c r="B1440" s="32" t="s">
        <v>167</v>
      </c>
      <c r="C1440" s="27" t="s">
        <v>137</v>
      </c>
      <c r="D1440" s="28"/>
      <c r="E1440" s="28"/>
      <c r="F1440" s="29" t="n">
        <f aca="false">'📋 Matches'!E72</f>
        <v>0</v>
      </c>
      <c r="G1440" s="29" t="n">
        <f aca="false">'📋 Matches'!F72</f>
        <v>0</v>
      </c>
      <c r="H1440" s="30" t="s">
        <v>148</v>
      </c>
      <c r="I1440" s="30" t="s">
        <v>148</v>
      </c>
      <c r="J1440" s="30" t="s">
        <v>148</v>
      </c>
      <c r="K1440" s="30" t="s">
        <v>148</v>
      </c>
      <c r="L1440" s="30" t="s">
        <v>148</v>
      </c>
    </row>
    <row r="1441" customFormat="false" ht="18" hidden="false" customHeight="true" outlineLevel="0" collapsed="false">
      <c r="A1441" s="25" t="s">
        <v>114</v>
      </c>
      <c r="B1441" s="32" t="s">
        <v>167</v>
      </c>
      <c r="C1441" s="27" t="s">
        <v>138</v>
      </c>
      <c r="D1441" s="28"/>
      <c r="E1441" s="28"/>
      <c r="F1441" s="29" t="n">
        <f aca="false">'📋 Matches'!E73</f>
        <v>0</v>
      </c>
      <c r="G1441" s="29" t="n">
        <f aca="false">'📋 Matches'!F73</f>
        <v>0</v>
      </c>
      <c r="H1441" s="30" t="s">
        <v>148</v>
      </c>
      <c r="I1441" s="30" t="s">
        <v>148</v>
      </c>
      <c r="J1441" s="30" t="s">
        <v>148</v>
      </c>
      <c r="K1441" s="30" t="s">
        <v>148</v>
      </c>
      <c r="L1441" s="30" t="s">
        <v>148</v>
      </c>
    </row>
    <row r="1442" customFormat="false" ht="18" hidden="false" customHeight="true" outlineLevel="0" collapsed="false">
      <c r="A1442" s="17" t="s">
        <v>9</v>
      </c>
      <c r="B1442" s="31" t="s">
        <v>168</v>
      </c>
      <c r="C1442" s="19" t="s">
        <v>10</v>
      </c>
      <c r="D1442" s="20" t="n">
        <v>4</v>
      </c>
      <c r="E1442" s="20" t="n">
        <v>0</v>
      </c>
      <c r="F1442" s="21" t="n">
        <f aca="false">'📋 Matches'!E2</f>
        <v>2</v>
      </c>
      <c r="G1442" s="21" t="n">
        <f aca="false">'📋 Matches'!F2</f>
        <v>0</v>
      </c>
      <c r="H1442" s="22" t="n">
        <f aca="false">IF(AND(ISNUMBER(F1442),ISNUMBER(G1442)),IF(SIGN(D1442-E1442)=SIGN(F1442-G1442),48,0),"")</f>
        <v>48</v>
      </c>
      <c r="I1442" s="22" t="n">
        <f aca="false">IF(AND(ISNUMBER(F1442),ISNUMBER(G1442)),IF(D1442=F1442,15,0),"")</f>
        <v>0</v>
      </c>
      <c r="J1442" s="22" t="n">
        <f aca="false">IF(AND(ISNUMBER(F1442),ISNUMBER(G1442)),IF(E1442=G1442,15,0),"")</f>
        <v>15</v>
      </c>
      <c r="K1442" s="22" t="n">
        <f aca="false">IF(AND(ISNUMBER(F1442),ISNUMBER(G1442)),IF(ABS(D1442-E1442)=ABS(F1442-G1442),12,0),"")</f>
        <v>0</v>
      </c>
      <c r="L1442" s="23" t="n">
        <f aca="false">IF(ISNUMBER(H1442),H1442+I1442+J1442+K1442,"")</f>
        <v>63</v>
      </c>
    </row>
    <row r="1443" customFormat="false" ht="18" hidden="false" customHeight="true" outlineLevel="0" collapsed="false">
      <c r="A1443" s="17" t="s">
        <v>9</v>
      </c>
      <c r="B1443" s="31" t="s">
        <v>168</v>
      </c>
      <c r="C1443" s="19" t="s">
        <v>14</v>
      </c>
      <c r="D1443" s="20" t="n">
        <v>1</v>
      </c>
      <c r="E1443" s="20" t="n">
        <v>2</v>
      </c>
      <c r="F1443" s="21" t="n">
        <f aca="false">'📋 Matches'!E3</f>
        <v>2</v>
      </c>
      <c r="G1443" s="21" t="n">
        <f aca="false">'📋 Matches'!F3</f>
        <v>1</v>
      </c>
      <c r="H1443" s="22" t="n">
        <f aca="false">IF(AND(ISNUMBER(F1443),ISNUMBER(G1443)),IF(SIGN(D1443-E1443)=SIGN(F1443-G1443),48,0),"")</f>
        <v>0</v>
      </c>
      <c r="I1443" s="22" t="n">
        <f aca="false">IF(AND(ISNUMBER(F1443),ISNUMBER(G1443)),IF(D1443=F1443,15,0),"")</f>
        <v>0</v>
      </c>
      <c r="J1443" s="22" t="n">
        <f aca="false">IF(AND(ISNUMBER(F1443),ISNUMBER(G1443)),IF(E1443=G1443,15,0),"")</f>
        <v>0</v>
      </c>
      <c r="K1443" s="22" t="n">
        <f aca="false">IF(AND(ISNUMBER(F1443),ISNUMBER(G1443)),IF(ABS(D1443-E1443)=ABS(F1443-G1443),12,0),"")</f>
        <v>12</v>
      </c>
      <c r="L1443" s="23" t="n">
        <f aca="false">IF(ISNUMBER(H1443),H1443+I1443+J1443+K1443,"")</f>
        <v>12</v>
      </c>
    </row>
    <row r="1444" customFormat="false" ht="18" hidden="false" customHeight="true" outlineLevel="0" collapsed="false">
      <c r="A1444" s="17" t="s">
        <v>9</v>
      </c>
      <c r="B1444" s="31" t="s">
        <v>168</v>
      </c>
      <c r="C1444" s="19" t="s">
        <v>17</v>
      </c>
      <c r="D1444" s="20" t="n">
        <v>1</v>
      </c>
      <c r="E1444" s="20" t="n">
        <v>1</v>
      </c>
      <c r="F1444" s="21" t="n">
        <f aca="false">'📋 Matches'!E4</f>
        <v>1</v>
      </c>
      <c r="G1444" s="21" t="n">
        <f aca="false">'📋 Matches'!F4</f>
        <v>1</v>
      </c>
      <c r="H1444" s="22" t="n">
        <f aca="false">IF(AND(ISNUMBER(F1444),ISNUMBER(G1444)),IF(SIGN(D1444-E1444)=SIGN(F1444-G1444),48,0),"")</f>
        <v>48</v>
      </c>
      <c r="I1444" s="22" t="n">
        <f aca="false">IF(AND(ISNUMBER(F1444),ISNUMBER(G1444)),IF(D1444=F1444,15,0),"")</f>
        <v>15</v>
      </c>
      <c r="J1444" s="22" t="n">
        <f aca="false">IF(AND(ISNUMBER(F1444),ISNUMBER(G1444)),IF(E1444=G1444,15,0),"")</f>
        <v>15</v>
      </c>
      <c r="K1444" s="22" t="n">
        <f aca="false">IF(AND(ISNUMBER(F1444),ISNUMBER(G1444)),IF(ABS(D1444-E1444)=ABS(F1444-G1444),12,0),"")</f>
        <v>12</v>
      </c>
      <c r="L1444" s="23" t="n">
        <f aca="false">IF(ISNUMBER(H1444),H1444+I1444+J1444+K1444,"")</f>
        <v>90</v>
      </c>
    </row>
    <row r="1445" customFormat="false" ht="18" hidden="false" customHeight="true" outlineLevel="0" collapsed="false">
      <c r="A1445" s="17" t="s">
        <v>9</v>
      </c>
      <c r="B1445" s="31" t="s">
        <v>168</v>
      </c>
      <c r="C1445" s="19" t="s">
        <v>20</v>
      </c>
      <c r="D1445" s="20" t="n">
        <v>3</v>
      </c>
      <c r="E1445" s="20" t="n">
        <v>0</v>
      </c>
      <c r="F1445" s="21" t="n">
        <f aca="false">'📋 Matches'!E5</f>
        <v>4</v>
      </c>
      <c r="G1445" s="21" t="n">
        <f aca="false">'📋 Matches'!F5</f>
        <v>1</v>
      </c>
      <c r="H1445" s="22" t="n">
        <f aca="false">IF(AND(ISNUMBER(F1445),ISNUMBER(G1445)),IF(SIGN(D1445-E1445)=SIGN(F1445-G1445),48,0),"")</f>
        <v>48</v>
      </c>
      <c r="I1445" s="22" t="n">
        <f aca="false">IF(AND(ISNUMBER(F1445),ISNUMBER(G1445)),IF(D1445=F1445,15,0),"")</f>
        <v>0</v>
      </c>
      <c r="J1445" s="22" t="n">
        <f aca="false">IF(AND(ISNUMBER(F1445),ISNUMBER(G1445)),IF(E1445=G1445,15,0),"")</f>
        <v>0</v>
      </c>
      <c r="K1445" s="22" t="n">
        <f aca="false">IF(AND(ISNUMBER(F1445),ISNUMBER(G1445)),IF(ABS(D1445-E1445)=ABS(F1445-G1445),12,0),"")</f>
        <v>12</v>
      </c>
      <c r="L1445" s="23" t="n">
        <f aca="false">IF(ISNUMBER(H1445),H1445+I1445+J1445+K1445,"")</f>
        <v>60</v>
      </c>
    </row>
    <row r="1446" customFormat="false" ht="18" hidden="false" customHeight="true" outlineLevel="0" collapsed="false">
      <c r="A1446" s="17" t="s">
        <v>9</v>
      </c>
      <c r="B1446" s="31" t="s">
        <v>168</v>
      </c>
      <c r="C1446" s="19" t="s">
        <v>23</v>
      </c>
      <c r="D1446" s="20" t="n">
        <v>1</v>
      </c>
      <c r="E1446" s="20" t="n">
        <v>3</v>
      </c>
      <c r="F1446" s="21" t="n">
        <f aca="false">'📋 Matches'!E6</f>
        <v>0</v>
      </c>
      <c r="G1446" s="21" t="n">
        <f aca="false">'📋 Matches'!F6</f>
        <v>0</v>
      </c>
      <c r="H1446" s="22" t="str">
        <f aca="false">IF(AND(ISNUMBER(F1446),ISNUMBER(G1446)),IF(SIGN(D1446-E1446)=SIGN(F1446-G1446),48,0),"")</f>
        <v/>
      </c>
      <c r="I1446" s="22" t="str">
        <f aca="false">IF(AND(ISNUMBER(F1446),ISNUMBER(G1446)),IF(D1446=F1446,15,0),"")</f>
        <v/>
      </c>
      <c r="J1446" s="22" t="str">
        <f aca="false">IF(AND(ISNUMBER(F1446),ISNUMBER(G1446)),IF(E1446=G1446,15,0),"")</f>
        <v/>
      </c>
      <c r="K1446" s="22" t="str">
        <f aca="false">IF(AND(ISNUMBER(F1446),ISNUMBER(G1446)),IF(ABS(D1446-E1446)=ABS(F1446-G1446),12,0),"")</f>
        <v/>
      </c>
      <c r="L1446" s="23" t="str">
        <f aca="false">IF(ISNUMBER(H1446),H1446+I1446+J1446+K1446,"")</f>
        <v/>
      </c>
    </row>
    <row r="1447" customFormat="false" ht="18" hidden="false" customHeight="true" outlineLevel="0" collapsed="false">
      <c r="A1447" s="17" t="s">
        <v>9</v>
      </c>
      <c r="B1447" s="31" t="s">
        <v>168</v>
      </c>
      <c r="C1447" s="19" t="s">
        <v>27</v>
      </c>
      <c r="D1447" s="20" t="n">
        <v>2</v>
      </c>
      <c r="E1447" s="20" t="n">
        <v>0</v>
      </c>
      <c r="F1447" s="21" t="n">
        <f aca="false">'📋 Matches'!E7</f>
        <v>0</v>
      </c>
      <c r="G1447" s="21" t="n">
        <f aca="false">'📋 Matches'!F7</f>
        <v>0</v>
      </c>
      <c r="H1447" s="22" t="str">
        <f aca="false">IF(AND(ISNUMBER(F1447),ISNUMBER(G1447)),IF(SIGN(D1447-E1447)=SIGN(F1447-G1447),48,0),"")</f>
        <v/>
      </c>
      <c r="I1447" s="22" t="str">
        <f aca="false">IF(AND(ISNUMBER(F1447),ISNUMBER(G1447)),IF(D1447=F1447,15,0),"")</f>
        <v/>
      </c>
      <c r="J1447" s="22" t="str">
        <f aca="false">IF(AND(ISNUMBER(F1447),ISNUMBER(G1447)),IF(E1447=G1447,15,0),"")</f>
        <v/>
      </c>
      <c r="K1447" s="22" t="str">
        <f aca="false">IF(AND(ISNUMBER(F1447),ISNUMBER(G1447)),IF(ABS(D1447-E1447)=ABS(F1447-G1447),12,0),"")</f>
        <v/>
      </c>
      <c r="L1447" s="23" t="str">
        <f aca="false">IF(ISNUMBER(H1447),H1447+I1447+J1447+K1447,"")</f>
        <v/>
      </c>
    </row>
    <row r="1448" customFormat="false" ht="18" hidden="false" customHeight="true" outlineLevel="0" collapsed="false">
      <c r="A1448" s="17" t="s">
        <v>9</v>
      </c>
      <c r="B1448" s="31" t="s">
        <v>168</v>
      </c>
      <c r="C1448" s="19" t="s">
        <v>30</v>
      </c>
      <c r="D1448" s="20" t="n">
        <v>0</v>
      </c>
      <c r="E1448" s="20" t="n">
        <v>4</v>
      </c>
      <c r="F1448" s="21" t="n">
        <f aca="false">'📋 Matches'!E8</f>
        <v>0</v>
      </c>
      <c r="G1448" s="21" t="n">
        <f aca="false">'📋 Matches'!F8</f>
        <v>0</v>
      </c>
      <c r="H1448" s="22" t="str">
        <f aca="false">IF(AND(ISNUMBER(F1448),ISNUMBER(G1448)),IF(SIGN(D1448-E1448)=SIGN(F1448-G1448),48,0),"")</f>
        <v/>
      </c>
      <c r="I1448" s="22" t="str">
        <f aca="false">IF(AND(ISNUMBER(F1448),ISNUMBER(G1448)),IF(D1448=F1448,15,0),"")</f>
        <v/>
      </c>
      <c r="J1448" s="22" t="str">
        <f aca="false">IF(AND(ISNUMBER(F1448),ISNUMBER(G1448)),IF(E1448=G1448,15,0),"")</f>
        <v/>
      </c>
      <c r="K1448" s="22" t="str">
        <f aca="false">IF(AND(ISNUMBER(F1448),ISNUMBER(G1448)),IF(ABS(D1448-E1448)=ABS(F1448-G1448),12,0),"")</f>
        <v/>
      </c>
      <c r="L1448" s="23" t="str">
        <f aca="false">IF(ISNUMBER(H1448),H1448+I1448+J1448+K1448,"")</f>
        <v/>
      </c>
    </row>
    <row r="1449" customFormat="false" ht="18" hidden="false" customHeight="true" outlineLevel="0" collapsed="false">
      <c r="A1449" s="17" t="s">
        <v>9</v>
      </c>
      <c r="B1449" s="31" t="s">
        <v>168</v>
      </c>
      <c r="C1449" s="19" t="s">
        <v>33</v>
      </c>
      <c r="D1449" s="20" t="n">
        <v>0</v>
      </c>
      <c r="E1449" s="20" t="n">
        <v>4</v>
      </c>
      <c r="F1449" s="21" t="n">
        <f aca="false">'📋 Matches'!E9</f>
        <v>0</v>
      </c>
      <c r="G1449" s="21" t="n">
        <f aca="false">'📋 Matches'!F9</f>
        <v>0</v>
      </c>
      <c r="H1449" s="22" t="str">
        <f aca="false">IF(AND(ISNUMBER(F1449),ISNUMBER(G1449)),IF(SIGN(D1449-E1449)=SIGN(F1449-G1449),48,0),"")</f>
        <v/>
      </c>
      <c r="I1449" s="22" t="str">
        <f aca="false">IF(AND(ISNUMBER(F1449),ISNUMBER(G1449)),IF(D1449=F1449,15,0),"")</f>
        <v/>
      </c>
      <c r="J1449" s="22" t="str">
        <f aca="false">IF(AND(ISNUMBER(F1449),ISNUMBER(G1449)),IF(E1449=G1449,15,0),"")</f>
        <v/>
      </c>
      <c r="K1449" s="22" t="str">
        <f aca="false">IF(AND(ISNUMBER(F1449),ISNUMBER(G1449)),IF(ABS(D1449-E1449)=ABS(F1449-G1449),12,0),"")</f>
        <v/>
      </c>
      <c r="L1449" s="23" t="str">
        <f aca="false">IF(ISNUMBER(H1449),H1449+I1449+J1449+K1449,"")</f>
        <v/>
      </c>
    </row>
    <row r="1450" customFormat="false" ht="18" hidden="false" customHeight="true" outlineLevel="0" collapsed="false">
      <c r="A1450" s="17" t="s">
        <v>9</v>
      </c>
      <c r="B1450" s="31" t="s">
        <v>168</v>
      </c>
      <c r="C1450" s="19" t="s">
        <v>36</v>
      </c>
      <c r="D1450" s="20" t="n">
        <v>6</v>
      </c>
      <c r="E1450" s="20" t="n">
        <v>0</v>
      </c>
      <c r="F1450" s="21" t="n">
        <f aca="false">'📋 Matches'!E10</f>
        <v>0</v>
      </c>
      <c r="G1450" s="21" t="n">
        <f aca="false">'📋 Matches'!F10</f>
        <v>0</v>
      </c>
      <c r="H1450" s="22" t="str">
        <f aca="false">IF(AND(ISNUMBER(F1450),ISNUMBER(G1450)),IF(SIGN(D1450-E1450)=SIGN(F1450-G1450),48,0),"")</f>
        <v/>
      </c>
      <c r="I1450" s="22" t="str">
        <f aca="false">IF(AND(ISNUMBER(F1450),ISNUMBER(G1450)),IF(D1450=F1450,15,0),"")</f>
        <v/>
      </c>
      <c r="J1450" s="22" t="str">
        <f aca="false">IF(AND(ISNUMBER(F1450),ISNUMBER(G1450)),IF(E1450=G1450,15,0),"")</f>
        <v/>
      </c>
      <c r="K1450" s="22" t="str">
        <f aca="false">IF(AND(ISNUMBER(F1450),ISNUMBER(G1450)),IF(ABS(D1450-E1450)=ABS(F1450-G1450),12,0),"")</f>
        <v/>
      </c>
      <c r="L1450" s="23" t="str">
        <f aca="false">IF(ISNUMBER(H1450),H1450+I1450+J1450+K1450,"")</f>
        <v/>
      </c>
    </row>
    <row r="1451" customFormat="false" ht="18" hidden="false" customHeight="true" outlineLevel="0" collapsed="false">
      <c r="A1451" s="17" t="s">
        <v>9</v>
      </c>
      <c r="B1451" s="31" t="s">
        <v>168</v>
      </c>
      <c r="C1451" s="19" t="s">
        <v>39</v>
      </c>
      <c r="D1451" s="20" t="n">
        <v>2</v>
      </c>
      <c r="E1451" s="20" t="n">
        <v>2</v>
      </c>
      <c r="F1451" s="21" t="n">
        <f aca="false">'📋 Matches'!E11</f>
        <v>0</v>
      </c>
      <c r="G1451" s="21" t="n">
        <f aca="false">'📋 Matches'!F11</f>
        <v>0</v>
      </c>
      <c r="H1451" s="22" t="str">
        <f aca="false">IF(AND(ISNUMBER(F1451),ISNUMBER(G1451)),IF(SIGN(D1451-E1451)=SIGN(F1451-G1451),48,0),"")</f>
        <v/>
      </c>
      <c r="I1451" s="22" t="str">
        <f aca="false">IF(AND(ISNUMBER(F1451),ISNUMBER(G1451)),IF(D1451=F1451,15,0),"")</f>
        <v/>
      </c>
      <c r="J1451" s="22" t="str">
        <f aca="false">IF(AND(ISNUMBER(F1451),ISNUMBER(G1451)),IF(E1451=G1451,15,0),"")</f>
        <v/>
      </c>
      <c r="K1451" s="22" t="str">
        <f aca="false">IF(AND(ISNUMBER(F1451),ISNUMBER(G1451)),IF(ABS(D1451-E1451)=ABS(F1451-G1451),12,0),"")</f>
        <v/>
      </c>
      <c r="L1451" s="23" t="str">
        <f aca="false">IF(ISNUMBER(H1451),H1451+I1451+J1451+K1451,"")</f>
        <v/>
      </c>
    </row>
    <row r="1452" customFormat="false" ht="18" hidden="false" customHeight="true" outlineLevel="0" collapsed="false">
      <c r="A1452" s="17" t="s">
        <v>9</v>
      </c>
      <c r="B1452" s="31" t="s">
        <v>168</v>
      </c>
      <c r="C1452" s="19" t="s">
        <v>42</v>
      </c>
      <c r="D1452" s="20" t="n">
        <v>0</v>
      </c>
      <c r="E1452" s="20" t="n">
        <v>1</v>
      </c>
      <c r="F1452" s="21" t="n">
        <f aca="false">'📋 Matches'!E12</f>
        <v>0</v>
      </c>
      <c r="G1452" s="21" t="n">
        <f aca="false">'📋 Matches'!F12</f>
        <v>0</v>
      </c>
      <c r="H1452" s="22" t="str">
        <f aca="false">IF(AND(ISNUMBER(F1452),ISNUMBER(G1452)),IF(SIGN(D1452-E1452)=SIGN(F1452-G1452),48,0),"")</f>
        <v/>
      </c>
      <c r="I1452" s="22" t="str">
        <f aca="false">IF(AND(ISNUMBER(F1452),ISNUMBER(G1452)),IF(D1452=F1452,15,0),"")</f>
        <v/>
      </c>
      <c r="J1452" s="22" t="str">
        <f aca="false">IF(AND(ISNUMBER(F1452),ISNUMBER(G1452)),IF(E1452=G1452,15,0),"")</f>
        <v/>
      </c>
      <c r="K1452" s="22" t="str">
        <f aca="false">IF(AND(ISNUMBER(F1452),ISNUMBER(G1452)),IF(ABS(D1452-E1452)=ABS(F1452-G1452),12,0),"")</f>
        <v/>
      </c>
      <c r="L1452" s="23" t="str">
        <f aca="false">IF(ISNUMBER(H1452),H1452+I1452+J1452+K1452,"")</f>
        <v/>
      </c>
    </row>
    <row r="1453" customFormat="false" ht="18" hidden="false" customHeight="true" outlineLevel="0" collapsed="false">
      <c r="A1453" s="17" t="s">
        <v>9</v>
      </c>
      <c r="B1453" s="31" t="s">
        <v>168</v>
      </c>
      <c r="C1453" s="19" t="s">
        <v>45</v>
      </c>
      <c r="D1453" s="20" t="n">
        <v>2</v>
      </c>
      <c r="E1453" s="20" t="n">
        <v>0</v>
      </c>
      <c r="F1453" s="21" t="n">
        <f aca="false">'📋 Matches'!E13</f>
        <v>0</v>
      </c>
      <c r="G1453" s="21" t="n">
        <f aca="false">'📋 Matches'!F13</f>
        <v>0</v>
      </c>
      <c r="H1453" s="22" t="str">
        <f aca="false">IF(AND(ISNUMBER(F1453),ISNUMBER(G1453)),IF(SIGN(D1453-E1453)=SIGN(F1453-G1453),48,0),"")</f>
        <v/>
      </c>
      <c r="I1453" s="22" t="str">
        <f aca="false">IF(AND(ISNUMBER(F1453),ISNUMBER(G1453)),IF(D1453=F1453,15,0),"")</f>
        <v/>
      </c>
      <c r="J1453" s="22" t="str">
        <f aca="false">IF(AND(ISNUMBER(F1453),ISNUMBER(G1453)),IF(E1453=G1453,15,0),"")</f>
        <v/>
      </c>
      <c r="K1453" s="22" t="str">
        <f aca="false">IF(AND(ISNUMBER(F1453),ISNUMBER(G1453)),IF(ABS(D1453-E1453)=ABS(F1453-G1453),12,0),"")</f>
        <v/>
      </c>
      <c r="L1453" s="23" t="str">
        <f aca="false">IF(ISNUMBER(H1453),H1453+I1453+J1453+K1453,"")</f>
        <v/>
      </c>
    </row>
    <row r="1454" customFormat="false" ht="18" hidden="false" customHeight="true" outlineLevel="0" collapsed="false">
      <c r="A1454" s="17" t="s">
        <v>9</v>
      </c>
      <c r="B1454" s="31" t="s">
        <v>168</v>
      </c>
      <c r="C1454" s="19" t="s">
        <v>48</v>
      </c>
      <c r="D1454" s="20" t="n">
        <v>5</v>
      </c>
      <c r="E1454" s="20" t="n">
        <v>0</v>
      </c>
      <c r="F1454" s="21" t="n">
        <f aca="false">'📋 Matches'!E14</f>
        <v>0</v>
      </c>
      <c r="G1454" s="21" t="n">
        <f aca="false">'📋 Matches'!F14</f>
        <v>0</v>
      </c>
      <c r="H1454" s="22" t="str">
        <f aca="false">IF(AND(ISNUMBER(F1454),ISNUMBER(G1454)),IF(SIGN(D1454-E1454)=SIGN(F1454-G1454),48,0),"")</f>
        <v/>
      </c>
      <c r="I1454" s="22" t="str">
        <f aca="false">IF(AND(ISNUMBER(F1454),ISNUMBER(G1454)),IF(D1454=F1454,15,0),"")</f>
        <v/>
      </c>
      <c r="J1454" s="22" t="str">
        <f aca="false">IF(AND(ISNUMBER(F1454),ISNUMBER(G1454)),IF(E1454=G1454,15,0),"")</f>
        <v/>
      </c>
      <c r="K1454" s="22" t="str">
        <f aca="false">IF(AND(ISNUMBER(F1454),ISNUMBER(G1454)),IF(ABS(D1454-E1454)=ABS(F1454-G1454),12,0),"")</f>
        <v/>
      </c>
      <c r="L1454" s="23" t="str">
        <f aca="false">IF(ISNUMBER(H1454),H1454+I1454+J1454+K1454,"")</f>
        <v/>
      </c>
    </row>
    <row r="1455" customFormat="false" ht="18" hidden="false" customHeight="true" outlineLevel="0" collapsed="false">
      <c r="A1455" s="17" t="s">
        <v>9</v>
      </c>
      <c r="B1455" s="31" t="s">
        <v>168</v>
      </c>
      <c r="C1455" s="19" t="s">
        <v>51</v>
      </c>
      <c r="D1455" s="20" t="n">
        <v>4</v>
      </c>
      <c r="E1455" s="20" t="n">
        <v>1</v>
      </c>
      <c r="F1455" s="21" t="n">
        <f aca="false">'📋 Matches'!E15</f>
        <v>0</v>
      </c>
      <c r="G1455" s="21" t="n">
        <f aca="false">'📋 Matches'!F15</f>
        <v>0</v>
      </c>
      <c r="H1455" s="22" t="str">
        <f aca="false">IF(AND(ISNUMBER(F1455),ISNUMBER(G1455)),IF(SIGN(D1455-E1455)=SIGN(F1455-G1455),48,0),"")</f>
        <v/>
      </c>
      <c r="I1455" s="22" t="str">
        <f aca="false">IF(AND(ISNUMBER(F1455),ISNUMBER(G1455)),IF(D1455=F1455,15,0),"")</f>
        <v/>
      </c>
      <c r="J1455" s="22" t="str">
        <f aca="false">IF(AND(ISNUMBER(F1455),ISNUMBER(G1455)),IF(E1455=G1455,15,0),"")</f>
        <v/>
      </c>
      <c r="K1455" s="22" t="str">
        <f aca="false">IF(AND(ISNUMBER(F1455),ISNUMBER(G1455)),IF(ABS(D1455-E1455)=ABS(F1455-G1455),12,0),"")</f>
        <v/>
      </c>
      <c r="L1455" s="23" t="str">
        <f aca="false">IF(ISNUMBER(H1455),H1455+I1455+J1455+K1455,"")</f>
        <v/>
      </c>
    </row>
    <row r="1456" customFormat="false" ht="18" hidden="false" customHeight="true" outlineLevel="0" collapsed="false">
      <c r="A1456" s="17" t="s">
        <v>9</v>
      </c>
      <c r="B1456" s="31" t="s">
        <v>168</v>
      </c>
      <c r="C1456" s="19" t="s">
        <v>54</v>
      </c>
      <c r="D1456" s="20" t="n">
        <v>0</v>
      </c>
      <c r="E1456" s="20" t="n">
        <v>2</v>
      </c>
      <c r="F1456" s="21" t="n">
        <f aca="false">'📋 Matches'!E16</f>
        <v>0</v>
      </c>
      <c r="G1456" s="21" t="n">
        <f aca="false">'📋 Matches'!F16</f>
        <v>0</v>
      </c>
      <c r="H1456" s="22" t="str">
        <f aca="false">IF(AND(ISNUMBER(F1456),ISNUMBER(G1456)),IF(SIGN(D1456-E1456)=SIGN(F1456-G1456),48,0),"")</f>
        <v/>
      </c>
      <c r="I1456" s="22" t="str">
        <f aca="false">IF(AND(ISNUMBER(F1456),ISNUMBER(G1456)),IF(D1456=F1456,15,0),"")</f>
        <v/>
      </c>
      <c r="J1456" s="22" t="str">
        <f aca="false">IF(AND(ISNUMBER(F1456),ISNUMBER(G1456)),IF(E1456=G1456,15,0),"")</f>
        <v/>
      </c>
      <c r="K1456" s="22" t="str">
        <f aca="false">IF(AND(ISNUMBER(F1456),ISNUMBER(G1456)),IF(ABS(D1456-E1456)=ABS(F1456-G1456),12,0),"")</f>
        <v/>
      </c>
      <c r="L1456" s="23" t="str">
        <f aca="false">IF(ISNUMBER(H1456),H1456+I1456+J1456+K1456,"")</f>
        <v/>
      </c>
    </row>
    <row r="1457" customFormat="false" ht="18" hidden="false" customHeight="true" outlineLevel="0" collapsed="false">
      <c r="A1457" s="17" t="s">
        <v>9</v>
      </c>
      <c r="B1457" s="31" t="s">
        <v>168</v>
      </c>
      <c r="C1457" s="19" t="s">
        <v>57</v>
      </c>
      <c r="D1457" s="20" t="n">
        <v>3</v>
      </c>
      <c r="E1457" s="20" t="n">
        <v>1</v>
      </c>
      <c r="F1457" s="21" t="n">
        <f aca="false">'📋 Matches'!E17</f>
        <v>0</v>
      </c>
      <c r="G1457" s="21" t="n">
        <f aca="false">'📋 Matches'!F17</f>
        <v>0</v>
      </c>
      <c r="H1457" s="22" t="str">
        <f aca="false">IF(AND(ISNUMBER(F1457),ISNUMBER(G1457)),IF(SIGN(D1457-E1457)=SIGN(F1457-G1457),48,0),"")</f>
        <v/>
      </c>
      <c r="I1457" s="22" t="str">
        <f aca="false">IF(AND(ISNUMBER(F1457),ISNUMBER(G1457)),IF(D1457=F1457,15,0),"")</f>
        <v/>
      </c>
      <c r="J1457" s="22" t="str">
        <f aca="false">IF(AND(ISNUMBER(F1457),ISNUMBER(G1457)),IF(E1457=G1457,15,0),"")</f>
        <v/>
      </c>
      <c r="K1457" s="22" t="str">
        <f aca="false">IF(AND(ISNUMBER(F1457),ISNUMBER(G1457)),IF(ABS(D1457-E1457)=ABS(F1457-G1457),12,0),"")</f>
        <v/>
      </c>
      <c r="L1457" s="23" t="str">
        <f aca="false">IF(ISNUMBER(H1457),H1457+I1457+J1457+K1457,"")</f>
        <v/>
      </c>
    </row>
    <row r="1458" customFormat="false" ht="18" hidden="false" customHeight="true" outlineLevel="0" collapsed="false">
      <c r="A1458" s="17" t="s">
        <v>9</v>
      </c>
      <c r="B1458" s="31" t="s">
        <v>168</v>
      </c>
      <c r="C1458" s="19" t="s">
        <v>60</v>
      </c>
      <c r="D1458" s="20" t="n">
        <v>4</v>
      </c>
      <c r="E1458" s="20" t="n">
        <v>1</v>
      </c>
      <c r="F1458" s="21" t="n">
        <f aca="false">'📋 Matches'!E18</f>
        <v>0</v>
      </c>
      <c r="G1458" s="21" t="n">
        <f aca="false">'📋 Matches'!F18</f>
        <v>0</v>
      </c>
      <c r="H1458" s="22" t="str">
        <f aca="false">IF(AND(ISNUMBER(F1458),ISNUMBER(G1458)),IF(SIGN(D1458-E1458)=SIGN(F1458-G1458),48,0),"")</f>
        <v/>
      </c>
      <c r="I1458" s="22" t="str">
        <f aca="false">IF(AND(ISNUMBER(F1458),ISNUMBER(G1458)),IF(D1458=F1458,15,0),"")</f>
        <v/>
      </c>
      <c r="J1458" s="22" t="str">
        <f aca="false">IF(AND(ISNUMBER(F1458),ISNUMBER(G1458)),IF(E1458=G1458,15,0),"")</f>
        <v/>
      </c>
      <c r="K1458" s="22" t="str">
        <f aca="false">IF(AND(ISNUMBER(F1458),ISNUMBER(G1458)),IF(ABS(D1458-E1458)=ABS(F1458-G1458),12,0),"")</f>
        <v/>
      </c>
      <c r="L1458" s="23" t="str">
        <f aca="false">IF(ISNUMBER(H1458),H1458+I1458+J1458+K1458,"")</f>
        <v/>
      </c>
    </row>
    <row r="1459" customFormat="false" ht="18" hidden="false" customHeight="true" outlineLevel="0" collapsed="false">
      <c r="A1459" s="17" t="s">
        <v>9</v>
      </c>
      <c r="B1459" s="31" t="s">
        <v>168</v>
      </c>
      <c r="C1459" s="19" t="s">
        <v>63</v>
      </c>
      <c r="D1459" s="20" t="n">
        <v>0</v>
      </c>
      <c r="E1459" s="20" t="n">
        <v>3</v>
      </c>
      <c r="F1459" s="21" t="n">
        <f aca="false">'📋 Matches'!E19</f>
        <v>0</v>
      </c>
      <c r="G1459" s="21" t="n">
        <f aca="false">'📋 Matches'!F19</f>
        <v>0</v>
      </c>
      <c r="H1459" s="22" t="str">
        <f aca="false">IF(AND(ISNUMBER(F1459),ISNUMBER(G1459)),IF(SIGN(D1459-E1459)=SIGN(F1459-G1459),48,0),"")</f>
        <v/>
      </c>
      <c r="I1459" s="22" t="str">
        <f aca="false">IF(AND(ISNUMBER(F1459),ISNUMBER(G1459)),IF(D1459=F1459,15,0),"")</f>
        <v/>
      </c>
      <c r="J1459" s="22" t="str">
        <f aca="false">IF(AND(ISNUMBER(F1459),ISNUMBER(G1459)),IF(E1459=G1459,15,0),"")</f>
        <v/>
      </c>
      <c r="K1459" s="22" t="str">
        <f aca="false">IF(AND(ISNUMBER(F1459),ISNUMBER(G1459)),IF(ABS(D1459-E1459)=ABS(F1459-G1459),12,0),"")</f>
        <v/>
      </c>
      <c r="L1459" s="23" t="str">
        <f aca="false">IF(ISNUMBER(H1459),H1459+I1459+J1459+K1459,"")</f>
        <v/>
      </c>
    </row>
    <row r="1460" customFormat="false" ht="18" hidden="false" customHeight="true" outlineLevel="0" collapsed="false">
      <c r="A1460" s="17" t="s">
        <v>9</v>
      </c>
      <c r="B1460" s="31" t="s">
        <v>168</v>
      </c>
      <c r="C1460" s="19" t="s">
        <v>66</v>
      </c>
      <c r="D1460" s="20" t="n">
        <v>3</v>
      </c>
      <c r="E1460" s="20" t="n">
        <v>1</v>
      </c>
      <c r="F1460" s="21" t="n">
        <f aca="false">'📋 Matches'!E20</f>
        <v>0</v>
      </c>
      <c r="G1460" s="21" t="n">
        <f aca="false">'📋 Matches'!F20</f>
        <v>0</v>
      </c>
      <c r="H1460" s="22" t="str">
        <f aca="false">IF(AND(ISNUMBER(F1460),ISNUMBER(G1460)),IF(SIGN(D1460-E1460)=SIGN(F1460-G1460),48,0),"")</f>
        <v/>
      </c>
      <c r="I1460" s="22" t="str">
        <f aca="false">IF(AND(ISNUMBER(F1460),ISNUMBER(G1460)),IF(D1460=F1460,15,0),"")</f>
        <v/>
      </c>
      <c r="J1460" s="22" t="str">
        <f aca="false">IF(AND(ISNUMBER(F1460),ISNUMBER(G1460)),IF(E1460=G1460,15,0),"")</f>
        <v/>
      </c>
      <c r="K1460" s="22" t="str">
        <f aca="false">IF(AND(ISNUMBER(F1460),ISNUMBER(G1460)),IF(ABS(D1460-E1460)=ABS(F1460-G1460),12,0),"")</f>
        <v/>
      </c>
      <c r="L1460" s="23" t="str">
        <f aca="false">IF(ISNUMBER(H1460),H1460+I1460+J1460+K1460,"")</f>
        <v/>
      </c>
    </row>
    <row r="1461" customFormat="false" ht="18" hidden="false" customHeight="true" outlineLevel="0" collapsed="false">
      <c r="A1461" s="17" t="s">
        <v>9</v>
      </c>
      <c r="B1461" s="31" t="s">
        <v>168</v>
      </c>
      <c r="C1461" s="19" t="s">
        <v>69</v>
      </c>
      <c r="D1461" s="20" t="n">
        <v>4</v>
      </c>
      <c r="E1461" s="20" t="n">
        <v>0</v>
      </c>
      <c r="F1461" s="21" t="n">
        <f aca="false">'📋 Matches'!E21</f>
        <v>0</v>
      </c>
      <c r="G1461" s="21" t="n">
        <f aca="false">'📋 Matches'!F21</f>
        <v>0</v>
      </c>
      <c r="H1461" s="22" t="str">
        <f aca="false">IF(AND(ISNUMBER(F1461),ISNUMBER(G1461)),IF(SIGN(D1461-E1461)=SIGN(F1461-G1461),48,0),"")</f>
        <v/>
      </c>
      <c r="I1461" s="22" t="str">
        <f aca="false">IF(AND(ISNUMBER(F1461),ISNUMBER(G1461)),IF(D1461=F1461,15,0),"")</f>
        <v/>
      </c>
      <c r="J1461" s="22" t="str">
        <f aca="false">IF(AND(ISNUMBER(F1461),ISNUMBER(G1461)),IF(E1461=G1461,15,0),"")</f>
        <v/>
      </c>
      <c r="K1461" s="22" t="str">
        <f aca="false">IF(AND(ISNUMBER(F1461),ISNUMBER(G1461)),IF(ABS(D1461-E1461)=ABS(F1461-G1461),12,0),"")</f>
        <v/>
      </c>
      <c r="L1461" s="23" t="str">
        <f aca="false">IF(ISNUMBER(H1461),H1461+I1461+J1461+K1461,"")</f>
        <v/>
      </c>
    </row>
    <row r="1462" customFormat="false" ht="18" hidden="false" customHeight="true" outlineLevel="0" collapsed="false">
      <c r="A1462" s="17" t="s">
        <v>9</v>
      </c>
      <c r="B1462" s="31" t="s">
        <v>168</v>
      </c>
      <c r="C1462" s="19" t="s">
        <v>72</v>
      </c>
      <c r="D1462" s="20" t="n">
        <v>6</v>
      </c>
      <c r="E1462" s="20" t="n">
        <v>0</v>
      </c>
      <c r="F1462" s="21" t="n">
        <f aca="false">'📋 Matches'!E22</f>
        <v>0</v>
      </c>
      <c r="G1462" s="21" t="n">
        <f aca="false">'📋 Matches'!F22</f>
        <v>0</v>
      </c>
      <c r="H1462" s="22" t="str">
        <f aca="false">IF(AND(ISNUMBER(F1462),ISNUMBER(G1462)),IF(SIGN(D1462-E1462)=SIGN(F1462-G1462),48,0),"")</f>
        <v/>
      </c>
      <c r="I1462" s="22" t="str">
        <f aca="false">IF(AND(ISNUMBER(F1462),ISNUMBER(G1462)),IF(D1462=F1462,15,0),"")</f>
        <v/>
      </c>
      <c r="J1462" s="22" t="str">
        <f aca="false">IF(AND(ISNUMBER(F1462),ISNUMBER(G1462)),IF(E1462=G1462,15,0),"")</f>
        <v/>
      </c>
      <c r="K1462" s="22" t="str">
        <f aca="false">IF(AND(ISNUMBER(F1462),ISNUMBER(G1462)),IF(ABS(D1462-E1462)=ABS(F1462-G1462),12,0),"")</f>
        <v/>
      </c>
      <c r="L1462" s="23" t="str">
        <f aca="false">IF(ISNUMBER(H1462),H1462+I1462+J1462+K1462,"")</f>
        <v/>
      </c>
    </row>
    <row r="1463" customFormat="false" ht="18" hidden="false" customHeight="true" outlineLevel="0" collapsed="false">
      <c r="A1463" s="17" t="s">
        <v>9</v>
      </c>
      <c r="B1463" s="31" t="s">
        <v>168</v>
      </c>
      <c r="C1463" s="19" t="s">
        <v>75</v>
      </c>
      <c r="D1463" s="20" t="n">
        <v>3</v>
      </c>
      <c r="E1463" s="20" t="n">
        <v>1</v>
      </c>
      <c r="F1463" s="21" t="n">
        <f aca="false">'📋 Matches'!E23</f>
        <v>0</v>
      </c>
      <c r="G1463" s="21" t="n">
        <f aca="false">'📋 Matches'!F23</f>
        <v>0</v>
      </c>
      <c r="H1463" s="22" t="str">
        <f aca="false">IF(AND(ISNUMBER(F1463),ISNUMBER(G1463)),IF(SIGN(D1463-E1463)=SIGN(F1463-G1463),48,0),"")</f>
        <v/>
      </c>
      <c r="I1463" s="22" t="str">
        <f aca="false">IF(AND(ISNUMBER(F1463),ISNUMBER(G1463)),IF(D1463=F1463,15,0),"")</f>
        <v/>
      </c>
      <c r="J1463" s="22" t="str">
        <f aca="false">IF(AND(ISNUMBER(F1463),ISNUMBER(G1463)),IF(E1463=G1463,15,0),"")</f>
        <v/>
      </c>
      <c r="K1463" s="22" t="str">
        <f aca="false">IF(AND(ISNUMBER(F1463),ISNUMBER(G1463)),IF(ABS(D1463-E1463)=ABS(F1463-G1463),12,0),"")</f>
        <v/>
      </c>
      <c r="L1463" s="23" t="str">
        <f aca="false">IF(ISNUMBER(H1463),H1463+I1463+J1463+K1463,"")</f>
        <v/>
      </c>
    </row>
    <row r="1464" customFormat="false" ht="18" hidden="false" customHeight="true" outlineLevel="0" collapsed="false">
      <c r="A1464" s="17" t="s">
        <v>9</v>
      </c>
      <c r="B1464" s="31" t="s">
        <v>168</v>
      </c>
      <c r="C1464" s="19" t="s">
        <v>78</v>
      </c>
      <c r="D1464" s="20" t="n">
        <v>2</v>
      </c>
      <c r="E1464" s="20" t="n">
        <v>2</v>
      </c>
      <c r="F1464" s="21" t="n">
        <f aca="false">'📋 Matches'!E24</f>
        <v>0</v>
      </c>
      <c r="G1464" s="21" t="n">
        <f aca="false">'📋 Matches'!F24</f>
        <v>0</v>
      </c>
      <c r="H1464" s="22" t="str">
        <f aca="false">IF(AND(ISNUMBER(F1464),ISNUMBER(G1464)),IF(SIGN(D1464-E1464)=SIGN(F1464-G1464),48,0),"")</f>
        <v/>
      </c>
      <c r="I1464" s="22" t="str">
        <f aca="false">IF(AND(ISNUMBER(F1464),ISNUMBER(G1464)),IF(D1464=F1464,15,0),"")</f>
        <v/>
      </c>
      <c r="J1464" s="22" t="str">
        <f aca="false">IF(AND(ISNUMBER(F1464),ISNUMBER(G1464)),IF(E1464=G1464,15,0),"")</f>
        <v/>
      </c>
      <c r="K1464" s="22" t="str">
        <f aca="false">IF(AND(ISNUMBER(F1464),ISNUMBER(G1464)),IF(ABS(D1464-E1464)=ABS(F1464-G1464),12,0),"")</f>
        <v/>
      </c>
      <c r="L1464" s="23" t="str">
        <f aca="false">IF(ISNUMBER(H1464),H1464+I1464+J1464+K1464,"")</f>
        <v/>
      </c>
    </row>
    <row r="1465" customFormat="false" ht="18" hidden="false" customHeight="true" outlineLevel="0" collapsed="false">
      <c r="A1465" s="17" t="s">
        <v>9</v>
      </c>
      <c r="B1465" s="31" t="s">
        <v>168</v>
      </c>
      <c r="C1465" s="19" t="s">
        <v>81</v>
      </c>
      <c r="D1465" s="20" t="n">
        <v>1</v>
      </c>
      <c r="E1465" s="20" t="n">
        <v>1</v>
      </c>
      <c r="F1465" s="21" t="n">
        <f aca="false">'📋 Matches'!E25</f>
        <v>0</v>
      </c>
      <c r="G1465" s="21" t="n">
        <f aca="false">'📋 Matches'!F25</f>
        <v>0</v>
      </c>
      <c r="H1465" s="22" t="str">
        <f aca="false">IF(AND(ISNUMBER(F1465),ISNUMBER(G1465)),IF(SIGN(D1465-E1465)=SIGN(F1465-G1465),48,0),"")</f>
        <v/>
      </c>
      <c r="I1465" s="22" t="str">
        <f aca="false">IF(AND(ISNUMBER(F1465),ISNUMBER(G1465)),IF(D1465=F1465,15,0),"")</f>
        <v/>
      </c>
      <c r="J1465" s="22" t="str">
        <f aca="false">IF(AND(ISNUMBER(F1465),ISNUMBER(G1465)),IF(E1465=G1465,15,0),"")</f>
        <v/>
      </c>
      <c r="K1465" s="22" t="str">
        <f aca="false">IF(AND(ISNUMBER(F1465),ISNUMBER(G1465)),IF(ABS(D1465-E1465)=ABS(F1465-G1465),12,0),"")</f>
        <v/>
      </c>
      <c r="L1465" s="23" t="str">
        <f aca="false">IF(ISNUMBER(H1465),H1465+I1465+J1465+K1465,"")</f>
        <v/>
      </c>
    </row>
    <row r="1466" customFormat="false" ht="18" hidden="false" customHeight="true" outlineLevel="0" collapsed="false">
      <c r="A1466" s="17" t="s">
        <v>84</v>
      </c>
      <c r="B1466" s="31" t="s">
        <v>168</v>
      </c>
      <c r="C1466" s="19" t="s">
        <v>85</v>
      </c>
      <c r="D1466" s="20"/>
      <c r="E1466" s="20"/>
      <c r="F1466" s="21" t="n">
        <f aca="false">'📋 Matches'!E26</f>
        <v>0</v>
      </c>
      <c r="G1466" s="21" t="n">
        <f aca="false">'📋 Matches'!F26</f>
        <v>0</v>
      </c>
      <c r="H1466" s="24" t="s">
        <v>148</v>
      </c>
      <c r="I1466" s="24" t="s">
        <v>148</v>
      </c>
      <c r="J1466" s="24" t="s">
        <v>148</v>
      </c>
      <c r="K1466" s="24" t="s">
        <v>148</v>
      </c>
      <c r="L1466" s="24" t="s">
        <v>148</v>
      </c>
    </row>
    <row r="1467" customFormat="false" ht="18" hidden="false" customHeight="true" outlineLevel="0" collapsed="false">
      <c r="A1467" s="17" t="s">
        <v>84</v>
      </c>
      <c r="B1467" s="31" t="s">
        <v>168</v>
      </c>
      <c r="C1467" s="19" t="s">
        <v>87</v>
      </c>
      <c r="D1467" s="20"/>
      <c r="E1467" s="20"/>
      <c r="F1467" s="21" t="n">
        <f aca="false">'📋 Matches'!E27</f>
        <v>0</v>
      </c>
      <c r="G1467" s="21" t="n">
        <f aca="false">'📋 Matches'!F27</f>
        <v>0</v>
      </c>
      <c r="H1467" s="24" t="s">
        <v>148</v>
      </c>
      <c r="I1467" s="24" t="s">
        <v>148</v>
      </c>
      <c r="J1467" s="24" t="s">
        <v>148</v>
      </c>
      <c r="K1467" s="24" t="s">
        <v>148</v>
      </c>
      <c r="L1467" s="24" t="s">
        <v>148</v>
      </c>
    </row>
    <row r="1468" customFormat="false" ht="18" hidden="false" customHeight="true" outlineLevel="0" collapsed="false">
      <c r="A1468" s="17" t="s">
        <v>84</v>
      </c>
      <c r="B1468" s="31" t="s">
        <v>168</v>
      </c>
      <c r="C1468" s="19" t="s">
        <v>89</v>
      </c>
      <c r="D1468" s="20"/>
      <c r="E1468" s="20"/>
      <c r="F1468" s="21" t="n">
        <f aca="false">'📋 Matches'!E28</f>
        <v>0</v>
      </c>
      <c r="G1468" s="21" t="n">
        <f aca="false">'📋 Matches'!F28</f>
        <v>0</v>
      </c>
      <c r="H1468" s="24" t="s">
        <v>148</v>
      </c>
      <c r="I1468" s="24" t="s">
        <v>148</v>
      </c>
      <c r="J1468" s="24" t="s">
        <v>148</v>
      </c>
      <c r="K1468" s="24" t="s">
        <v>148</v>
      </c>
      <c r="L1468" s="24" t="s">
        <v>148</v>
      </c>
    </row>
    <row r="1469" customFormat="false" ht="18" hidden="false" customHeight="true" outlineLevel="0" collapsed="false">
      <c r="A1469" s="17" t="s">
        <v>84</v>
      </c>
      <c r="B1469" s="31" t="s">
        <v>168</v>
      </c>
      <c r="C1469" s="19" t="s">
        <v>90</v>
      </c>
      <c r="D1469" s="20"/>
      <c r="E1469" s="20"/>
      <c r="F1469" s="21" t="n">
        <f aca="false">'📋 Matches'!E29</f>
        <v>0</v>
      </c>
      <c r="G1469" s="21" t="n">
        <f aca="false">'📋 Matches'!F29</f>
        <v>0</v>
      </c>
      <c r="H1469" s="24" t="s">
        <v>148</v>
      </c>
      <c r="I1469" s="24" t="s">
        <v>148</v>
      </c>
      <c r="J1469" s="24" t="s">
        <v>148</v>
      </c>
      <c r="K1469" s="24" t="s">
        <v>148</v>
      </c>
      <c r="L1469" s="24" t="s">
        <v>148</v>
      </c>
    </row>
    <row r="1470" customFormat="false" ht="18" hidden="false" customHeight="true" outlineLevel="0" collapsed="false">
      <c r="A1470" s="17" t="s">
        <v>84</v>
      </c>
      <c r="B1470" s="31" t="s">
        <v>168</v>
      </c>
      <c r="C1470" s="19" t="s">
        <v>91</v>
      </c>
      <c r="D1470" s="20"/>
      <c r="E1470" s="20"/>
      <c r="F1470" s="21" t="n">
        <f aca="false">'📋 Matches'!E30</f>
        <v>0</v>
      </c>
      <c r="G1470" s="21" t="n">
        <f aca="false">'📋 Matches'!F30</f>
        <v>0</v>
      </c>
      <c r="H1470" s="24" t="s">
        <v>148</v>
      </c>
      <c r="I1470" s="24" t="s">
        <v>148</v>
      </c>
      <c r="J1470" s="24" t="s">
        <v>148</v>
      </c>
      <c r="K1470" s="24" t="s">
        <v>148</v>
      </c>
      <c r="L1470" s="24" t="s">
        <v>148</v>
      </c>
    </row>
    <row r="1471" customFormat="false" ht="18" hidden="false" customHeight="true" outlineLevel="0" collapsed="false">
      <c r="A1471" s="17" t="s">
        <v>84</v>
      </c>
      <c r="B1471" s="31" t="s">
        <v>168</v>
      </c>
      <c r="C1471" s="19" t="s">
        <v>92</v>
      </c>
      <c r="D1471" s="20"/>
      <c r="E1471" s="20"/>
      <c r="F1471" s="21" t="n">
        <f aca="false">'📋 Matches'!E31</f>
        <v>0</v>
      </c>
      <c r="G1471" s="21" t="n">
        <f aca="false">'📋 Matches'!F31</f>
        <v>0</v>
      </c>
      <c r="H1471" s="24" t="s">
        <v>148</v>
      </c>
      <c r="I1471" s="24" t="s">
        <v>148</v>
      </c>
      <c r="J1471" s="24" t="s">
        <v>148</v>
      </c>
      <c r="K1471" s="24" t="s">
        <v>148</v>
      </c>
      <c r="L1471" s="24" t="s">
        <v>148</v>
      </c>
    </row>
    <row r="1472" customFormat="false" ht="18" hidden="false" customHeight="true" outlineLevel="0" collapsed="false">
      <c r="A1472" s="17" t="s">
        <v>84</v>
      </c>
      <c r="B1472" s="31" t="s">
        <v>168</v>
      </c>
      <c r="C1472" s="19" t="s">
        <v>93</v>
      </c>
      <c r="D1472" s="20"/>
      <c r="E1472" s="20"/>
      <c r="F1472" s="21" t="n">
        <f aca="false">'📋 Matches'!E32</f>
        <v>0</v>
      </c>
      <c r="G1472" s="21" t="n">
        <f aca="false">'📋 Matches'!F32</f>
        <v>0</v>
      </c>
      <c r="H1472" s="24" t="s">
        <v>148</v>
      </c>
      <c r="I1472" s="24" t="s">
        <v>148</v>
      </c>
      <c r="J1472" s="24" t="s">
        <v>148</v>
      </c>
      <c r="K1472" s="24" t="s">
        <v>148</v>
      </c>
      <c r="L1472" s="24" t="s">
        <v>148</v>
      </c>
    </row>
    <row r="1473" customFormat="false" ht="18" hidden="false" customHeight="true" outlineLevel="0" collapsed="false">
      <c r="A1473" s="17" t="s">
        <v>84</v>
      </c>
      <c r="B1473" s="31" t="s">
        <v>168</v>
      </c>
      <c r="C1473" s="19" t="s">
        <v>94</v>
      </c>
      <c r="D1473" s="20"/>
      <c r="E1473" s="20"/>
      <c r="F1473" s="21" t="n">
        <f aca="false">'📋 Matches'!E33</f>
        <v>0</v>
      </c>
      <c r="G1473" s="21" t="n">
        <f aca="false">'📋 Matches'!F33</f>
        <v>0</v>
      </c>
      <c r="H1473" s="24" t="s">
        <v>148</v>
      </c>
      <c r="I1473" s="24" t="s">
        <v>148</v>
      </c>
      <c r="J1473" s="24" t="s">
        <v>148</v>
      </c>
      <c r="K1473" s="24" t="s">
        <v>148</v>
      </c>
      <c r="L1473" s="24" t="s">
        <v>148</v>
      </c>
    </row>
    <row r="1474" customFormat="false" ht="18" hidden="false" customHeight="true" outlineLevel="0" collapsed="false">
      <c r="A1474" s="17" t="s">
        <v>84</v>
      </c>
      <c r="B1474" s="31" t="s">
        <v>168</v>
      </c>
      <c r="C1474" s="19" t="s">
        <v>96</v>
      </c>
      <c r="D1474" s="20"/>
      <c r="E1474" s="20"/>
      <c r="F1474" s="21" t="n">
        <f aca="false">'📋 Matches'!E34</f>
        <v>0</v>
      </c>
      <c r="G1474" s="21" t="n">
        <f aca="false">'📋 Matches'!F34</f>
        <v>0</v>
      </c>
      <c r="H1474" s="24" t="s">
        <v>148</v>
      </c>
      <c r="I1474" s="24" t="s">
        <v>148</v>
      </c>
      <c r="J1474" s="24" t="s">
        <v>148</v>
      </c>
      <c r="K1474" s="24" t="s">
        <v>148</v>
      </c>
      <c r="L1474" s="24" t="s">
        <v>148</v>
      </c>
    </row>
    <row r="1475" customFormat="false" ht="18" hidden="false" customHeight="true" outlineLevel="0" collapsed="false">
      <c r="A1475" s="17" t="s">
        <v>84</v>
      </c>
      <c r="B1475" s="31" t="s">
        <v>168</v>
      </c>
      <c r="C1475" s="19" t="s">
        <v>97</v>
      </c>
      <c r="D1475" s="20"/>
      <c r="E1475" s="20"/>
      <c r="F1475" s="21" t="n">
        <f aca="false">'📋 Matches'!E35</f>
        <v>0</v>
      </c>
      <c r="G1475" s="21" t="n">
        <f aca="false">'📋 Matches'!F35</f>
        <v>0</v>
      </c>
      <c r="H1475" s="24" t="s">
        <v>148</v>
      </c>
      <c r="I1475" s="24" t="s">
        <v>148</v>
      </c>
      <c r="J1475" s="24" t="s">
        <v>148</v>
      </c>
      <c r="K1475" s="24" t="s">
        <v>148</v>
      </c>
      <c r="L1475" s="24" t="s">
        <v>148</v>
      </c>
    </row>
    <row r="1476" customFormat="false" ht="18" hidden="false" customHeight="true" outlineLevel="0" collapsed="false">
      <c r="A1476" s="17" t="s">
        <v>84</v>
      </c>
      <c r="B1476" s="31" t="s">
        <v>168</v>
      </c>
      <c r="C1476" s="19" t="s">
        <v>98</v>
      </c>
      <c r="D1476" s="20"/>
      <c r="E1476" s="20"/>
      <c r="F1476" s="21" t="n">
        <f aca="false">'📋 Matches'!E36</f>
        <v>0</v>
      </c>
      <c r="G1476" s="21" t="n">
        <f aca="false">'📋 Matches'!F36</f>
        <v>0</v>
      </c>
      <c r="H1476" s="24" t="s">
        <v>148</v>
      </c>
      <c r="I1476" s="24" t="s">
        <v>148</v>
      </c>
      <c r="J1476" s="24" t="s">
        <v>148</v>
      </c>
      <c r="K1476" s="24" t="s">
        <v>148</v>
      </c>
      <c r="L1476" s="24" t="s">
        <v>148</v>
      </c>
    </row>
    <row r="1477" customFormat="false" ht="18" hidden="false" customHeight="true" outlineLevel="0" collapsed="false">
      <c r="A1477" s="17" t="s">
        <v>84</v>
      </c>
      <c r="B1477" s="31" t="s">
        <v>168</v>
      </c>
      <c r="C1477" s="19" t="s">
        <v>100</v>
      </c>
      <c r="D1477" s="20"/>
      <c r="E1477" s="20"/>
      <c r="F1477" s="21" t="n">
        <f aca="false">'📋 Matches'!E37</f>
        <v>0</v>
      </c>
      <c r="G1477" s="21" t="n">
        <f aca="false">'📋 Matches'!F37</f>
        <v>0</v>
      </c>
      <c r="H1477" s="24" t="s">
        <v>148</v>
      </c>
      <c r="I1477" s="24" t="s">
        <v>148</v>
      </c>
      <c r="J1477" s="24" t="s">
        <v>148</v>
      </c>
      <c r="K1477" s="24" t="s">
        <v>148</v>
      </c>
      <c r="L1477" s="24" t="s">
        <v>148</v>
      </c>
    </row>
    <row r="1478" customFormat="false" ht="18" hidden="false" customHeight="true" outlineLevel="0" collapsed="false">
      <c r="A1478" s="17" t="s">
        <v>84</v>
      </c>
      <c r="B1478" s="31" t="s">
        <v>168</v>
      </c>
      <c r="C1478" s="19" t="s">
        <v>101</v>
      </c>
      <c r="D1478" s="20"/>
      <c r="E1478" s="20"/>
      <c r="F1478" s="21" t="n">
        <f aca="false">'📋 Matches'!E38</f>
        <v>0</v>
      </c>
      <c r="G1478" s="21" t="n">
        <f aca="false">'📋 Matches'!F38</f>
        <v>0</v>
      </c>
      <c r="H1478" s="24" t="s">
        <v>148</v>
      </c>
      <c r="I1478" s="24" t="s">
        <v>148</v>
      </c>
      <c r="J1478" s="24" t="s">
        <v>148</v>
      </c>
      <c r="K1478" s="24" t="s">
        <v>148</v>
      </c>
      <c r="L1478" s="24" t="s">
        <v>148</v>
      </c>
    </row>
    <row r="1479" customFormat="false" ht="18" hidden="false" customHeight="true" outlineLevel="0" collapsed="false">
      <c r="A1479" s="17" t="s">
        <v>84</v>
      </c>
      <c r="B1479" s="31" t="s">
        <v>168</v>
      </c>
      <c r="C1479" s="19" t="s">
        <v>102</v>
      </c>
      <c r="D1479" s="20"/>
      <c r="E1479" s="20"/>
      <c r="F1479" s="21" t="n">
        <f aca="false">'📋 Matches'!E39</f>
        <v>0</v>
      </c>
      <c r="G1479" s="21" t="n">
        <f aca="false">'📋 Matches'!F39</f>
        <v>0</v>
      </c>
      <c r="H1479" s="24" t="s">
        <v>148</v>
      </c>
      <c r="I1479" s="24" t="s">
        <v>148</v>
      </c>
      <c r="J1479" s="24" t="s">
        <v>148</v>
      </c>
      <c r="K1479" s="24" t="s">
        <v>148</v>
      </c>
      <c r="L1479" s="24" t="s">
        <v>148</v>
      </c>
    </row>
    <row r="1480" customFormat="false" ht="18" hidden="false" customHeight="true" outlineLevel="0" collapsed="false">
      <c r="A1480" s="17" t="s">
        <v>84</v>
      </c>
      <c r="B1480" s="31" t="s">
        <v>168</v>
      </c>
      <c r="C1480" s="19" t="s">
        <v>103</v>
      </c>
      <c r="D1480" s="20"/>
      <c r="E1480" s="20"/>
      <c r="F1480" s="21" t="n">
        <f aca="false">'📋 Matches'!E40</f>
        <v>0</v>
      </c>
      <c r="G1480" s="21" t="n">
        <f aca="false">'📋 Matches'!F40</f>
        <v>0</v>
      </c>
      <c r="H1480" s="24" t="s">
        <v>148</v>
      </c>
      <c r="I1480" s="24" t="s">
        <v>148</v>
      </c>
      <c r="J1480" s="24" t="s">
        <v>148</v>
      </c>
      <c r="K1480" s="24" t="s">
        <v>148</v>
      </c>
      <c r="L1480" s="24" t="s">
        <v>148</v>
      </c>
    </row>
    <row r="1481" customFormat="false" ht="18" hidden="false" customHeight="true" outlineLevel="0" collapsed="false">
      <c r="A1481" s="17" t="s">
        <v>84</v>
      </c>
      <c r="B1481" s="31" t="s">
        <v>168</v>
      </c>
      <c r="C1481" s="19" t="s">
        <v>104</v>
      </c>
      <c r="D1481" s="20"/>
      <c r="E1481" s="20"/>
      <c r="F1481" s="21" t="n">
        <f aca="false">'📋 Matches'!E41</f>
        <v>0</v>
      </c>
      <c r="G1481" s="21" t="n">
        <f aca="false">'📋 Matches'!F41</f>
        <v>0</v>
      </c>
      <c r="H1481" s="24" t="s">
        <v>148</v>
      </c>
      <c r="I1481" s="24" t="s">
        <v>148</v>
      </c>
      <c r="J1481" s="24" t="s">
        <v>148</v>
      </c>
      <c r="K1481" s="24" t="s">
        <v>148</v>
      </c>
      <c r="L1481" s="24" t="s">
        <v>148</v>
      </c>
    </row>
    <row r="1482" customFormat="false" ht="18" hidden="false" customHeight="true" outlineLevel="0" collapsed="false">
      <c r="A1482" s="17" t="s">
        <v>84</v>
      </c>
      <c r="B1482" s="31" t="s">
        <v>168</v>
      </c>
      <c r="C1482" s="19" t="s">
        <v>105</v>
      </c>
      <c r="D1482" s="20"/>
      <c r="E1482" s="20"/>
      <c r="F1482" s="21" t="n">
        <f aca="false">'📋 Matches'!E42</f>
        <v>0</v>
      </c>
      <c r="G1482" s="21" t="n">
        <f aca="false">'📋 Matches'!F42</f>
        <v>0</v>
      </c>
      <c r="H1482" s="24" t="s">
        <v>148</v>
      </c>
      <c r="I1482" s="24" t="s">
        <v>148</v>
      </c>
      <c r="J1482" s="24" t="s">
        <v>148</v>
      </c>
      <c r="K1482" s="24" t="s">
        <v>148</v>
      </c>
      <c r="L1482" s="24" t="s">
        <v>148</v>
      </c>
    </row>
    <row r="1483" customFormat="false" ht="18" hidden="false" customHeight="true" outlineLevel="0" collapsed="false">
      <c r="A1483" s="17" t="s">
        <v>84</v>
      </c>
      <c r="B1483" s="31" t="s">
        <v>168</v>
      </c>
      <c r="C1483" s="19" t="s">
        <v>106</v>
      </c>
      <c r="D1483" s="20"/>
      <c r="E1483" s="20"/>
      <c r="F1483" s="21" t="n">
        <f aca="false">'📋 Matches'!E43</f>
        <v>0</v>
      </c>
      <c r="G1483" s="21" t="n">
        <f aca="false">'📋 Matches'!F43</f>
        <v>0</v>
      </c>
      <c r="H1483" s="24" t="s">
        <v>148</v>
      </c>
      <c r="I1483" s="24" t="s">
        <v>148</v>
      </c>
      <c r="J1483" s="24" t="s">
        <v>148</v>
      </c>
      <c r="K1483" s="24" t="s">
        <v>148</v>
      </c>
      <c r="L1483" s="24" t="s">
        <v>148</v>
      </c>
    </row>
    <row r="1484" customFormat="false" ht="18" hidden="false" customHeight="true" outlineLevel="0" collapsed="false">
      <c r="A1484" s="17" t="s">
        <v>84</v>
      </c>
      <c r="B1484" s="31" t="s">
        <v>168</v>
      </c>
      <c r="C1484" s="19" t="s">
        <v>107</v>
      </c>
      <c r="D1484" s="20"/>
      <c r="E1484" s="20"/>
      <c r="F1484" s="21" t="n">
        <f aca="false">'📋 Matches'!E44</f>
        <v>0</v>
      </c>
      <c r="G1484" s="21" t="n">
        <f aca="false">'📋 Matches'!F44</f>
        <v>0</v>
      </c>
      <c r="H1484" s="24" t="s">
        <v>148</v>
      </c>
      <c r="I1484" s="24" t="s">
        <v>148</v>
      </c>
      <c r="J1484" s="24" t="s">
        <v>148</v>
      </c>
      <c r="K1484" s="24" t="s">
        <v>148</v>
      </c>
      <c r="L1484" s="24" t="s">
        <v>148</v>
      </c>
    </row>
    <row r="1485" customFormat="false" ht="18" hidden="false" customHeight="true" outlineLevel="0" collapsed="false">
      <c r="A1485" s="17" t="s">
        <v>84</v>
      </c>
      <c r="B1485" s="31" t="s">
        <v>168</v>
      </c>
      <c r="C1485" s="19" t="s">
        <v>108</v>
      </c>
      <c r="D1485" s="20"/>
      <c r="E1485" s="20"/>
      <c r="F1485" s="21" t="n">
        <f aca="false">'📋 Matches'!E45</f>
        <v>0</v>
      </c>
      <c r="G1485" s="21" t="n">
        <f aca="false">'📋 Matches'!F45</f>
        <v>0</v>
      </c>
      <c r="H1485" s="24" t="s">
        <v>148</v>
      </c>
      <c r="I1485" s="24" t="s">
        <v>148</v>
      </c>
      <c r="J1485" s="24" t="s">
        <v>148</v>
      </c>
      <c r="K1485" s="24" t="s">
        <v>148</v>
      </c>
      <c r="L1485" s="24" t="s">
        <v>148</v>
      </c>
    </row>
    <row r="1486" customFormat="false" ht="18" hidden="false" customHeight="true" outlineLevel="0" collapsed="false">
      <c r="A1486" s="17" t="s">
        <v>84</v>
      </c>
      <c r="B1486" s="31" t="s">
        <v>168</v>
      </c>
      <c r="C1486" s="19" t="s">
        <v>109</v>
      </c>
      <c r="D1486" s="20"/>
      <c r="E1486" s="20"/>
      <c r="F1486" s="21" t="n">
        <f aca="false">'📋 Matches'!E46</f>
        <v>0</v>
      </c>
      <c r="G1486" s="21" t="n">
        <f aca="false">'📋 Matches'!F46</f>
        <v>0</v>
      </c>
      <c r="H1486" s="24" t="s">
        <v>148</v>
      </c>
      <c r="I1486" s="24" t="s">
        <v>148</v>
      </c>
      <c r="J1486" s="24" t="s">
        <v>148</v>
      </c>
      <c r="K1486" s="24" t="s">
        <v>148</v>
      </c>
      <c r="L1486" s="24" t="s">
        <v>148</v>
      </c>
    </row>
    <row r="1487" customFormat="false" ht="18" hidden="false" customHeight="true" outlineLevel="0" collapsed="false">
      <c r="A1487" s="17" t="s">
        <v>84</v>
      </c>
      <c r="B1487" s="31" t="s">
        <v>168</v>
      </c>
      <c r="C1487" s="19" t="s">
        <v>110</v>
      </c>
      <c r="D1487" s="20"/>
      <c r="E1487" s="20"/>
      <c r="F1487" s="21" t="n">
        <f aca="false">'📋 Matches'!E47</f>
        <v>0</v>
      </c>
      <c r="G1487" s="21" t="n">
        <f aca="false">'📋 Matches'!F47</f>
        <v>0</v>
      </c>
      <c r="H1487" s="24" t="s">
        <v>148</v>
      </c>
      <c r="I1487" s="24" t="s">
        <v>148</v>
      </c>
      <c r="J1487" s="24" t="s">
        <v>148</v>
      </c>
      <c r="K1487" s="24" t="s">
        <v>148</v>
      </c>
      <c r="L1487" s="24" t="s">
        <v>148</v>
      </c>
    </row>
    <row r="1488" customFormat="false" ht="18" hidden="false" customHeight="true" outlineLevel="0" collapsed="false">
      <c r="A1488" s="17" t="s">
        <v>84</v>
      </c>
      <c r="B1488" s="31" t="s">
        <v>168</v>
      </c>
      <c r="C1488" s="19" t="s">
        <v>111</v>
      </c>
      <c r="D1488" s="20"/>
      <c r="E1488" s="20"/>
      <c r="F1488" s="21" t="n">
        <f aca="false">'📋 Matches'!E48</f>
        <v>0</v>
      </c>
      <c r="G1488" s="21" t="n">
        <f aca="false">'📋 Matches'!F48</f>
        <v>0</v>
      </c>
      <c r="H1488" s="24" t="s">
        <v>148</v>
      </c>
      <c r="I1488" s="24" t="s">
        <v>148</v>
      </c>
      <c r="J1488" s="24" t="s">
        <v>148</v>
      </c>
      <c r="K1488" s="24" t="s">
        <v>148</v>
      </c>
      <c r="L1488" s="24" t="s">
        <v>148</v>
      </c>
    </row>
    <row r="1489" customFormat="false" ht="18" hidden="false" customHeight="true" outlineLevel="0" collapsed="false">
      <c r="A1489" s="17" t="s">
        <v>84</v>
      </c>
      <c r="B1489" s="31" t="s">
        <v>168</v>
      </c>
      <c r="C1489" s="19" t="s">
        <v>112</v>
      </c>
      <c r="D1489" s="20"/>
      <c r="E1489" s="20"/>
      <c r="F1489" s="21" t="n">
        <f aca="false">'📋 Matches'!E49</f>
        <v>0</v>
      </c>
      <c r="G1489" s="21" t="n">
        <f aca="false">'📋 Matches'!F49</f>
        <v>0</v>
      </c>
      <c r="H1489" s="24" t="s">
        <v>148</v>
      </c>
      <c r="I1489" s="24" t="s">
        <v>148</v>
      </c>
      <c r="J1489" s="24" t="s">
        <v>148</v>
      </c>
      <c r="K1489" s="24" t="s">
        <v>148</v>
      </c>
      <c r="L1489" s="24" t="s">
        <v>148</v>
      </c>
    </row>
    <row r="1490" customFormat="false" ht="18" hidden="false" customHeight="true" outlineLevel="0" collapsed="false">
      <c r="A1490" s="17" t="s">
        <v>114</v>
      </c>
      <c r="B1490" s="31" t="s">
        <v>168</v>
      </c>
      <c r="C1490" s="19" t="s">
        <v>115</v>
      </c>
      <c r="D1490" s="20"/>
      <c r="E1490" s="20"/>
      <c r="F1490" s="21" t="n">
        <f aca="false">'📋 Matches'!E50</f>
        <v>0</v>
      </c>
      <c r="G1490" s="21" t="n">
        <f aca="false">'📋 Matches'!F50</f>
        <v>0</v>
      </c>
      <c r="H1490" s="24" t="s">
        <v>148</v>
      </c>
      <c r="I1490" s="24" t="s">
        <v>148</v>
      </c>
      <c r="J1490" s="24" t="s">
        <v>148</v>
      </c>
      <c r="K1490" s="24" t="s">
        <v>148</v>
      </c>
      <c r="L1490" s="24" t="s">
        <v>148</v>
      </c>
    </row>
    <row r="1491" customFormat="false" ht="18" hidden="false" customHeight="true" outlineLevel="0" collapsed="false">
      <c r="A1491" s="17" t="s">
        <v>114</v>
      </c>
      <c r="B1491" s="31" t="s">
        <v>168</v>
      </c>
      <c r="C1491" s="19" t="s">
        <v>116</v>
      </c>
      <c r="D1491" s="20"/>
      <c r="E1491" s="20"/>
      <c r="F1491" s="21" t="n">
        <f aca="false">'📋 Matches'!E51</f>
        <v>0</v>
      </c>
      <c r="G1491" s="21" t="n">
        <f aca="false">'📋 Matches'!F51</f>
        <v>0</v>
      </c>
      <c r="H1491" s="24" t="s">
        <v>148</v>
      </c>
      <c r="I1491" s="24" t="s">
        <v>148</v>
      </c>
      <c r="J1491" s="24" t="s">
        <v>148</v>
      </c>
      <c r="K1491" s="24" t="s">
        <v>148</v>
      </c>
      <c r="L1491" s="24" t="s">
        <v>148</v>
      </c>
    </row>
    <row r="1492" customFormat="false" ht="18" hidden="false" customHeight="true" outlineLevel="0" collapsed="false">
      <c r="A1492" s="17" t="s">
        <v>114</v>
      </c>
      <c r="B1492" s="31" t="s">
        <v>168</v>
      </c>
      <c r="C1492" s="19" t="s">
        <v>117</v>
      </c>
      <c r="D1492" s="20"/>
      <c r="E1492" s="20"/>
      <c r="F1492" s="21" t="n">
        <f aca="false">'📋 Matches'!E52</f>
        <v>0</v>
      </c>
      <c r="G1492" s="21" t="n">
        <f aca="false">'📋 Matches'!F52</f>
        <v>0</v>
      </c>
      <c r="H1492" s="24" t="s">
        <v>148</v>
      </c>
      <c r="I1492" s="24" t="s">
        <v>148</v>
      </c>
      <c r="J1492" s="24" t="s">
        <v>148</v>
      </c>
      <c r="K1492" s="24" t="s">
        <v>148</v>
      </c>
      <c r="L1492" s="24" t="s">
        <v>148</v>
      </c>
    </row>
    <row r="1493" customFormat="false" ht="18" hidden="false" customHeight="true" outlineLevel="0" collapsed="false">
      <c r="A1493" s="17" t="s">
        <v>114</v>
      </c>
      <c r="B1493" s="31" t="s">
        <v>168</v>
      </c>
      <c r="C1493" s="19" t="s">
        <v>118</v>
      </c>
      <c r="D1493" s="20"/>
      <c r="E1493" s="20"/>
      <c r="F1493" s="21" t="n">
        <f aca="false">'📋 Matches'!E53</f>
        <v>0</v>
      </c>
      <c r="G1493" s="21" t="n">
        <f aca="false">'📋 Matches'!F53</f>
        <v>0</v>
      </c>
      <c r="H1493" s="24" t="s">
        <v>148</v>
      </c>
      <c r="I1493" s="24" t="s">
        <v>148</v>
      </c>
      <c r="J1493" s="24" t="s">
        <v>148</v>
      </c>
      <c r="K1493" s="24" t="s">
        <v>148</v>
      </c>
      <c r="L1493" s="24" t="s">
        <v>148</v>
      </c>
    </row>
    <row r="1494" customFormat="false" ht="18" hidden="false" customHeight="true" outlineLevel="0" collapsed="false">
      <c r="A1494" s="17" t="s">
        <v>114</v>
      </c>
      <c r="B1494" s="31" t="s">
        <v>168</v>
      </c>
      <c r="C1494" s="19" t="s">
        <v>119</v>
      </c>
      <c r="D1494" s="20"/>
      <c r="E1494" s="20"/>
      <c r="F1494" s="21" t="n">
        <f aca="false">'📋 Matches'!E54</f>
        <v>0</v>
      </c>
      <c r="G1494" s="21" t="n">
        <f aca="false">'📋 Matches'!F54</f>
        <v>0</v>
      </c>
      <c r="H1494" s="24" t="s">
        <v>148</v>
      </c>
      <c r="I1494" s="24" t="s">
        <v>148</v>
      </c>
      <c r="J1494" s="24" t="s">
        <v>148</v>
      </c>
      <c r="K1494" s="24" t="s">
        <v>148</v>
      </c>
      <c r="L1494" s="24" t="s">
        <v>148</v>
      </c>
    </row>
    <row r="1495" customFormat="false" ht="18" hidden="false" customHeight="true" outlineLevel="0" collapsed="false">
      <c r="A1495" s="17" t="s">
        <v>114</v>
      </c>
      <c r="B1495" s="31" t="s">
        <v>168</v>
      </c>
      <c r="C1495" s="19" t="s">
        <v>120</v>
      </c>
      <c r="D1495" s="20"/>
      <c r="E1495" s="20"/>
      <c r="F1495" s="21" t="n">
        <f aca="false">'📋 Matches'!E55</f>
        <v>0</v>
      </c>
      <c r="G1495" s="21" t="n">
        <f aca="false">'📋 Matches'!F55</f>
        <v>0</v>
      </c>
      <c r="H1495" s="24" t="s">
        <v>148</v>
      </c>
      <c r="I1495" s="24" t="s">
        <v>148</v>
      </c>
      <c r="J1495" s="24" t="s">
        <v>148</v>
      </c>
      <c r="K1495" s="24" t="s">
        <v>148</v>
      </c>
      <c r="L1495" s="24" t="s">
        <v>148</v>
      </c>
    </row>
    <row r="1496" customFormat="false" ht="18" hidden="false" customHeight="true" outlineLevel="0" collapsed="false">
      <c r="A1496" s="17" t="s">
        <v>114</v>
      </c>
      <c r="B1496" s="31" t="s">
        <v>168</v>
      </c>
      <c r="C1496" s="19" t="s">
        <v>121</v>
      </c>
      <c r="D1496" s="20"/>
      <c r="E1496" s="20"/>
      <c r="F1496" s="21" t="n">
        <f aca="false">'📋 Matches'!E56</f>
        <v>0</v>
      </c>
      <c r="G1496" s="21" t="n">
        <f aca="false">'📋 Matches'!F56</f>
        <v>0</v>
      </c>
      <c r="H1496" s="24" t="s">
        <v>148</v>
      </c>
      <c r="I1496" s="24" t="s">
        <v>148</v>
      </c>
      <c r="J1496" s="24" t="s">
        <v>148</v>
      </c>
      <c r="K1496" s="24" t="s">
        <v>148</v>
      </c>
      <c r="L1496" s="24" t="s">
        <v>148</v>
      </c>
    </row>
    <row r="1497" customFormat="false" ht="18" hidden="false" customHeight="true" outlineLevel="0" collapsed="false">
      <c r="A1497" s="17" t="s">
        <v>114</v>
      </c>
      <c r="B1497" s="31" t="s">
        <v>168</v>
      </c>
      <c r="C1497" s="19" t="s">
        <v>122</v>
      </c>
      <c r="D1497" s="20"/>
      <c r="E1497" s="20"/>
      <c r="F1497" s="21" t="n">
        <f aca="false">'📋 Matches'!E57</f>
        <v>0</v>
      </c>
      <c r="G1497" s="21" t="n">
        <f aca="false">'📋 Matches'!F57</f>
        <v>0</v>
      </c>
      <c r="H1497" s="24" t="s">
        <v>148</v>
      </c>
      <c r="I1497" s="24" t="s">
        <v>148</v>
      </c>
      <c r="J1497" s="24" t="s">
        <v>148</v>
      </c>
      <c r="K1497" s="24" t="s">
        <v>148</v>
      </c>
      <c r="L1497" s="24" t="s">
        <v>148</v>
      </c>
    </row>
    <row r="1498" customFormat="false" ht="18" hidden="false" customHeight="true" outlineLevel="0" collapsed="false">
      <c r="A1498" s="17" t="s">
        <v>114</v>
      </c>
      <c r="B1498" s="31" t="s">
        <v>168</v>
      </c>
      <c r="C1498" s="19" t="s">
        <v>123</v>
      </c>
      <c r="D1498" s="20"/>
      <c r="E1498" s="20"/>
      <c r="F1498" s="21" t="n">
        <f aca="false">'📋 Matches'!E58</f>
        <v>0</v>
      </c>
      <c r="G1498" s="21" t="n">
        <f aca="false">'📋 Matches'!F58</f>
        <v>0</v>
      </c>
      <c r="H1498" s="24" t="s">
        <v>148</v>
      </c>
      <c r="I1498" s="24" t="s">
        <v>148</v>
      </c>
      <c r="J1498" s="24" t="s">
        <v>148</v>
      </c>
      <c r="K1498" s="24" t="s">
        <v>148</v>
      </c>
      <c r="L1498" s="24" t="s">
        <v>148</v>
      </c>
    </row>
    <row r="1499" customFormat="false" ht="18" hidden="false" customHeight="true" outlineLevel="0" collapsed="false">
      <c r="A1499" s="17" t="s">
        <v>114</v>
      </c>
      <c r="B1499" s="31" t="s">
        <v>168</v>
      </c>
      <c r="C1499" s="19" t="s">
        <v>124</v>
      </c>
      <c r="D1499" s="20"/>
      <c r="E1499" s="20"/>
      <c r="F1499" s="21" t="n">
        <f aca="false">'📋 Matches'!E59</f>
        <v>0</v>
      </c>
      <c r="G1499" s="21" t="n">
        <f aca="false">'📋 Matches'!F59</f>
        <v>0</v>
      </c>
      <c r="H1499" s="24" t="s">
        <v>148</v>
      </c>
      <c r="I1499" s="24" t="s">
        <v>148</v>
      </c>
      <c r="J1499" s="24" t="s">
        <v>148</v>
      </c>
      <c r="K1499" s="24" t="s">
        <v>148</v>
      </c>
      <c r="L1499" s="24" t="s">
        <v>148</v>
      </c>
    </row>
    <row r="1500" customFormat="false" ht="18" hidden="false" customHeight="true" outlineLevel="0" collapsed="false">
      <c r="A1500" s="17" t="s">
        <v>114</v>
      </c>
      <c r="B1500" s="31" t="s">
        <v>168</v>
      </c>
      <c r="C1500" s="19" t="s">
        <v>125</v>
      </c>
      <c r="D1500" s="20"/>
      <c r="E1500" s="20"/>
      <c r="F1500" s="21" t="n">
        <f aca="false">'📋 Matches'!E60</f>
        <v>0</v>
      </c>
      <c r="G1500" s="21" t="n">
        <f aca="false">'📋 Matches'!F60</f>
        <v>0</v>
      </c>
      <c r="H1500" s="24" t="s">
        <v>148</v>
      </c>
      <c r="I1500" s="24" t="s">
        <v>148</v>
      </c>
      <c r="J1500" s="24" t="s">
        <v>148</v>
      </c>
      <c r="K1500" s="24" t="s">
        <v>148</v>
      </c>
      <c r="L1500" s="24" t="s">
        <v>148</v>
      </c>
    </row>
    <row r="1501" customFormat="false" ht="18" hidden="false" customHeight="true" outlineLevel="0" collapsed="false">
      <c r="A1501" s="17" t="s">
        <v>114</v>
      </c>
      <c r="B1501" s="31" t="s">
        <v>168</v>
      </c>
      <c r="C1501" s="19" t="s">
        <v>126</v>
      </c>
      <c r="D1501" s="20"/>
      <c r="E1501" s="20"/>
      <c r="F1501" s="21" t="n">
        <f aca="false">'📋 Matches'!E61</f>
        <v>0</v>
      </c>
      <c r="G1501" s="21" t="n">
        <f aca="false">'📋 Matches'!F61</f>
        <v>0</v>
      </c>
      <c r="H1501" s="24" t="s">
        <v>148</v>
      </c>
      <c r="I1501" s="24" t="s">
        <v>148</v>
      </c>
      <c r="J1501" s="24" t="s">
        <v>148</v>
      </c>
      <c r="K1501" s="24" t="s">
        <v>148</v>
      </c>
      <c r="L1501" s="24" t="s">
        <v>148</v>
      </c>
    </row>
    <row r="1502" customFormat="false" ht="18" hidden="false" customHeight="true" outlineLevel="0" collapsed="false">
      <c r="A1502" s="17" t="s">
        <v>114</v>
      </c>
      <c r="B1502" s="31" t="s">
        <v>168</v>
      </c>
      <c r="C1502" s="19" t="s">
        <v>127</v>
      </c>
      <c r="D1502" s="20"/>
      <c r="E1502" s="20"/>
      <c r="F1502" s="21" t="n">
        <f aca="false">'📋 Matches'!E62</f>
        <v>0</v>
      </c>
      <c r="G1502" s="21" t="n">
        <f aca="false">'📋 Matches'!F62</f>
        <v>0</v>
      </c>
      <c r="H1502" s="24" t="s">
        <v>148</v>
      </c>
      <c r="I1502" s="24" t="s">
        <v>148</v>
      </c>
      <c r="J1502" s="24" t="s">
        <v>148</v>
      </c>
      <c r="K1502" s="24" t="s">
        <v>148</v>
      </c>
      <c r="L1502" s="24" t="s">
        <v>148</v>
      </c>
    </row>
    <row r="1503" customFormat="false" ht="18" hidden="false" customHeight="true" outlineLevel="0" collapsed="false">
      <c r="A1503" s="17" t="s">
        <v>114</v>
      </c>
      <c r="B1503" s="31" t="s">
        <v>168</v>
      </c>
      <c r="C1503" s="19" t="s">
        <v>128</v>
      </c>
      <c r="D1503" s="20"/>
      <c r="E1503" s="20"/>
      <c r="F1503" s="21" t="n">
        <f aca="false">'📋 Matches'!E63</f>
        <v>0</v>
      </c>
      <c r="G1503" s="21" t="n">
        <f aca="false">'📋 Matches'!F63</f>
        <v>0</v>
      </c>
      <c r="H1503" s="24" t="s">
        <v>148</v>
      </c>
      <c r="I1503" s="24" t="s">
        <v>148</v>
      </c>
      <c r="J1503" s="24" t="s">
        <v>148</v>
      </c>
      <c r="K1503" s="24" t="s">
        <v>148</v>
      </c>
      <c r="L1503" s="24" t="s">
        <v>148</v>
      </c>
    </row>
    <row r="1504" customFormat="false" ht="18" hidden="false" customHeight="true" outlineLevel="0" collapsed="false">
      <c r="A1504" s="17" t="s">
        <v>114</v>
      </c>
      <c r="B1504" s="31" t="s">
        <v>168</v>
      </c>
      <c r="C1504" s="19" t="s">
        <v>129</v>
      </c>
      <c r="D1504" s="20"/>
      <c r="E1504" s="20"/>
      <c r="F1504" s="21" t="n">
        <f aca="false">'📋 Matches'!E64</f>
        <v>0</v>
      </c>
      <c r="G1504" s="21" t="n">
        <f aca="false">'📋 Matches'!F64</f>
        <v>0</v>
      </c>
      <c r="H1504" s="24" t="s">
        <v>148</v>
      </c>
      <c r="I1504" s="24" t="s">
        <v>148</v>
      </c>
      <c r="J1504" s="24" t="s">
        <v>148</v>
      </c>
      <c r="K1504" s="24" t="s">
        <v>148</v>
      </c>
      <c r="L1504" s="24" t="s">
        <v>148</v>
      </c>
    </row>
    <row r="1505" customFormat="false" ht="18" hidden="false" customHeight="true" outlineLevel="0" collapsed="false">
      <c r="A1505" s="17" t="s">
        <v>114</v>
      </c>
      <c r="B1505" s="31" t="s">
        <v>168</v>
      </c>
      <c r="C1505" s="19" t="s">
        <v>130</v>
      </c>
      <c r="D1505" s="20"/>
      <c r="E1505" s="20"/>
      <c r="F1505" s="21" t="n">
        <f aca="false">'📋 Matches'!E65</f>
        <v>0</v>
      </c>
      <c r="G1505" s="21" t="n">
        <f aca="false">'📋 Matches'!F65</f>
        <v>0</v>
      </c>
      <c r="H1505" s="24" t="s">
        <v>148</v>
      </c>
      <c r="I1505" s="24" t="s">
        <v>148</v>
      </c>
      <c r="J1505" s="24" t="s">
        <v>148</v>
      </c>
      <c r="K1505" s="24" t="s">
        <v>148</v>
      </c>
      <c r="L1505" s="24" t="s">
        <v>148</v>
      </c>
    </row>
    <row r="1506" customFormat="false" ht="18" hidden="false" customHeight="true" outlineLevel="0" collapsed="false">
      <c r="A1506" s="17" t="s">
        <v>114</v>
      </c>
      <c r="B1506" s="31" t="s">
        <v>168</v>
      </c>
      <c r="C1506" s="19" t="s">
        <v>131</v>
      </c>
      <c r="D1506" s="20"/>
      <c r="E1506" s="20"/>
      <c r="F1506" s="21" t="n">
        <f aca="false">'📋 Matches'!E66</f>
        <v>0</v>
      </c>
      <c r="G1506" s="21" t="n">
        <f aca="false">'📋 Matches'!F66</f>
        <v>0</v>
      </c>
      <c r="H1506" s="24" t="s">
        <v>148</v>
      </c>
      <c r="I1506" s="24" t="s">
        <v>148</v>
      </c>
      <c r="J1506" s="24" t="s">
        <v>148</v>
      </c>
      <c r="K1506" s="24" t="s">
        <v>148</v>
      </c>
      <c r="L1506" s="24" t="s">
        <v>148</v>
      </c>
    </row>
    <row r="1507" customFormat="false" ht="18" hidden="false" customHeight="true" outlineLevel="0" collapsed="false">
      <c r="A1507" s="17" t="s">
        <v>114</v>
      </c>
      <c r="B1507" s="31" t="s">
        <v>168</v>
      </c>
      <c r="C1507" s="19" t="s">
        <v>132</v>
      </c>
      <c r="D1507" s="20"/>
      <c r="E1507" s="20"/>
      <c r="F1507" s="21" t="n">
        <f aca="false">'📋 Matches'!E67</f>
        <v>0</v>
      </c>
      <c r="G1507" s="21" t="n">
        <f aca="false">'📋 Matches'!F67</f>
        <v>0</v>
      </c>
      <c r="H1507" s="24" t="s">
        <v>148</v>
      </c>
      <c r="I1507" s="24" t="s">
        <v>148</v>
      </c>
      <c r="J1507" s="24" t="s">
        <v>148</v>
      </c>
      <c r="K1507" s="24" t="s">
        <v>148</v>
      </c>
      <c r="L1507" s="24" t="s">
        <v>148</v>
      </c>
    </row>
    <row r="1508" customFormat="false" ht="18" hidden="false" customHeight="true" outlineLevel="0" collapsed="false">
      <c r="A1508" s="17" t="s">
        <v>114</v>
      </c>
      <c r="B1508" s="31" t="s">
        <v>168</v>
      </c>
      <c r="C1508" s="19" t="s">
        <v>133</v>
      </c>
      <c r="D1508" s="20"/>
      <c r="E1508" s="20"/>
      <c r="F1508" s="21" t="n">
        <f aca="false">'📋 Matches'!E68</f>
        <v>0</v>
      </c>
      <c r="G1508" s="21" t="n">
        <f aca="false">'📋 Matches'!F68</f>
        <v>0</v>
      </c>
      <c r="H1508" s="24" t="s">
        <v>148</v>
      </c>
      <c r="I1508" s="24" t="s">
        <v>148</v>
      </c>
      <c r="J1508" s="24" t="s">
        <v>148</v>
      </c>
      <c r="K1508" s="24" t="s">
        <v>148</v>
      </c>
      <c r="L1508" s="24" t="s">
        <v>148</v>
      </c>
    </row>
    <row r="1509" customFormat="false" ht="18" hidden="false" customHeight="true" outlineLevel="0" collapsed="false">
      <c r="A1509" s="17" t="s">
        <v>114</v>
      </c>
      <c r="B1509" s="31" t="s">
        <v>168</v>
      </c>
      <c r="C1509" s="19" t="s">
        <v>134</v>
      </c>
      <c r="D1509" s="20"/>
      <c r="E1509" s="20"/>
      <c r="F1509" s="21" t="n">
        <f aca="false">'📋 Matches'!E69</f>
        <v>0</v>
      </c>
      <c r="G1509" s="21" t="n">
        <f aca="false">'📋 Matches'!F69</f>
        <v>0</v>
      </c>
      <c r="H1509" s="24" t="s">
        <v>148</v>
      </c>
      <c r="I1509" s="24" t="s">
        <v>148</v>
      </c>
      <c r="J1509" s="24" t="s">
        <v>148</v>
      </c>
      <c r="K1509" s="24" t="s">
        <v>148</v>
      </c>
      <c r="L1509" s="24" t="s">
        <v>148</v>
      </c>
    </row>
    <row r="1510" customFormat="false" ht="18" hidden="false" customHeight="true" outlineLevel="0" collapsed="false">
      <c r="A1510" s="17" t="s">
        <v>114</v>
      </c>
      <c r="B1510" s="31" t="s">
        <v>168</v>
      </c>
      <c r="C1510" s="19" t="s">
        <v>135</v>
      </c>
      <c r="D1510" s="20"/>
      <c r="E1510" s="20"/>
      <c r="F1510" s="21" t="n">
        <f aca="false">'📋 Matches'!E70</f>
        <v>0</v>
      </c>
      <c r="G1510" s="21" t="n">
        <f aca="false">'📋 Matches'!F70</f>
        <v>0</v>
      </c>
      <c r="H1510" s="24" t="s">
        <v>148</v>
      </c>
      <c r="I1510" s="24" t="s">
        <v>148</v>
      </c>
      <c r="J1510" s="24" t="s">
        <v>148</v>
      </c>
      <c r="K1510" s="24" t="s">
        <v>148</v>
      </c>
      <c r="L1510" s="24" t="s">
        <v>148</v>
      </c>
    </row>
    <row r="1511" customFormat="false" ht="18" hidden="false" customHeight="true" outlineLevel="0" collapsed="false">
      <c r="A1511" s="17" t="s">
        <v>114</v>
      </c>
      <c r="B1511" s="31" t="s">
        <v>168</v>
      </c>
      <c r="C1511" s="19" t="s">
        <v>136</v>
      </c>
      <c r="D1511" s="20"/>
      <c r="E1511" s="20"/>
      <c r="F1511" s="21" t="n">
        <f aca="false">'📋 Matches'!E71</f>
        <v>0</v>
      </c>
      <c r="G1511" s="21" t="n">
        <f aca="false">'📋 Matches'!F71</f>
        <v>0</v>
      </c>
      <c r="H1511" s="24" t="s">
        <v>148</v>
      </c>
      <c r="I1511" s="24" t="s">
        <v>148</v>
      </c>
      <c r="J1511" s="24" t="s">
        <v>148</v>
      </c>
      <c r="K1511" s="24" t="s">
        <v>148</v>
      </c>
      <c r="L1511" s="24" t="s">
        <v>148</v>
      </c>
    </row>
    <row r="1512" customFormat="false" ht="18" hidden="false" customHeight="true" outlineLevel="0" collapsed="false">
      <c r="A1512" s="17" t="s">
        <v>114</v>
      </c>
      <c r="B1512" s="31" t="s">
        <v>168</v>
      </c>
      <c r="C1512" s="19" t="s">
        <v>137</v>
      </c>
      <c r="D1512" s="20"/>
      <c r="E1512" s="20"/>
      <c r="F1512" s="21" t="n">
        <f aca="false">'📋 Matches'!E72</f>
        <v>0</v>
      </c>
      <c r="G1512" s="21" t="n">
        <f aca="false">'📋 Matches'!F72</f>
        <v>0</v>
      </c>
      <c r="H1512" s="24" t="s">
        <v>148</v>
      </c>
      <c r="I1512" s="24" t="s">
        <v>148</v>
      </c>
      <c r="J1512" s="24" t="s">
        <v>148</v>
      </c>
      <c r="K1512" s="24" t="s">
        <v>148</v>
      </c>
      <c r="L1512" s="24" t="s">
        <v>148</v>
      </c>
    </row>
    <row r="1513" customFormat="false" ht="18" hidden="false" customHeight="true" outlineLevel="0" collapsed="false">
      <c r="A1513" s="17" t="s">
        <v>114</v>
      </c>
      <c r="B1513" s="31" t="s">
        <v>168</v>
      </c>
      <c r="C1513" s="19" t="s">
        <v>138</v>
      </c>
      <c r="D1513" s="20"/>
      <c r="E1513" s="20"/>
      <c r="F1513" s="21" t="n">
        <f aca="false">'📋 Matches'!E73</f>
        <v>0</v>
      </c>
      <c r="G1513" s="21" t="n">
        <f aca="false">'📋 Matches'!F73</f>
        <v>0</v>
      </c>
      <c r="H1513" s="24" t="s">
        <v>148</v>
      </c>
      <c r="I1513" s="24" t="s">
        <v>148</v>
      </c>
      <c r="J1513" s="24" t="s">
        <v>148</v>
      </c>
      <c r="K1513" s="24" t="s">
        <v>148</v>
      </c>
      <c r="L1513" s="24" t="s">
        <v>148</v>
      </c>
    </row>
    <row r="1514" customFormat="false" ht="18" hidden="false" customHeight="true" outlineLevel="0" collapsed="false">
      <c r="A1514" s="25" t="s">
        <v>9</v>
      </c>
      <c r="B1514" s="26" t="s">
        <v>169</v>
      </c>
      <c r="C1514" s="27" t="s">
        <v>10</v>
      </c>
      <c r="D1514" s="28" t="n">
        <v>3</v>
      </c>
      <c r="E1514" s="28" t="n">
        <v>1</v>
      </c>
      <c r="F1514" s="29" t="n">
        <f aca="false">'📋 Matches'!E2</f>
        <v>2</v>
      </c>
      <c r="G1514" s="29" t="n">
        <f aca="false">'📋 Matches'!F2</f>
        <v>0</v>
      </c>
      <c r="H1514" s="22" t="n">
        <f aca="false">IF(AND(ISNUMBER(F1514),ISNUMBER(G1514)),IF(SIGN(D1514-E1514)=SIGN(F1514-G1514),48,0),"")</f>
        <v>48</v>
      </c>
      <c r="I1514" s="22" t="n">
        <f aca="false">IF(AND(ISNUMBER(F1514),ISNUMBER(G1514)),IF(D1514=F1514,15,0),"")</f>
        <v>0</v>
      </c>
      <c r="J1514" s="22" t="n">
        <f aca="false">IF(AND(ISNUMBER(F1514),ISNUMBER(G1514)),IF(E1514=G1514,15,0),"")</f>
        <v>0</v>
      </c>
      <c r="K1514" s="22" t="n">
        <f aca="false">IF(AND(ISNUMBER(F1514),ISNUMBER(G1514)),IF(ABS(D1514-E1514)=ABS(F1514-G1514),12,0),"")</f>
        <v>12</v>
      </c>
      <c r="L1514" s="23" t="n">
        <f aca="false">IF(ISNUMBER(H1514),H1514+I1514+J1514+K1514,"")</f>
        <v>60</v>
      </c>
    </row>
    <row r="1515" customFormat="false" ht="18" hidden="false" customHeight="true" outlineLevel="0" collapsed="false">
      <c r="A1515" s="25" t="s">
        <v>9</v>
      </c>
      <c r="B1515" s="26" t="s">
        <v>169</v>
      </c>
      <c r="C1515" s="27" t="s">
        <v>14</v>
      </c>
      <c r="D1515" s="28" t="n">
        <v>1</v>
      </c>
      <c r="E1515" s="28" t="n">
        <v>1</v>
      </c>
      <c r="F1515" s="29" t="n">
        <f aca="false">'📋 Matches'!E3</f>
        <v>2</v>
      </c>
      <c r="G1515" s="29" t="n">
        <f aca="false">'📋 Matches'!F3</f>
        <v>1</v>
      </c>
      <c r="H1515" s="22" t="n">
        <f aca="false">IF(AND(ISNUMBER(F1515),ISNUMBER(G1515)),IF(SIGN(D1515-E1515)=SIGN(F1515-G1515),48,0),"")</f>
        <v>0</v>
      </c>
      <c r="I1515" s="22" t="n">
        <f aca="false">IF(AND(ISNUMBER(F1515),ISNUMBER(G1515)),IF(D1515=F1515,15,0),"")</f>
        <v>0</v>
      </c>
      <c r="J1515" s="22" t="n">
        <f aca="false">IF(AND(ISNUMBER(F1515),ISNUMBER(G1515)),IF(E1515=G1515,15,0),"")</f>
        <v>15</v>
      </c>
      <c r="K1515" s="22" t="n">
        <f aca="false">IF(AND(ISNUMBER(F1515),ISNUMBER(G1515)),IF(ABS(D1515-E1515)=ABS(F1515-G1515),12,0),"")</f>
        <v>0</v>
      </c>
      <c r="L1515" s="23" t="n">
        <f aca="false">IF(ISNUMBER(H1515),H1515+I1515+J1515+K1515,"")</f>
        <v>15</v>
      </c>
    </row>
    <row r="1516" customFormat="false" ht="18" hidden="false" customHeight="true" outlineLevel="0" collapsed="false">
      <c r="A1516" s="25" t="s">
        <v>9</v>
      </c>
      <c r="B1516" s="26" t="s">
        <v>169</v>
      </c>
      <c r="C1516" s="27" t="s">
        <v>17</v>
      </c>
      <c r="D1516" s="28" t="n">
        <v>1</v>
      </c>
      <c r="E1516" s="28" t="n">
        <v>2</v>
      </c>
      <c r="F1516" s="29" t="n">
        <f aca="false">'📋 Matches'!E4</f>
        <v>1</v>
      </c>
      <c r="G1516" s="29" t="n">
        <f aca="false">'📋 Matches'!F4</f>
        <v>1</v>
      </c>
      <c r="H1516" s="22" t="n">
        <f aca="false">IF(AND(ISNUMBER(F1516),ISNUMBER(G1516)),IF(SIGN(D1516-E1516)=SIGN(F1516-G1516),48,0),"")</f>
        <v>0</v>
      </c>
      <c r="I1516" s="22" t="n">
        <f aca="false">IF(AND(ISNUMBER(F1516),ISNUMBER(G1516)),IF(D1516=F1516,15,0),"")</f>
        <v>15</v>
      </c>
      <c r="J1516" s="22" t="n">
        <f aca="false">IF(AND(ISNUMBER(F1516),ISNUMBER(G1516)),IF(E1516=G1516,15,0),"")</f>
        <v>0</v>
      </c>
      <c r="K1516" s="22" t="n">
        <f aca="false">IF(AND(ISNUMBER(F1516),ISNUMBER(G1516)),IF(ABS(D1516-E1516)=ABS(F1516-G1516),12,0),"")</f>
        <v>0</v>
      </c>
      <c r="L1516" s="23" t="n">
        <f aca="false">IF(ISNUMBER(H1516),H1516+I1516+J1516+K1516,"")</f>
        <v>15</v>
      </c>
    </row>
    <row r="1517" customFormat="false" ht="18" hidden="false" customHeight="true" outlineLevel="0" collapsed="false">
      <c r="A1517" s="25" t="s">
        <v>9</v>
      </c>
      <c r="B1517" s="26" t="s">
        <v>169</v>
      </c>
      <c r="C1517" s="27" t="s">
        <v>20</v>
      </c>
      <c r="D1517" s="28" t="n">
        <v>2</v>
      </c>
      <c r="E1517" s="28" t="n">
        <v>1</v>
      </c>
      <c r="F1517" s="29" t="n">
        <f aca="false">'📋 Matches'!E5</f>
        <v>4</v>
      </c>
      <c r="G1517" s="29" t="n">
        <f aca="false">'📋 Matches'!F5</f>
        <v>1</v>
      </c>
      <c r="H1517" s="22" t="n">
        <f aca="false">IF(AND(ISNUMBER(F1517),ISNUMBER(G1517)),IF(SIGN(D1517-E1517)=SIGN(F1517-G1517),48,0),"")</f>
        <v>48</v>
      </c>
      <c r="I1517" s="22" t="n">
        <f aca="false">IF(AND(ISNUMBER(F1517),ISNUMBER(G1517)),IF(D1517=F1517,15,0),"")</f>
        <v>0</v>
      </c>
      <c r="J1517" s="22" t="n">
        <f aca="false">IF(AND(ISNUMBER(F1517),ISNUMBER(G1517)),IF(E1517=G1517,15,0),"")</f>
        <v>15</v>
      </c>
      <c r="K1517" s="22" t="n">
        <f aca="false">IF(AND(ISNUMBER(F1517),ISNUMBER(G1517)),IF(ABS(D1517-E1517)=ABS(F1517-G1517),12,0),"")</f>
        <v>0</v>
      </c>
      <c r="L1517" s="23" t="n">
        <f aca="false">IF(ISNUMBER(H1517),H1517+I1517+J1517+K1517,"")</f>
        <v>63</v>
      </c>
    </row>
    <row r="1518" customFormat="false" ht="18" hidden="false" customHeight="true" outlineLevel="0" collapsed="false">
      <c r="A1518" s="25" t="s">
        <v>9</v>
      </c>
      <c r="B1518" s="26" t="s">
        <v>169</v>
      </c>
      <c r="C1518" s="27" t="s">
        <v>23</v>
      </c>
      <c r="D1518" s="28" t="n">
        <v>1</v>
      </c>
      <c r="E1518" s="28" t="n">
        <v>4</v>
      </c>
      <c r="F1518" s="29" t="n">
        <f aca="false">'📋 Matches'!E6</f>
        <v>0</v>
      </c>
      <c r="G1518" s="29" t="n">
        <f aca="false">'📋 Matches'!F6</f>
        <v>0</v>
      </c>
      <c r="H1518" s="22" t="str">
        <f aca="false">IF(AND(ISNUMBER(F1518),ISNUMBER(G1518)),IF(SIGN(D1518-E1518)=SIGN(F1518-G1518),48,0),"")</f>
        <v/>
      </c>
      <c r="I1518" s="22" t="str">
        <f aca="false">IF(AND(ISNUMBER(F1518),ISNUMBER(G1518)),IF(D1518=F1518,15,0),"")</f>
        <v/>
      </c>
      <c r="J1518" s="22" t="str">
        <f aca="false">IF(AND(ISNUMBER(F1518),ISNUMBER(G1518)),IF(E1518=G1518,15,0),"")</f>
        <v/>
      </c>
      <c r="K1518" s="22" t="str">
        <f aca="false">IF(AND(ISNUMBER(F1518),ISNUMBER(G1518)),IF(ABS(D1518-E1518)=ABS(F1518-G1518),12,0),"")</f>
        <v/>
      </c>
      <c r="L1518" s="23" t="str">
        <f aca="false">IF(ISNUMBER(H1518),H1518+I1518+J1518+K1518,"")</f>
        <v/>
      </c>
    </row>
    <row r="1519" customFormat="false" ht="18" hidden="false" customHeight="true" outlineLevel="0" collapsed="false">
      <c r="A1519" s="25" t="s">
        <v>9</v>
      </c>
      <c r="B1519" s="26" t="s">
        <v>169</v>
      </c>
      <c r="C1519" s="27" t="s">
        <v>27</v>
      </c>
      <c r="D1519" s="28" t="n">
        <v>2</v>
      </c>
      <c r="E1519" s="28" t="n">
        <v>1</v>
      </c>
      <c r="F1519" s="29" t="n">
        <f aca="false">'📋 Matches'!E7</f>
        <v>0</v>
      </c>
      <c r="G1519" s="29" t="n">
        <f aca="false">'📋 Matches'!F7</f>
        <v>0</v>
      </c>
      <c r="H1519" s="22" t="str">
        <f aca="false">IF(AND(ISNUMBER(F1519),ISNUMBER(G1519)),IF(SIGN(D1519-E1519)=SIGN(F1519-G1519),48,0),"")</f>
        <v/>
      </c>
      <c r="I1519" s="22" t="str">
        <f aca="false">IF(AND(ISNUMBER(F1519),ISNUMBER(G1519)),IF(D1519=F1519,15,0),"")</f>
        <v/>
      </c>
      <c r="J1519" s="22" t="str">
        <f aca="false">IF(AND(ISNUMBER(F1519),ISNUMBER(G1519)),IF(E1519=G1519,15,0),"")</f>
        <v/>
      </c>
      <c r="K1519" s="22" t="str">
        <f aca="false">IF(AND(ISNUMBER(F1519),ISNUMBER(G1519)),IF(ABS(D1519-E1519)=ABS(F1519-G1519),12,0),"")</f>
        <v/>
      </c>
      <c r="L1519" s="23" t="str">
        <f aca="false">IF(ISNUMBER(H1519),H1519+I1519+J1519+K1519,"")</f>
        <v/>
      </c>
    </row>
    <row r="1520" customFormat="false" ht="18" hidden="false" customHeight="true" outlineLevel="0" collapsed="false">
      <c r="A1520" s="25" t="s">
        <v>9</v>
      </c>
      <c r="B1520" s="26" t="s">
        <v>169</v>
      </c>
      <c r="C1520" s="27" t="s">
        <v>30</v>
      </c>
      <c r="D1520" s="28" t="n">
        <v>0</v>
      </c>
      <c r="E1520" s="28" t="n">
        <v>3</v>
      </c>
      <c r="F1520" s="29" t="n">
        <f aca="false">'📋 Matches'!E8</f>
        <v>0</v>
      </c>
      <c r="G1520" s="29" t="n">
        <f aca="false">'📋 Matches'!F8</f>
        <v>0</v>
      </c>
      <c r="H1520" s="22" t="str">
        <f aca="false">IF(AND(ISNUMBER(F1520),ISNUMBER(G1520)),IF(SIGN(D1520-E1520)=SIGN(F1520-G1520),48,0),"")</f>
        <v/>
      </c>
      <c r="I1520" s="22" t="str">
        <f aca="false">IF(AND(ISNUMBER(F1520),ISNUMBER(G1520)),IF(D1520=F1520,15,0),"")</f>
        <v/>
      </c>
      <c r="J1520" s="22" t="str">
        <f aca="false">IF(AND(ISNUMBER(F1520),ISNUMBER(G1520)),IF(E1520=G1520,15,0),"")</f>
        <v/>
      </c>
      <c r="K1520" s="22" t="str">
        <f aca="false">IF(AND(ISNUMBER(F1520),ISNUMBER(G1520)),IF(ABS(D1520-E1520)=ABS(F1520-G1520),12,0),"")</f>
        <v/>
      </c>
      <c r="L1520" s="23" t="str">
        <f aca="false">IF(ISNUMBER(H1520),H1520+I1520+J1520+K1520,"")</f>
        <v/>
      </c>
    </row>
    <row r="1521" customFormat="false" ht="18" hidden="false" customHeight="true" outlineLevel="0" collapsed="false">
      <c r="A1521" s="25" t="s">
        <v>9</v>
      </c>
      <c r="B1521" s="26" t="s">
        <v>169</v>
      </c>
      <c r="C1521" s="27" t="s">
        <v>33</v>
      </c>
      <c r="D1521" s="28" t="n">
        <v>0</v>
      </c>
      <c r="E1521" s="28" t="n">
        <v>2</v>
      </c>
      <c r="F1521" s="29" t="n">
        <f aca="false">'📋 Matches'!E9</f>
        <v>0</v>
      </c>
      <c r="G1521" s="29" t="n">
        <f aca="false">'📋 Matches'!F9</f>
        <v>0</v>
      </c>
      <c r="H1521" s="22" t="str">
        <f aca="false">IF(AND(ISNUMBER(F1521),ISNUMBER(G1521)),IF(SIGN(D1521-E1521)=SIGN(F1521-G1521),48,0),"")</f>
        <v/>
      </c>
      <c r="I1521" s="22" t="str">
        <f aca="false">IF(AND(ISNUMBER(F1521),ISNUMBER(G1521)),IF(D1521=F1521,15,0),"")</f>
        <v/>
      </c>
      <c r="J1521" s="22" t="str">
        <f aca="false">IF(AND(ISNUMBER(F1521),ISNUMBER(G1521)),IF(E1521=G1521,15,0),"")</f>
        <v/>
      </c>
      <c r="K1521" s="22" t="str">
        <f aca="false">IF(AND(ISNUMBER(F1521),ISNUMBER(G1521)),IF(ABS(D1521-E1521)=ABS(F1521-G1521),12,0),"")</f>
        <v/>
      </c>
      <c r="L1521" s="23" t="str">
        <f aca="false">IF(ISNUMBER(H1521),H1521+I1521+J1521+K1521,"")</f>
        <v/>
      </c>
    </row>
    <row r="1522" customFormat="false" ht="18" hidden="false" customHeight="true" outlineLevel="0" collapsed="false">
      <c r="A1522" s="25" t="s">
        <v>9</v>
      </c>
      <c r="B1522" s="26" t="s">
        <v>169</v>
      </c>
      <c r="C1522" s="27" t="s">
        <v>36</v>
      </c>
      <c r="D1522" s="28" t="n">
        <v>5</v>
      </c>
      <c r="E1522" s="28" t="n">
        <v>0</v>
      </c>
      <c r="F1522" s="29" t="n">
        <f aca="false">'📋 Matches'!E10</f>
        <v>0</v>
      </c>
      <c r="G1522" s="29" t="n">
        <f aca="false">'📋 Matches'!F10</f>
        <v>0</v>
      </c>
      <c r="H1522" s="22" t="str">
        <f aca="false">IF(AND(ISNUMBER(F1522),ISNUMBER(G1522)),IF(SIGN(D1522-E1522)=SIGN(F1522-G1522),48,0),"")</f>
        <v/>
      </c>
      <c r="I1522" s="22" t="str">
        <f aca="false">IF(AND(ISNUMBER(F1522),ISNUMBER(G1522)),IF(D1522=F1522,15,0),"")</f>
        <v/>
      </c>
      <c r="J1522" s="22" t="str">
        <f aca="false">IF(AND(ISNUMBER(F1522),ISNUMBER(G1522)),IF(E1522=G1522,15,0),"")</f>
        <v/>
      </c>
      <c r="K1522" s="22" t="str">
        <f aca="false">IF(AND(ISNUMBER(F1522),ISNUMBER(G1522)),IF(ABS(D1522-E1522)=ABS(F1522-G1522),12,0),"")</f>
        <v/>
      </c>
      <c r="L1522" s="23" t="str">
        <f aca="false">IF(ISNUMBER(H1522),H1522+I1522+J1522+K1522,"")</f>
        <v/>
      </c>
    </row>
    <row r="1523" customFormat="false" ht="18" hidden="false" customHeight="true" outlineLevel="0" collapsed="false">
      <c r="A1523" s="25" t="s">
        <v>9</v>
      </c>
      <c r="B1523" s="26" t="s">
        <v>169</v>
      </c>
      <c r="C1523" s="27" t="s">
        <v>39</v>
      </c>
      <c r="D1523" s="28" t="n">
        <v>1</v>
      </c>
      <c r="E1523" s="28" t="n">
        <v>0</v>
      </c>
      <c r="F1523" s="29" t="n">
        <f aca="false">'📋 Matches'!E11</f>
        <v>0</v>
      </c>
      <c r="G1523" s="29" t="n">
        <f aca="false">'📋 Matches'!F11</f>
        <v>0</v>
      </c>
      <c r="H1523" s="22" t="str">
        <f aca="false">IF(AND(ISNUMBER(F1523),ISNUMBER(G1523)),IF(SIGN(D1523-E1523)=SIGN(F1523-G1523),48,0),"")</f>
        <v/>
      </c>
      <c r="I1523" s="22" t="str">
        <f aca="false">IF(AND(ISNUMBER(F1523),ISNUMBER(G1523)),IF(D1523=F1523,15,0),"")</f>
        <v/>
      </c>
      <c r="J1523" s="22" t="str">
        <f aca="false">IF(AND(ISNUMBER(F1523),ISNUMBER(G1523)),IF(E1523=G1523,15,0),"")</f>
        <v/>
      </c>
      <c r="K1523" s="22" t="str">
        <f aca="false">IF(AND(ISNUMBER(F1523),ISNUMBER(G1523)),IF(ABS(D1523-E1523)=ABS(F1523-G1523),12,0),"")</f>
        <v/>
      </c>
      <c r="L1523" s="23" t="str">
        <f aca="false">IF(ISNUMBER(H1523),H1523+I1523+J1523+K1523,"")</f>
        <v/>
      </c>
    </row>
    <row r="1524" customFormat="false" ht="18" hidden="false" customHeight="true" outlineLevel="0" collapsed="false">
      <c r="A1524" s="25" t="s">
        <v>9</v>
      </c>
      <c r="B1524" s="26" t="s">
        <v>169</v>
      </c>
      <c r="C1524" s="27" t="s">
        <v>42</v>
      </c>
      <c r="D1524" s="28" t="n">
        <v>1</v>
      </c>
      <c r="E1524" s="28" t="n">
        <v>2</v>
      </c>
      <c r="F1524" s="29" t="n">
        <f aca="false">'📋 Matches'!E12</f>
        <v>0</v>
      </c>
      <c r="G1524" s="29" t="n">
        <f aca="false">'📋 Matches'!F12</f>
        <v>0</v>
      </c>
      <c r="H1524" s="22" t="str">
        <f aca="false">IF(AND(ISNUMBER(F1524),ISNUMBER(G1524)),IF(SIGN(D1524-E1524)=SIGN(F1524-G1524),48,0),"")</f>
        <v/>
      </c>
      <c r="I1524" s="22" t="str">
        <f aca="false">IF(AND(ISNUMBER(F1524),ISNUMBER(G1524)),IF(D1524=F1524,15,0),"")</f>
        <v/>
      </c>
      <c r="J1524" s="22" t="str">
        <f aca="false">IF(AND(ISNUMBER(F1524),ISNUMBER(G1524)),IF(E1524=G1524,15,0),"")</f>
        <v/>
      </c>
      <c r="K1524" s="22" t="str">
        <f aca="false">IF(AND(ISNUMBER(F1524),ISNUMBER(G1524)),IF(ABS(D1524-E1524)=ABS(F1524-G1524),12,0),"")</f>
        <v/>
      </c>
      <c r="L1524" s="23" t="str">
        <f aca="false">IF(ISNUMBER(H1524),H1524+I1524+J1524+K1524,"")</f>
        <v/>
      </c>
    </row>
    <row r="1525" customFormat="false" ht="18" hidden="false" customHeight="true" outlineLevel="0" collapsed="false">
      <c r="A1525" s="25" t="s">
        <v>9</v>
      </c>
      <c r="B1525" s="26" t="s">
        <v>169</v>
      </c>
      <c r="C1525" s="27" t="s">
        <v>45</v>
      </c>
      <c r="D1525" s="28" t="n">
        <v>1</v>
      </c>
      <c r="E1525" s="28" t="n">
        <v>1</v>
      </c>
      <c r="F1525" s="29" t="n">
        <f aca="false">'📋 Matches'!E13</f>
        <v>0</v>
      </c>
      <c r="G1525" s="29" t="n">
        <f aca="false">'📋 Matches'!F13</f>
        <v>0</v>
      </c>
      <c r="H1525" s="22" t="str">
        <f aca="false">IF(AND(ISNUMBER(F1525),ISNUMBER(G1525)),IF(SIGN(D1525-E1525)=SIGN(F1525-G1525),48,0),"")</f>
        <v/>
      </c>
      <c r="I1525" s="22" t="str">
        <f aca="false">IF(AND(ISNUMBER(F1525),ISNUMBER(G1525)),IF(D1525=F1525,15,0),"")</f>
        <v/>
      </c>
      <c r="J1525" s="22" t="str">
        <f aca="false">IF(AND(ISNUMBER(F1525),ISNUMBER(G1525)),IF(E1525=G1525,15,0),"")</f>
        <v/>
      </c>
      <c r="K1525" s="22" t="str">
        <f aca="false">IF(AND(ISNUMBER(F1525),ISNUMBER(G1525)),IF(ABS(D1525-E1525)=ABS(F1525-G1525),12,0),"")</f>
        <v/>
      </c>
      <c r="L1525" s="23" t="str">
        <f aca="false">IF(ISNUMBER(H1525),H1525+I1525+J1525+K1525,"")</f>
        <v/>
      </c>
    </row>
    <row r="1526" customFormat="false" ht="18" hidden="false" customHeight="true" outlineLevel="0" collapsed="false">
      <c r="A1526" s="25" t="s">
        <v>9</v>
      </c>
      <c r="B1526" s="26" t="s">
        <v>169</v>
      </c>
      <c r="C1526" s="27" t="s">
        <v>48</v>
      </c>
      <c r="D1526" s="28" t="n">
        <v>3</v>
      </c>
      <c r="E1526" s="28" t="n">
        <v>0</v>
      </c>
      <c r="F1526" s="29" t="n">
        <f aca="false">'📋 Matches'!E14</f>
        <v>0</v>
      </c>
      <c r="G1526" s="29" t="n">
        <f aca="false">'📋 Matches'!F14</f>
        <v>0</v>
      </c>
      <c r="H1526" s="22" t="str">
        <f aca="false">IF(AND(ISNUMBER(F1526),ISNUMBER(G1526)),IF(SIGN(D1526-E1526)=SIGN(F1526-G1526),48,0),"")</f>
        <v/>
      </c>
      <c r="I1526" s="22" t="str">
        <f aca="false">IF(AND(ISNUMBER(F1526),ISNUMBER(G1526)),IF(D1526=F1526,15,0),"")</f>
        <v/>
      </c>
      <c r="J1526" s="22" t="str">
        <f aca="false">IF(AND(ISNUMBER(F1526),ISNUMBER(G1526)),IF(E1526=G1526,15,0),"")</f>
        <v/>
      </c>
      <c r="K1526" s="22" t="str">
        <f aca="false">IF(AND(ISNUMBER(F1526),ISNUMBER(G1526)),IF(ABS(D1526-E1526)=ABS(F1526-G1526),12,0),"")</f>
        <v/>
      </c>
      <c r="L1526" s="23" t="str">
        <f aca="false">IF(ISNUMBER(H1526),H1526+I1526+J1526+K1526,"")</f>
        <v/>
      </c>
    </row>
    <row r="1527" customFormat="false" ht="18" hidden="false" customHeight="true" outlineLevel="0" collapsed="false">
      <c r="A1527" s="25" t="s">
        <v>9</v>
      </c>
      <c r="B1527" s="26" t="s">
        <v>169</v>
      </c>
      <c r="C1527" s="27" t="s">
        <v>51</v>
      </c>
      <c r="D1527" s="28" t="n">
        <v>4</v>
      </c>
      <c r="E1527" s="28" t="n">
        <v>1</v>
      </c>
      <c r="F1527" s="29" t="n">
        <f aca="false">'📋 Matches'!E15</f>
        <v>0</v>
      </c>
      <c r="G1527" s="29" t="n">
        <f aca="false">'📋 Matches'!F15</f>
        <v>0</v>
      </c>
      <c r="H1527" s="22" t="str">
        <f aca="false">IF(AND(ISNUMBER(F1527),ISNUMBER(G1527)),IF(SIGN(D1527-E1527)=SIGN(F1527-G1527),48,0),"")</f>
        <v/>
      </c>
      <c r="I1527" s="22" t="str">
        <f aca="false">IF(AND(ISNUMBER(F1527),ISNUMBER(G1527)),IF(D1527=F1527,15,0),"")</f>
        <v/>
      </c>
      <c r="J1527" s="22" t="str">
        <f aca="false">IF(AND(ISNUMBER(F1527),ISNUMBER(G1527)),IF(E1527=G1527,15,0),"")</f>
        <v/>
      </c>
      <c r="K1527" s="22" t="str">
        <f aca="false">IF(AND(ISNUMBER(F1527),ISNUMBER(G1527)),IF(ABS(D1527-E1527)=ABS(F1527-G1527),12,0),"")</f>
        <v/>
      </c>
      <c r="L1527" s="23" t="str">
        <f aca="false">IF(ISNUMBER(H1527),H1527+I1527+J1527+K1527,"")</f>
        <v/>
      </c>
    </row>
    <row r="1528" customFormat="false" ht="18" hidden="false" customHeight="true" outlineLevel="0" collapsed="false">
      <c r="A1528" s="25" t="s">
        <v>9</v>
      </c>
      <c r="B1528" s="26" t="s">
        <v>169</v>
      </c>
      <c r="C1528" s="27" t="s">
        <v>54</v>
      </c>
      <c r="D1528" s="28" t="n">
        <v>0</v>
      </c>
      <c r="E1528" s="28" t="n">
        <v>4</v>
      </c>
      <c r="F1528" s="29" t="n">
        <f aca="false">'📋 Matches'!E16</f>
        <v>0</v>
      </c>
      <c r="G1528" s="29" t="n">
        <f aca="false">'📋 Matches'!F16</f>
        <v>0</v>
      </c>
      <c r="H1528" s="22" t="str">
        <f aca="false">IF(AND(ISNUMBER(F1528),ISNUMBER(G1528)),IF(SIGN(D1528-E1528)=SIGN(F1528-G1528),48,0),"")</f>
        <v/>
      </c>
      <c r="I1528" s="22" t="str">
        <f aca="false">IF(AND(ISNUMBER(F1528),ISNUMBER(G1528)),IF(D1528=F1528,15,0),"")</f>
        <v/>
      </c>
      <c r="J1528" s="22" t="str">
        <f aca="false">IF(AND(ISNUMBER(F1528),ISNUMBER(G1528)),IF(E1528=G1528,15,0),"")</f>
        <v/>
      </c>
      <c r="K1528" s="22" t="str">
        <f aca="false">IF(AND(ISNUMBER(F1528),ISNUMBER(G1528)),IF(ABS(D1528-E1528)=ABS(F1528-G1528),12,0),"")</f>
        <v/>
      </c>
      <c r="L1528" s="23" t="str">
        <f aca="false">IF(ISNUMBER(H1528),H1528+I1528+J1528+K1528,"")</f>
        <v/>
      </c>
    </row>
    <row r="1529" customFormat="false" ht="18" hidden="false" customHeight="true" outlineLevel="0" collapsed="false">
      <c r="A1529" s="25" t="s">
        <v>9</v>
      </c>
      <c r="B1529" s="26" t="s">
        <v>169</v>
      </c>
      <c r="C1529" s="27" t="s">
        <v>57</v>
      </c>
      <c r="D1529" s="28" t="n">
        <v>3</v>
      </c>
      <c r="E1529" s="28" t="n">
        <v>1</v>
      </c>
      <c r="F1529" s="29" t="n">
        <f aca="false">'📋 Matches'!E17</f>
        <v>0</v>
      </c>
      <c r="G1529" s="29" t="n">
        <f aca="false">'📋 Matches'!F17</f>
        <v>0</v>
      </c>
      <c r="H1529" s="22" t="str">
        <f aca="false">IF(AND(ISNUMBER(F1529),ISNUMBER(G1529)),IF(SIGN(D1529-E1529)=SIGN(F1529-G1529),48,0),"")</f>
        <v/>
      </c>
      <c r="I1529" s="22" t="str">
        <f aca="false">IF(AND(ISNUMBER(F1529),ISNUMBER(G1529)),IF(D1529=F1529,15,0),"")</f>
        <v/>
      </c>
      <c r="J1529" s="22" t="str">
        <f aca="false">IF(AND(ISNUMBER(F1529),ISNUMBER(G1529)),IF(E1529=G1529,15,0),"")</f>
        <v/>
      </c>
      <c r="K1529" s="22" t="str">
        <f aca="false">IF(AND(ISNUMBER(F1529),ISNUMBER(G1529)),IF(ABS(D1529-E1529)=ABS(F1529-G1529),12,0),"")</f>
        <v/>
      </c>
      <c r="L1529" s="23" t="str">
        <f aca="false">IF(ISNUMBER(H1529),H1529+I1529+J1529+K1529,"")</f>
        <v/>
      </c>
    </row>
    <row r="1530" customFormat="false" ht="18" hidden="false" customHeight="true" outlineLevel="0" collapsed="false">
      <c r="A1530" s="25" t="s">
        <v>9</v>
      </c>
      <c r="B1530" s="26" t="s">
        <v>169</v>
      </c>
      <c r="C1530" s="27" t="s">
        <v>60</v>
      </c>
      <c r="D1530" s="28" t="n">
        <v>2</v>
      </c>
      <c r="E1530" s="28" t="n">
        <v>0</v>
      </c>
      <c r="F1530" s="29" t="n">
        <f aca="false">'📋 Matches'!E18</f>
        <v>0</v>
      </c>
      <c r="G1530" s="29" t="n">
        <f aca="false">'📋 Matches'!F18</f>
        <v>0</v>
      </c>
      <c r="H1530" s="22" t="str">
        <f aca="false">IF(AND(ISNUMBER(F1530),ISNUMBER(G1530)),IF(SIGN(D1530-E1530)=SIGN(F1530-G1530),48,0),"")</f>
        <v/>
      </c>
      <c r="I1530" s="22" t="str">
        <f aca="false">IF(AND(ISNUMBER(F1530),ISNUMBER(G1530)),IF(D1530=F1530,15,0),"")</f>
        <v/>
      </c>
      <c r="J1530" s="22" t="str">
        <f aca="false">IF(AND(ISNUMBER(F1530),ISNUMBER(G1530)),IF(E1530=G1530,15,0),"")</f>
        <v/>
      </c>
      <c r="K1530" s="22" t="str">
        <f aca="false">IF(AND(ISNUMBER(F1530),ISNUMBER(G1530)),IF(ABS(D1530-E1530)=ABS(F1530-G1530),12,0),"")</f>
        <v/>
      </c>
      <c r="L1530" s="23" t="str">
        <f aca="false">IF(ISNUMBER(H1530),H1530+I1530+J1530+K1530,"")</f>
        <v/>
      </c>
    </row>
    <row r="1531" customFormat="false" ht="18" hidden="false" customHeight="true" outlineLevel="0" collapsed="false">
      <c r="A1531" s="25" t="s">
        <v>9</v>
      </c>
      <c r="B1531" s="26" t="s">
        <v>169</v>
      </c>
      <c r="C1531" s="27" t="s">
        <v>63</v>
      </c>
      <c r="D1531" s="28" t="n">
        <v>1</v>
      </c>
      <c r="E1531" s="28" t="n">
        <v>2</v>
      </c>
      <c r="F1531" s="29" t="n">
        <f aca="false">'📋 Matches'!E19</f>
        <v>0</v>
      </c>
      <c r="G1531" s="29" t="n">
        <f aca="false">'📋 Matches'!F19</f>
        <v>0</v>
      </c>
      <c r="H1531" s="22" t="str">
        <f aca="false">IF(AND(ISNUMBER(F1531),ISNUMBER(G1531)),IF(SIGN(D1531-E1531)=SIGN(F1531-G1531),48,0),"")</f>
        <v/>
      </c>
      <c r="I1531" s="22" t="str">
        <f aca="false">IF(AND(ISNUMBER(F1531),ISNUMBER(G1531)),IF(D1531=F1531,15,0),"")</f>
        <v/>
      </c>
      <c r="J1531" s="22" t="str">
        <f aca="false">IF(AND(ISNUMBER(F1531),ISNUMBER(G1531)),IF(E1531=G1531,15,0),"")</f>
        <v/>
      </c>
      <c r="K1531" s="22" t="str">
        <f aca="false">IF(AND(ISNUMBER(F1531),ISNUMBER(G1531)),IF(ABS(D1531-E1531)=ABS(F1531-G1531),12,0),"")</f>
        <v/>
      </c>
      <c r="L1531" s="23" t="str">
        <f aca="false">IF(ISNUMBER(H1531),H1531+I1531+J1531+K1531,"")</f>
        <v/>
      </c>
    </row>
    <row r="1532" customFormat="false" ht="18" hidden="false" customHeight="true" outlineLevel="0" collapsed="false">
      <c r="A1532" s="25" t="s">
        <v>9</v>
      </c>
      <c r="B1532" s="26" t="s">
        <v>169</v>
      </c>
      <c r="C1532" s="27" t="s">
        <v>66</v>
      </c>
      <c r="D1532" s="28" t="n">
        <v>5</v>
      </c>
      <c r="E1532" s="28" t="n">
        <v>2</v>
      </c>
      <c r="F1532" s="29" t="n">
        <f aca="false">'📋 Matches'!E20</f>
        <v>0</v>
      </c>
      <c r="G1532" s="29" t="n">
        <f aca="false">'📋 Matches'!F20</f>
        <v>0</v>
      </c>
      <c r="H1532" s="22" t="str">
        <f aca="false">IF(AND(ISNUMBER(F1532),ISNUMBER(G1532)),IF(SIGN(D1532-E1532)=SIGN(F1532-G1532),48,0),"")</f>
        <v/>
      </c>
      <c r="I1532" s="22" t="str">
        <f aca="false">IF(AND(ISNUMBER(F1532),ISNUMBER(G1532)),IF(D1532=F1532,15,0),"")</f>
        <v/>
      </c>
      <c r="J1532" s="22" t="str">
        <f aca="false">IF(AND(ISNUMBER(F1532),ISNUMBER(G1532)),IF(E1532=G1532,15,0),"")</f>
        <v/>
      </c>
      <c r="K1532" s="22" t="str">
        <f aca="false">IF(AND(ISNUMBER(F1532),ISNUMBER(G1532)),IF(ABS(D1532-E1532)=ABS(F1532-G1532),12,0),"")</f>
        <v/>
      </c>
      <c r="L1532" s="23" t="str">
        <f aca="false">IF(ISNUMBER(H1532),H1532+I1532+J1532+K1532,"")</f>
        <v/>
      </c>
    </row>
    <row r="1533" customFormat="false" ht="18" hidden="false" customHeight="true" outlineLevel="0" collapsed="false">
      <c r="A1533" s="25" t="s">
        <v>9</v>
      </c>
      <c r="B1533" s="26" t="s">
        <v>169</v>
      </c>
      <c r="C1533" s="27" t="s">
        <v>69</v>
      </c>
      <c r="D1533" s="28" t="n">
        <v>3</v>
      </c>
      <c r="E1533" s="28" t="n">
        <v>1</v>
      </c>
      <c r="F1533" s="29" t="n">
        <f aca="false">'📋 Matches'!E21</f>
        <v>0</v>
      </c>
      <c r="G1533" s="29" t="n">
        <f aca="false">'📋 Matches'!F21</f>
        <v>0</v>
      </c>
      <c r="H1533" s="22" t="str">
        <f aca="false">IF(AND(ISNUMBER(F1533),ISNUMBER(G1533)),IF(SIGN(D1533-E1533)=SIGN(F1533-G1533),48,0),"")</f>
        <v/>
      </c>
      <c r="I1533" s="22" t="str">
        <f aca="false">IF(AND(ISNUMBER(F1533),ISNUMBER(G1533)),IF(D1533=F1533,15,0),"")</f>
        <v/>
      </c>
      <c r="J1533" s="22" t="str">
        <f aca="false">IF(AND(ISNUMBER(F1533),ISNUMBER(G1533)),IF(E1533=G1533,15,0),"")</f>
        <v/>
      </c>
      <c r="K1533" s="22" t="str">
        <f aca="false">IF(AND(ISNUMBER(F1533),ISNUMBER(G1533)),IF(ABS(D1533-E1533)=ABS(F1533-G1533),12,0),"")</f>
        <v/>
      </c>
      <c r="L1533" s="23" t="str">
        <f aca="false">IF(ISNUMBER(H1533),H1533+I1533+J1533+K1533,"")</f>
        <v/>
      </c>
    </row>
    <row r="1534" customFormat="false" ht="18" hidden="false" customHeight="true" outlineLevel="0" collapsed="false">
      <c r="A1534" s="25" t="s">
        <v>9</v>
      </c>
      <c r="B1534" s="26" t="s">
        <v>169</v>
      </c>
      <c r="C1534" s="27" t="s">
        <v>72</v>
      </c>
      <c r="D1534" s="28" t="n">
        <v>4</v>
      </c>
      <c r="E1534" s="28" t="n">
        <v>1</v>
      </c>
      <c r="F1534" s="29" t="n">
        <f aca="false">'📋 Matches'!E22</f>
        <v>0</v>
      </c>
      <c r="G1534" s="29" t="n">
        <f aca="false">'📋 Matches'!F22</f>
        <v>0</v>
      </c>
      <c r="H1534" s="22" t="str">
        <f aca="false">IF(AND(ISNUMBER(F1534),ISNUMBER(G1534)),IF(SIGN(D1534-E1534)=SIGN(F1534-G1534),48,0),"")</f>
        <v/>
      </c>
      <c r="I1534" s="22" t="str">
        <f aca="false">IF(AND(ISNUMBER(F1534),ISNUMBER(G1534)),IF(D1534=F1534,15,0),"")</f>
        <v/>
      </c>
      <c r="J1534" s="22" t="str">
        <f aca="false">IF(AND(ISNUMBER(F1534),ISNUMBER(G1534)),IF(E1534=G1534,15,0),"")</f>
        <v/>
      </c>
      <c r="K1534" s="22" t="str">
        <f aca="false">IF(AND(ISNUMBER(F1534),ISNUMBER(G1534)),IF(ABS(D1534-E1534)=ABS(F1534-G1534),12,0),"")</f>
        <v/>
      </c>
      <c r="L1534" s="23" t="str">
        <f aca="false">IF(ISNUMBER(H1534),H1534+I1534+J1534+K1534,"")</f>
        <v/>
      </c>
    </row>
    <row r="1535" customFormat="false" ht="18" hidden="false" customHeight="true" outlineLevel="0" collapsed="false">
      <c r="A1535" s="25" t="s">
        <v>9</v>
      </c>
      <c r="B1535" s="26" t="s">
        <v>169</v>
      </c>
      <c r="C1535" s="27" t="s">
        <v>75</v>
      </c>
      <c r="D1535" s="28" t="n">
        <v>1</v>
      </c>
      <c r="E1535" s="28" t="n">
        <v>1</v>
      </c>
      <c r="F1535" s="29" t="n">
        <f aca="false">'📋 Matches'!E23</f>
        <v>0</v>
      </c>
      <c r="G1535" s="29" t="n">
        <f aca="false">'📋 Matches'!F23</f>
        <v>0</v>
      </c>
      <c r="H1535" s="22" t="str">
        <f aca="false">IF(AND(ISNUMBER(F1535),ISNUMBER(G1535)),IF(SIGN(D1535-E1535)=SIGN(F1535-G1535),48,0),"")</f>
        <v/>
      </c>
      <c r="I1535" s="22" t="str">
        <f aca="false">IF(AND(ISNUMBER(F1535),ISNUMBER(G1535)),IF(D1535=F1535,15,0),"")</f>
        <v/>
      </c>
      <c r="J1535" s="22" t="str">
        <f aca="false">IF(AND(ISNUMBER(F1535),ISNUMBER(G1535)),IF(E1535=G1535,15,0),"")</f>
        <v/>
      </c>
      <c r="K1535" s="22" t="str">
        <f aca="false">IF(AND(ISNUMBER(F1535),ISNUMBER(G1535)),IF(ABS(D1535-E1535)=ABS(F1535-G1535),12,0),"")</f>
        <v/>
      </c>
      <c r="L1535" s="23" t="str">
        <f aca="false">IF(ISNUMBER(H1535),H1535+I1535+J1535+K1535,"")</f>
        <v/>
      </c>
    </row>
    <row r="1536" customFormat="false" ht="18" hidden="false" customHeight="true" outlineLevel="0" collapsed="false">
      <c r="A1536" s="25" t="s">
        <v>9</v>
      </c>
      <c r="B1536" s="26" t="s">
        <v>169</v>
      </c>
      <c r="C1536" s="27" t="s">
        <v>78</v>
      </c>
      <c r="D1536" s="28" t="n">
        <v>2</v>
      </c>
      <c r="E1536" s="28" t="n">
        <v>1</v>
      </c>
      <c r="F1536" s="29" t="n">
        <f aca="false">'📋 Matches'!E24</f>
        <v>0</v>
      </c>
      <c r="G1536" s="29" t="n">
        <f aca="false">'📋 Matches'!F24</f>
        <v>0</v>
      </c>
      <c r="H1536" s="22" t="str">
        <f aca="false">IF(AND(ISNUMBER(F1536),ISNUMBER(G1536)),IF(SIGN(D1536-E1536)=SIGN(F1536-G1536),48,0),"")</f>
        <v/>
      </c>
      <c r="I1536" s="22" t="str">
        <f aca="false">IF(AND(ISNUMBER(F1536),ISNUMBER(G1536)),IF(D1536=F1536,15,0),"")</f>
        <v/>
      </c>
      <c r="J1536" s="22" t="str">
        <f aca="false">IF(AND(ISNUMBER(F1536),ISNUMBER(G1536)),IF(E1536=G1536,15,0),"")</f>
        <v/>
      </c>
      <c r="K1536" s="22" t="str">
        <f aca="false">IF(AND(ISNUMBER(F1536),ISNUMBER(G1536)),IF(ABS(D1536-E1536)=ABS(F1536-G1536),12,0),"")</f>
        <v/>
      </c>
      <c r="L1536" s="23" t="str">
        <f aca="false">IF(ISNUMBER(H1536),H1536+I1536+J1536+K1536,"")</f>
        <v/>
      </c>
    </row>
    <row r="1537" customFormat="false" ht="18" hidden="false" customHeight="true" outlineLevel="0" collapsed="false">
      <c r="A1537" s="25" t="s">
        <v>9</v>
      </c>
      <c r="B1537" s="26" t="s">
        <v>169</v>
      </c>
      <c r="C1537" s="27" t="s">
        <v>81</v>
      </c>
      <c r="D1537" s="28" t="n">
        <v>1</v>
      </c>
      <c r="E1537" s="28" t="n">
        <v>3</v>
      </c>
      <c r="F1537" s="29" t="n">
        <f aca="false">'📋 Matches'!E25</f>
        <v>0</v>
      </c>
      <c r="G1537" s="29" t="n">
        <f aca="false">'📋 Matches'!F25</f>
        <v>0</v>
      </c>
      <c r="H1537" s="22" t="str">
        <f aca="false">IF(AND(ISNUMBER(F1537),ISNUMBER(G1537)),IF(SIGN(D1537-E1537)=SIGN(F1537-G1537),48,0),"")</f>
        <v/>
      </c>
      <c r="I1537" s="22" t="str">
        <f aca="false">IF(AND(ISNUMBER(F1537),ISNUMBER(G1537)),IF(D1537=F1537,15,0),"")</f>
        <v/>
      </c>
      <c r="J1537" s="22" t="str">
        <f aca="false">IF(AND(ISNUMBER(F1537),ISNUMBER(G1537)),IF(E1537=G1537,15,0),"")</f>
        <v/>
      </c>
      <c r="K1537" s="22" t="str">
        <f aca="false">IF(AND(ISNUMBER(F1537),ISNUMBER(G1537)),IF(ABS(D1537-E1537)=ABS(F1537-G1537),12,0),"")</f>
        <v/>
      </c>
      <c r="L1537" s="23" t="str">
        <f aca="false">IF(ISNUMBER(H1537),H1537+I1537+J1537+K1537,"")</f>
        <v/>
      </c>
    </row>
    <row r="1538" customFormat="false" ht="18" hidden="false" customHeight="true" outlineLevel="0" collapsed="false">
      <c r="A1538" s="25" t="s">
        <v>84</v>
      </c>
      <c r="B1538" s="26" t="s">
        <v>169</v>
      </c>
      <c r="C1538" s="27" t="s">
        <v>85</v>
      </c>
      <c r="D1538" s="28"/>
      <c r="E1538" s="28"/>
      <c r="F1538" s="29" t="n">
        <f aca="false">'📋 Matches'!E26</f>
        <v>0</v>
      </c>
      <c r="G1538" s="29" t="n">
        <f aca="false">'📋 Matches'!F26</f>
        <v>0</v>
      </c>
      <c r="H1538" s="30" t="s">
        <v>148</v>
      </c>
      <c r="I1538" s="30" t="s">
        <v>148</v>
      </c>
      <c r="J1538" s="30" t="s">
        <v>148</v>
      </c>
      <c r="K1538" s="30" t="s">
        <v>148</v>
      </c>
      <c r="L1538" s="30" t="s">
        <v>148</v>
      </c>
    </row>
    <row r="1539" customFormat="false" ht="18" hidden="false" customHeight="true" outlineLevel="0" collapsed="false">
      <c r="A1539" s="25" t="s">
        <v>84</v>
      </c>
      <c r="B1539" s="26" t="s">
        <v>169</v>
      </c>
      <c r="C1539" s="27" t="s">
        <v>87</v>
      </c>
      <c r="D1539" s="28"/>
      <c r="E1539" s="28"/>
      <c r="F1539" s="29" t="n">
        <f aca="false">'📋 Matches'!E27</f>
        <v>0</v>
      </c>
      <c r="G1539" s="29" t="n">
        <f aca="false">'📋 Matches'!F27</f>
        <v>0</v>
      </c>
      <c r="H1539" s="30" t="s">
        <v>148</v>
      </c>
      <c r="I1539" s="30" t="s">
        <v>148</v>
      </c>
      <c r="J1539" s="30" t="s">
        <v>148</v>
      </c>
      <c r="K1539" s="30" t="s">
        <v>148</v>
      </c>
      <c r="L1539" s="30" t="s">
        <v>148</v>
      </c>
    </row>
    <row r="1540" customFormat="false" ht="18" hidden="false" customHeight="true" outlineLevel="0" collapsed="false">
      <c r="A1540" s="25" t="s">
        <v>84</v>
      </c>
      <c r="B1540" s="26" t="s">
        <v>169</v>
      </c>
      <c r="C1540" s="27" t="s">
        <v>89</v>
      </c>
      <c r="D1540" s="28"/>
      <c r="E1540" s="28"/>
      <c r="F1540" s="29" t="n">
        <f aca="false">'📋 Matches'!E28</f>
        <v>0</v>
      </c>
      <c r="G1540" s="29" t="n">
        <f aca="false">'📋 Matches'!F28</f>
        <v>0</v>
      </c>
      <c r="H1540" s="30" t="s">
        <v>148</v>
      </c>
      <c r="I1540" s="30" t="s">
        <v>148</v>
      </c>
      <c r="J1540" s="30" t="s">
        <v>148</v>
      </c>
      <c r="K1540" s="30" t="s">
        <v>148</v>
      </c>
      <c r="L1540" s="30" t="s">
        <v>148</v>
      </c>
    </row>
    <row r="1541" customFormat="false" ht="18" hidden="false" customHeight="true" outlineLevel="0" collapsed="false">
      <c r="A1541" s="25" t="s">
        <v>84</v>
      </c>
      <c r="B1541" s="26" t="s">
        <v>169</v>
      </c>
      <c r="C1541" s="27" t="s">
        <v>90</v>
      </c>
      <c r="D1541" s="28"/>
      <c r="E1541" s="28"/>
      <c r="F1541" s="29" t="n">
        <f aca="false">'📋 Matches'!E29</f>
        <v>0</v>
      </c>
      <c r="G1541" s="29" t="n">
        <f aca="false">'📋 Matches'!F29</f>
        <v>0</v>
      </c>
      <c r="H1541" s="30" t="s">
        <v>148</v>
      </c>
      <c r="I1541" s="30" t="s">
        <v>148</v>
      </c>
      <c r="J1541" s="30" t="s">
        <v>148</v>
      </c>
      <c r="K1541" s="30" t="s">
        <v>148</v>
      </c>
      <c r="L1541" s="30" t="s">
        <v>148</v>
      </c>
    </row>
    <row r="1542" customFormat="false" ht="18" hidden="false" customHeight="true" outlineLevel="0" collapsed="false">
      <c r="A1542" s="25" t="s">
        <v>84</v>
      </c>
      <c r="B1542" s="26" t="s">
        <v>169</v>
      </c>
      <c r="C1542" s="27" t="s">
        <v>91</v>
      </c>
      <c r="D1542" s="28"/>
      <c r="E1542" s="28"/>
      <c r="F1542" s="29" t="n">
        <f aca="false">'📋 Matches'!E30</f>
        <v>0</v>
      </c>
      <c r="G1542" s="29" t="n">
        <f aca="false">'📋 Matches'!F30</f>
        <v>0</v>
      </c>
      <c r="H1542" s="30" t="s">
        <v>148</v>
      </c>
      <c r="I1542" s="30" t="s">
        <v>148</v>
      </c>
      <c r="J1542" s="30" t="s">
        <v>148</v>
      </c>
      <c r="K1542" s="30" t="s">
        <v>148</v>
      </c>
      <c r="L1542" s="30" t="s">
        <v>148</v>
      </c>
    </row>
    <row r="1543" customFormat="false" ht="18" hidden="false" customHeight="true" outlineLevel="0" collapsed="false">
      <c r="A1543" s="25" t="s">
        <v>84</v>
      </c>
      <c r="B1543" s="26" t="s">
        <v>169</v>
      </c>
      <c r="C1543" s="27" t="s">
        <v>92</v>
      </c>
      <c r="D1543" s="28"/>
      <c r="E1543" s="28"/>
      <c r="F1543" s="29" t="n">
        <f aca="false">'📋 Matches'!E31</f>
        <v>0</v>
      </c>
      <c r="G1543" s="29" t="n">
        <f aca="false">'📋 Matches'!F31</f>
        <v>0</v>
      </c>
      <c r="H1543" s="30" t="s">
        <v>148</v>
      </c>
      <c r="I1543" s="30" t="s">
        <v>148</v>
      </c>
      <c r="J1543" s="30" t="s">
        <v>148</v>
      </c>
      <c r="K1543" s="30" t="s">
        <v>148</v>
      </c>
      <c r="L1543" s="30" t="s">
        <v>148</v>
      </c>
    </row>
    <row r="1544" customFormat="false" ht="18" hidden="false" customHeight="true" outlineLevel="0" collapsed="false">
      <c r="A1544" s="25" t="s">
        <v>84</v>
      </c>
      <c r="B1544" s="26" t="s">
        <v>169</v>
      </c>
      <c r="C1544" s="27" t="s">
        <v>93</v>
      </c>
      <c r="D1544" s="28"/>
      <c r="E1544" s="28"/>
      <c r="F1544" s="29" t="n">
        <f aca="false">'📋 Matches'!E32</f>
        <v>0</v>
      </c>
      <c r="G1544" s="29" t="n">
        <f aca="false">'📋 Matches'!F32</f>
        <v>0</v>
      </c>
      <c r="H1544" s="30" t="s">
        <v>148</v>
      </c>
      <c r="I1544" s="30" t="s">
        <v>148</v>
      </c>
      <c r="J1544" s="30" t="s">
        <v>148</v>
      </c>
      <c r="K1544" s="30" t="s">
        <v>148</v>
      </c>
      <c r="L1544" s="30" t="s">
        <v>148</v>
      </c>
    </row>
    <row r="1545" customFormat="false" ht="18" hidden="false" customHeight="true" outlineLevel="0" collapsed="false">
      <c r="A1545" s="25" t="s">
        <v>84</v>
      </c>
      <c r="B1545" s="26" t="s">
        <v>169</v>
      </c>
      <c r="C1545" s="27" t="s">
        <v>94</v>
      </c>
      <c r="D1545" s="28"/>
      <c r="E1545" s="28"/>
      <c r="F1545" s="29" t="n">
        <f aca="false">'📋 Matches'!E33</f>
        <v>0</v>
      </c>
      <c r="G1545" s="29" t="n">
        <f aca="false">'📋 Matches'!F33</f>
        <v>0</v>
      </c>
      <c r="H1545" s="30" t="s">
        <v>148</v>
      </c>
      <c r="I1545" s="30" t="s">
        <v>148</v>
      </c>
      <c r="J1545" s="30" t="s">
        <v>148</v>
      </c>
      <c r="K1545" s="30" t="s">
        <v>148</v>
      </c>
      <c r="L1545" s="30" t="s">
        <v>148</v>
      </c>
    </row>
    <row r="1546" customFormat="false" ht="18" hidden="false" customHeight="true" outlineLevel="0" collapsed="false">
      <c r="A1546" s="25" t="s">
        <v>84</v>
      </c>
      <c r="B1546" s="26" t="s">
        <v>169</v>
      </c>
      <c r="C1546" s="27" t="s">
        <v>96</v>
      </c>
      <c r="D1546" s="28"/>
      <c r="E1546" s="28"/>
      <c r="F1546" s="29" t="n">
        <f aca="false">'📋 Matches'!E34</f>
        <v>0</v>
      </c>
      <c r="G1546" s="29" t="n">
        <f aca="false">'📋 Matches'!F34</f>
        <v>0</v>
      </c>
      <c r="H1546" s="30" t="s">
        <v>148</v>
      </c>
      <c r="I1546" s="30" t="s">
        <v>148</v>
      </c>
      <c r="J1546" s="30" t="s">
        <v>148</v>
      </c>
      <c r="K1546" s="30" t="s">
        <v>148</v>
      </c>
      <c r="L1546" s="30" t="s">
        <v>148</v>
      </c>
    </row>
    <row r="1547" customFormat="false" ht="18" hidden="false" customHeight="true" outlineLevel="0" collapsed="false">
      <c r="A1547" s="25" t="s">
        <v>84</v>
      </c>
      <c r="B1547" s="26" t="s">
        <v>169</v>
      </c>
      <c r="C1547" s="27" t="s">
        <v>97</v>
      </c>
      <c r="D1547" s="28"/>
      <c r="E1547" s="28"/>
      <c r="F1547" s="29" t="n">
        <f aca="false">'📋 Matches'!E35</f>
        <v>0</v>
      </c>
      <c r="G1547" s="29" t="n">
        <f aca="false">'📋 Matches'!F35</f>
        <v>0</v>
      </c>
      <c r="H1547" s="30" t="s">
        <v>148</v>
      </c>
      <c r="I1547" s="30" t="s">
        <v>148</v>
      </c>
      <c r="J1547" s="30" t="s">
        <v>148</v>
      </c>
      <c r="K1547" s="30" t="s">
        <v>148</v>
      </c>
      <c r="L1547" s="30" t="s">
        <v>148</v>
      </c>
    </row>
    <row r="1548" customFormat="false" ht="18" hidden="false" customHeight="true" outlineLevel="0" collapsed="false">
      <c r="A1548" s="25" t="s">
        <v>84</v>
      </c>
      <c r="B1548" s="26" t="s">
        <v>169</v>
      </c>
      <c r="C1548" s="27" t="s">
        <v>98</v>
      </c>
      <c r="D1548" s="28"/>
      <c r="E1548" s="28"/>
      <c r="F1548" s="29" t="n">
        <f aca="false">'📋 Matches'!E36</f>
        <v>0</v>
      </c>
      <c r="G1548" s="29" t="n">
        <f aca="false">'📋 Matches'!F36</f>
        <v>0</v>
      </c>
      <c r="H1548" s="30" t="s">
        <v>148</v>
      </c>
      <c r="I1548" s="30" t="s">
        <v>148</v>
      </c>
      <c r="J1548" s="30" t="s">
        <v>148</v>
      </c>
      <c r="K1548" s="30" t="s">
        <v>148</v>
      </c>
      <c r="L1548" s="30" t="s">
        <v>148</v>
      </c>
    </row>
    <row r="1549" customFormat="false" ht="18" hidden="false" customHeight="true" outlineLevel="0" collapsed="false">
      <c r="A1549" s="25" t="s">
        <v>84</v>
      </c>
      <c r="B1549" s="26" t="s">
        <v>169</v>
      </c>
      <c r="C1549" s="27" t="s">
        <v>100</v>
      </c>
      <c r="D1549" s="28"/>
      <c r="E1549" s="28"/>
      <c r="F1549" s="29" t="n">
        <f aca="false">'📋 Matches'!E37</f>
        <v>0</v>
      </c>
      <c r="G1549" s="29" t="n">
        <f aca="false">'📋 Matches'!F37</f>
        <v>0</v>
      </c>
      <c r="H1549" s="30" t="s">
        <v>148</v>
      </c>
      <c r="I1549" s="30" t="s">
        <v>148</v>
      </c>
      <c r="J1549" s="30" t="s">
        <v>148</v>
      </c>
      <c r="K1549" s="30" t="s">
        <v>148</v>
      </c>
      <c r="L1549" s="30" t="s">
        <v>148</v>
      </c>
    </row>
    <row r="1550" customFormat="false" ht="18" hidden="false" customHeight="true" outlineLevel="0" collapsed="false">
      <c r="A1550" s="25" t="s">
        <v>84</v>
      </c>
      <c r="B1550" s="26" t="s">
        <v>169</v>
      </c>
      <c r="C1550" s="27" t="s">
        <v>101</v>
      </c>
      <c r="D1550" s="28"/>
      <c r="E1550" s="28"/>
      <c r="F1550" s="29" t="n">
        <f aca="false">'📋 Matches'!E38</f>
        <v>0</v>
      </c>
      <c r="G1550" s="29" t="n">
        <f aca="false">'📋 Matches'!F38</f>
        <v>0</v>
      </c>
      <c r="H1550" s="30" t="s">
        <v>148</v>
      </c>
      <c r="I1550" s="30" t="s">
        <v>148</v>
      </c>
      <c r="J1550" s="30" t="s">
        <v>148</v>
      </c>
      <c r="K1550" s="30" t="s">
        <v>148</v>
      </c>
      <c r="L1550" s="30" t="s">
        <v>148</v>
      </c>
    </row>
    <row r="1551" customFormat="false" ht="18" hidden="false" customHeight="true" outlineLevel="0" collapsed="false">
      <c r="A1551" s="25" t="s">
        <v>84</v>
      </c>
      <c r="B1551" s="26" t="s">
        <v>169</v>
      </c>
      <c r="C1551" s="27" t="s">
        <v>102</v>
      </c>
      <c r="D1551" s="28"/>
      <c r="E1551" s="28"/>
      <c r="F1551" s="29" t="n">
        <f aca="false">'📋 Matches'!E39</f>
        <v>0</v>
      </c>
      <c r="G1551" s="29" t="n">
        <f aca="false">'📋 Matches'!F39</f>
        <v>0</v>
      </c>
      <c r="H1551" s="30" t="s">
        <v>148</v>
      </c>
      <c r="I1551" s="30" t="s">
        <v>148</v>
      </c>
      <c r="J1551" s="30" t="s">
        <v>148</v>
      </c>
      <c r="K1551" s="30" t="s">
        <v>148</v>
      </c>
      <c r="L1551" s="30" t="s">
        <v>148</v>
      </c>
    </row>
    <row r="1552" customFormat="false" ht="18" hidden="false" customHeight="true" outlineLevel="0" collapsed="false">
      <c r="A1552" s="25" t="s">
        <v>84</v>
      </c>
      <c r="B1552" s="26" t="s">
        <v>169</v>
      </c>
      <c r="C1552" s="27" t="s">
        <v>103</v>
      </c>
      <c r="D1552" s="28"/>
      <c r="E1552" s="28"/>
      <c r="F1552" s="29" t="n">
        <f aca="false">'📋 Matches'!E40</f>
        <v>0</v>
      </c>
      <c r="G1552" s="29" t="n">
        <f aca="false">'📋 Matches'!F40</f>
        <v>0</v>
      </c>
      <c r="H1552" s="30" t="s">
        <v>148</v>
      </c>
      <c r="I1552" s="30" t="s">
        <v>148</v>
      </c>
      <c r="J1552" s="30" t="s">
        <v>148</v>
      </c>
      <c r="K1552" s="30" t="s">
        <v>148</v>
      </c>
      <c r="L1552" s="30" t="s">
        <v>148</v>
      </c>
    </row>
    <row r="1553" customFormat="false" ht="18" hidden="false" customHeight="true" outlineLevel="0" collapsed="false">
      <c r="A1553" s="25" t="s">
        <v>84</v>
      </c>
      <c r="B1553" s="26" t="s">
        <v>169</v>
      </c>
      <c r="C1553" s="27" t="s">
        <v>104</v>
      </c>
      <c r="D1553" s="28"/>
      <c r="E1553" s="28"/>
      <c r="F1553" s="29" t="n">
        <f aca="false">'📋 Matches'!E41</f>
        <v>0</v>
      </c>
      <c r="G1553" s="29" t="n">
        <f aca="false">'📋 Matches'!F41</f>
        <v>0</v>
      </c>
      <c r="H1553" s="30" t="s">
        <v>148</v>
      </c>
      <c r="I1553" s="30" t="s">
        <v>148</v>
      </c>
      <c r="J1553" s="30" t="s">
        <v>148</v>
      </c>
      <c r="K1553" s="30" t="s">
        <v>148</v>
      </c>
      <c r="L1553" s="30" t="s">
        <v>148</v>
      </c>
    </row>
    <row r="1554" customFormat="false" ht="18" hidden="false" customHeight="true" outlineLevel="0" collapsed="false">
      <c r="A1554" s="25" t="s">
        <v>84</v>
      </c>
      <c r="B1554" s="26" t="s">
        <v>169</v>
      </c>
      <c r="C1554" s="27" t="s">
        <v>105</v>
      </c>
      <c r="D1554" s="28"/>
      <c r="E1554" s="28"/>
      <c r="F1554" s="29" t="n">
        <f aca="false">'📋 Matches'!E42</f>
        <v>0</v>
      </c>
      <c r="G1554" s="29" t="n">
        <f aca="false">'📋 Matches'!F42</f>
        <v>0</v>
      </c>
      <c r="H1554" s="30" t="s">
        <v>148</v>
      </c>
      <c r="I1554" s="30" t="s">
        <v>148</v>
      </c>
      <c r="J1554" s="30" t="s">
        <v>148</v>
      </c>
      <c r="K1554" s="30" t="s">
        <v>148</v>
      </c>
      <c r="L1554" s="30" t="s">
        <v>148</v>
      </c>
    </row>
    <row r="1555" customFormat="false" ht="18" hidden="false" customHeight="true" outlineLevel="0" collapsed="false">
      <c r="A1555" s="25" t="s">
        <v>84</v>
      </c>
      <c r="B1555" s="26" t="s">
        <v>169</v>
      </c>
      <c r="C1555" s="27" t="s">
        <v>106</v>
      </c>
      <c r="D1555" s="28"/>
      <c r="E1555" s="28"/>
      <c r="F1555" s="29" t="n">
        <f aca="false">'📋 Matches'!E43</f>
        <v>0</v>
      </c>
      <c r="G1555" s="29" t="n">
        <f aca="false">'📋 Matches'!F43</f>
        <v>0</v>
      </c>
      <c r="H1555" s="30" t="s">
        <v>148</v>
      </c>
      <c r="I1555" s="30" t="s">
        <v>148</v>
      </c>
      <c r="J1555" s="30" t="s">
        <v>148</v>
      </c>
      <c r="K1555" s="30" t="s">
        <v>148</v>
      </c>
      <c r="L1555" s="30" t="s">
        <v>148</v>
      </c>
    </row>
    <row r="1556" customFormat="false" ht="18" hidden="false" customHeight="true" outlineLevel="0" collapsed="false">
      <c r="A1556" s="25" t="s">
        <v>84</v>
      </c>
      <c r="B1556" s="26" t="s">
        <v>169</v>
      </c>
      <c r="C1556" s="27" t="s">
        <v>107</v>
      </c>
      <c r="D1556" s="28"/>
      <c r="E1556" s="28"/>
      <c r="F1556" s="29" t="n">
        <f aca="false">'📋 Matches'!E44</f>
        <v>0</v>
      </c>
      <c r="G1556" s="29" t="n">
        <f aca="false">'📋 Matches'!F44</f>
        <v>0</v>
      </c>
      <c r="H1556" s="30" t="s">
        <v>148</v>
      </c>
      <c r="I1556" s="30" t="s">
        <v>148</v>
      </c>
      <c r="J1556" s="30" t="s">
        <v>148</v>
      </c>
      <c r="K1556" s="30" t="s">
        <v>148</v>
      </c>
      <c r="L1556" s="30" t="s">
        <v>148</v>
      </c>
    </row>
    <row r="1557" customFormat="false" ht="18" hidden="false" customHeight="true" outlineLevel="0" collapsed="false">
      <c r="A1557" s="25" t="s">
        <v>84</v>
      </c>
      <c r="B1557" s="26" t="s">
        <v>169</v>
      </c>
      <c r="C1557" s="27" t="s">
        <v>108</v>
      </c>
      <c r="D1557" s="28"/>
      <c r="E1557" s="28"/>
      <c r="F1557" s="29" t="n">
        <f aca="false">'📋 Matches'!E45</f>
        <v>0</v>
      </c>
      <c r="G1557" s="29" t="n">
        <f aca="false">'📋 Matches'!F45</f>
        <v>0</v>
      </c>
      <c r="H1557" s="30" t="s">
        <v>148</v>
      </c>
      <c r="I1557" s="30" t="s">
        <v>148</v>
      </c>
      <c r="J1557" s="30" t="s">
        <v>148</v>
      </c>
      <c r="K1557" s="30" t="s">
        <v>148</v>
      </c>
      <c r="L1557" s="30" t="s">
        <v>148</v>
      </c>
    </row>
    <row r="1558" customFormat="false" ht="18" hidden="false" customHeight="true" outlineLevel="0" collapsed="false">
      <c r="A1558" s="25" t="s">
        <v>84</v>
      </c>
      <c r="B1558" s="26" t="s">
        <v>169</v>
      </c>
      <c r="C1558" s="27" t="s">
        <v>109</v>
      </c>
      <c r="D1558" s="28"/>
      <c r="E1558" s="28"/>
      <c r="F1558" s="29" t="n">
        <f aca="false">'📋 Matches'!E46</f>
        <v>0</v>
      </c>
      <c r="G1558" s="29" t="n">
        <f aca="false">'📋 Matches'!F46</f>
        <v>0</v>
      </c>
      <c r="H1558" s="30" t="s">
        <v>148</v>
      </c>
      <c r="I1558" s="30" t="s">
        <v>148</v>
      </c>
      <c r="J1558" s="30" t="s">
        <v>148</v>
      </c>
      <c r="K1558" s="30" t="s">
        <v>148</v>
      </c>
      <c r="L1558" s="30" t="s">
        <v>148</v>
      </c>
    </row>
    <row r="1559" customFormat="false" ht="18" hidden="false" customHeight="true" outlineLevel="0" collapsed="false">
      <c r="A1559" s="25" t="s">
        <v>84</v>
      </c>
      <c r="B1559" s="26" t="s">
        <v>169</v>
      </c>
      <c r="C1559" s="27" t="s">
        <v>110</v>
      </c>
      <c r="D1559" s="28"/>
      <c r="E1559" s="28"/>
      <c r="F1559" s="29" t="n">
        <f aca="false">'📋 Matches'!E47</f>
        <v>0</v>
      </c>
      <c r="G1559" s="29" t="n">
        <f aca="false">'📋 Matches'!F47</f>
        <v>0</v>
      </c>
      <c r="H1559" s="30" t="s">
        <v>148</v>
      </c>
      <c r="I1559" s="30" t="s">
        <v>148</v>
      </c>
      <c r="J1559" s="30" t="s">
        <v>148</v>
      </c>
      <c r="K1559" s="30" t="s">
        <v>148</v>
      </c>
      <c r="L1559" s="30" t="s">
        <v>148</v>
      </c>
    </row>
    <row r="1560" customFormat="false" ht="18" hidden="false" customHeight="true" outlineLevel="0" collapsed="false">
      <c r="A1560" s="25" t="s">
        <v>84</v>
      </c>
      <c r="B1560" s="26" t="s">
        <v>169</v>
      </c>
      <c r="C1560" s="27" t="s">
        <v>111</v>
      </c>
      <c r="D1560" s="28"/>
      <c r="E1560" s="28"/>
      <c r="F1560" s="29" t="n">
        <f aca="false">'📋 Matches'!E48</f>
        <v>0</v>
      </c>
      <c r="G1560" s="29" t="n">
        <f aca="false">'📋 Matches'!F48</f>
        <v>0</v>
      </c>
      <c r="H1560" s="30" t="s">
        <v>148</v>
      </c>
      <c r="I1560" s="30" t="s">
        <v>148</v>
      </c>
      <c r="J1560" s="30" t="s">
        <v>148</v>
      </c>
      <c r="K1560" s="30" t="s">
        <v>148</v>
      </c>
      <c r="L1560" s="30" t="s">
        <v>148</v>
      </c>
    </row>
    <row r="1561" customFormat="false" ht="18" hidden="false" customHeight="true" outlineLevel="0" collapsed="false">
      <c r="A1561" s="25" t="s">
        <v>84</v>
      </c>
      <c r="B1561" s="26" t="s">
        <v>169</v>
      </c>
      <c r="C1561" s="27" t="s">
        <v>112</v>
      </c>
      <c r="D1561" s="28"/>
      <c r="E1561" s="28"/>
      <c r="F1561" s="29" t="n">
        <f aca="false">'📋 Matches'!E49</f>
        <v>0</v>
      </c>
      <c r="G1561" s="29" t="n">
        <f aca="false">'📋 Matches'!F49</f>
        <v>0</v>
      </c>
      <c r="H1561" s="30" t="s">
        <v>148</v>
      </c>
      <c r="I1561" s="30" t="s">
        <v>148</v>
      </c>
      <c r="J1561" s="30" t="s">
        <v>148</v>
      </c>
      <c r="K1561" s="30" t="s">
        <v>148</v>
      </c>
      <c r="L1561" s="30" t="s">
        <v>148</v>
      </c>
    </row>
    <row r="1562" customFormat="false" ht="18" hidden="false" customHeight="true" outlineLevel="0" collapsed="false">
      <c r="A1562" s="25" t="s">
        <v>114</v>
      </c>
      <c r="B1562" s="26" t="s">
        <v>169</v>
      </c>
      <c r="C1562" s="27" t="s">
        <v>115</v>
      </c>
      <c r="D1562" s="28"/>
      <c r="E1562" s="28"/>
      <c r="F1562" s="29" t="n">
        <f aca="false">'📋 Matches'!E50</f>
        <v>0</v>
      </c>
      <c r="G1562" s="29" t="n">
        <f aca="false">'📋 Matches'!F50</f>
        <v>0</v>
      </c>
      <c r="H1562" s="30" t="s">
        <v>148</v>
      </c>
      <c r="I1562" s="30" t="s">
        <v>148</v>
      </c>
      <c r="J1562" s="30" t="s">
        <v>148</v>
      </c>
      <c r="K1562" s="30" t="s">
        <v>148</v>
      </c>
      <c r="L1562" s="30" t="s">
        <v>148</v>
      </c>
    </row>
    <row r="1563" customFormat="false" ht="18" hidden="false" customHeight="true" outlineLevel="0" collapsed="false">
      <c r="A1563" s="25" t="s">
        <v>114</v>
      </c>
      <c r="B1563" s="26" t="s">
        <v>169</v>
      </c>
      <c r="C1563" s="27" t="s">
        <v>116</v>
      </c>
      <c r="D1563" s="28"/>
      <c r="E1563" s="28"/>
      <c r="F1563" s="29" t="n">
        <f aca="false">'📋 Matches'!E51</f>
        <v>0</v>
      </c>
      <c r="G1563" s="29" t="n">
        <f aca="false">'📋 Matches'!F51</f>
        <v>0</v>
      </c>
      <c r="H1563" s="30" t="s">
        <v>148</v>
      </c>
      <c r="I1563" s="30" t="s">
        <v>148</v>
      </c>
      <c r="J1563" s="30" t="s">
        <v>148</v>
      </c>
      <c r="K1563" s="30" t="s">
        <v>148</v>
      </c>
      <c r="L1563" s="30" t="s">
        <v>148</v>
      </c>
    </row>
    <row r="1564" customFormat="false" ht="18" hidden="false" customHeight="true" outlineLevel="0" collapsed="false">
      <c r="A1564" s="25" t="s">
        <v>114</v>
      </c>
      <c r="B1564" s="26" t="s">
        <v>169</v>
      </c>
      <c r="C1564" s="27" t="s">
        <v>117</v>
      </c>
      <c r="D1564" s="28"/>
      <c r="E1564" s="28"/>
      <c r="F1564" s="29" t="n">
        <f aca="false">'📋 Matches'!E52</f>
        <v>0</v>
      </c>
      <c r="G1564" s="29" t="n">
        <f aca="false">'📋 Matches'!F52</f>
        <v>0</v>
      </c>
      <c r="H1564" s="30" t="s">
        <v>148</v>
      </c>
      <c r="I1564" s="30" t="s">
        <v>148</v>
      </c>
      <c r="J1564" s="30" t="s">
        <v>148</v>
      </c>
      <c r="K1564" s="30" t="s">
        <v>148</v>
      </c>
      <c r="L1564" s="30" t="s">
        <v>148</v>
      </c>
    </row>
    <row r="1565" customFormat="false" ht="18" hidden="false" customHeight="true" outlineLevel="0" collapsed="false">
      <c r="A1565" s="25" t="s">
        <v>114</v>
      </c>
      <c r="B1565" s="26" t="s">
        <v>169</v>
      </c>
      <c r="C1565" s="27" t="s">
        <v>118</v>
      </c>
      <c r="D1565" s="28"/>
      <c r="E1565" s="28"/>
      <c r="F1565" s="29" t="n">
        <f aca="false">'📋 Matches'!E53</f>
        <v>0</v>
      </c>
      <c r="G1565" s="29" t="n">
        <f aca="false">'📋 Matches'!F53</f>
        <v>0</v>
      </c>
      <c r="H1565" s="30" t="s">
        <v>148</v>
      </c>
      <c r="I1565" s="30" t="s">
        <v>148</v>
      </c>
      <c r="J1565" s="30" t="s">
        <v>148</v>
      </c>
      <c r="K1565" s="30" t="s">
        <v>148</v>
      </c>
      <c r="L1565" s="30" t="s">
        <v>148</v>
      </c>
    </row>
    <row r="1566" customFormat="false" ht="18" hidden="false" customHeight="true" outlineLevel="0" collapsed="false">
      <c r="A1566" s="25" t="s">
        <v>114</v>
      </c>
      <c r="B1566" s="26" t="s">
        <v>169</v>
      </c>
      <c r="C1566" s="27" t="s">
        <v>119</v>
      </c>
      <c r="D1566" s="28"/>
      <c r="E1566" s="28"/>
      <c r="F1566" s="29" t="n">
        <f aca="false">'📋 Matches'!E54</f>
        <v>0</v>
      </c>
      <c r="G1566" s="29" t="n">
        <f aca="false">'📋 Matches'!F54</f>
        <v>0</v>
      </c>
      <c r="H1566" s="30" t="s">
        <v>148</v>
      </c>
      <c r="I1566" s="30" t="s">
        <v>148</v>
      </c>
      <c r="J1566" s="30" t="s">
        <v>148</v>
      </c>
      <c r="K1566" s="30" t="s">
        <v>148</v>
      </c>
      <c r="L1566" s="30" t="s">
        <v>148</v>
      </c>
    </row>
    <row r="1567" customFormat="false" ht="18" hidden="false" customHeight="true" outlineLevel="0" collapsed="false">
      <c r="A1567" s="25" t="s">
        <v>114</v>
      </c>
      <c r="B1567" s="26" t="s">
        <v>169</v>
      </c>
      <c r="C1567" s="27" t="s">
        <v>120</v>
      </c>
      <c r="D1567" s="28"/>
      <c r="E1567" s="28"/>
      <c r="F1567" s="29" t="n">
        <f aca="false">'📋 Matches'!E55</f>
        <v>0</v>
      </c>
      <c r="G1567" s="29" t="n">
        <f aca="false">'📋 Matches'!F55</f>
        <v>0</v>
      </c>
      <c r="H1567" s="30" t="s">
        <v>148</v>
      </c>
      <c r="I1567" s="30" t="s">
        <v>148</v>
      </c>
      <c r="J1567" s="30" t="s">
        <v>148</v>
      </c>
      <c r="K1567" s="30" t="s">
        <v>148</v>
      </c>
      <c r="L1567" s="30" t="s">
        <v>148</v>
      </c>
    </row>
    <row r="1568" customFormat="false" ht="18" hidden="false" customHeight="true" outlineLevel="0" collapsed="false">
      <c r="A1568" s="25" t="s">
        <v>114</v>
      </c>
      <c r="B1568" s="26" t="s">
        <v>169</v>
      </c>
      <c r="C1568" s="27" t="s">
        <v>121</v>
      </c>
      <c r="D1568" s="28"/>
      <c r="E1568" s="28"/>
      <c r="F1568" s="29" t="n">
        <f aca="false">'📋 Matches'!E56</f>
        <v>0</v>
      </c>
      <c r="G1568" s="29" t="n">
        <f aca="false">'📋 Matches'!F56</f>
        <v>0</v>
      </c>
      <c r="H1568" s="30" t="s">
        <v>148</v>
      </c>
      <c r="I1568" s="30" t="s">
        <v>148</v>
      </c>
      <c r="J1568" s="30" t="s">
        <v>148</v>
      </c>
      <c r="K1568" s="30" t="s">
        <v>148</v>
      </c>
      <c r="L1568" s="30" t="s">
        <v>148</v>
      </c>
    </row>
    <row r="1569" customFormat="false" ht="18" hidden="false" customHeight="true" outlineLevel="0" collapsed="false">
      <c r="A1569" s="25" t="s">
        <v>114</v>
      </c>
      <c r="B1569" s="26" t="s">
        <v>169</v>
      </c>
      <c r="C1569" s="27" t="s">
        <v>122</v>
      </c>
      <c r="D1569" s="28"/>
      <c r="E1569" s="28"/>
      <c r="F1569" s="29" t="n">
        <f aca="false">'📋 Matches'!E57</f>
        <v>0</v>
      </c>
      <c r="G1569" s="29" t="n">
        <f aca="false">'📋 Matches'!F57</f>
        <v>0</v>
      </c>
      <c r="H1569" s="30" t="s">
        <v>148</v>
      </c>
      <c r="I1569" s="30" t="s">
        <v>148</v>
      </c>
      <c r="J1569" s="30" t="s">
        <v>148</v>
      </c>
      <c r="K1569" s="30" t="s">
        <v>148</v>
      </c>
      <c r="L1569" s="30" t="s">
        <v>148</v>
      </c>
    </row>
    <row r="1570" customFormat="false" ht="18" hidden="false" customHeight="true" outlineLevel="0" collapsed="false">
      <c r="A1570" s="25" t="s">
        <v>114</v>
      </c>
      <c r="B1570" s="26" t="s">
        <v>169</v>
      </c>
      <c r="C1570" s="27" t="s">
        <v>123</v>
      </c>
      <c r="D1570" s="28"/>
      <c r="E1570" s="28"/>
      <c r="F1570" s="29" t="n">
        <f aca="false">'📋 Matches'!E58</f>
        <v>0</v>
      </c>
      <c r="G1570" s="29" t="n">
        <f aca="false">'📋 Matches'!F58</f>
        <v>0</v>
      </c>
      <c r="H1570" s="30" t="s">
        <v>148</v>
      </c>
      <c r="I1570" s="30" t="s">
        <v>148</v>
      </c>
      <c r="J1570" s="30" t="s">
        <v>148</v>
      </c>
      <c r="K1570" s="30" t="s">
        <v>148</v>
      </c>
      <c r="L1570" s="30" t="s">
        <v>148</v>
      </c>
    </row>
    <row r="1571" customFormat="false" ht="18" hidden="false" customHeight="true" outlineLevel="0" collapsed="false">
      <c r="A1571" s="25" t="s">
        <v>114</v>
      </c>
      <c r="B1571" s="26" t="s">
        <v>169</v>
      </c>
      <c r="C1571" s="27" t="s">
        <v>124</v>
      </c>
      <c r="D1571" s="28"/>
      <c r="E1571" s="28"/>
      <c r="F1571" s="29" t="n">
        <f aca="false">'📋 Matches'!E59</f>
        <v>0</v>
      </c>
      <c r="G1571" s="29" t="n">
        <f aca="false">'📋 Matches'!F59</f>
        <v>0</v>
      </c>
      <c r="H1571" s="30" t="s">
        <v>148</v>
      </c>
      <c r="I1571" s="30" t="s">
        <v>148</v>
      </c>
      <c r="J1571" s="30" t="s">
        <v>148</v>
      </c>
      <c r="K1571" s="30" t="s">
        <v>148</v>
      </c>
      <c r="L1571" s="30" t="s">
        <v>148</v>
      </c>
    </row>
    <row r="1572" customFormat="false" ht="18" hidden="false" customHeight="true" outlineLevel="0" collapsed="false">
      <c r="A1572" s="25" t="s">
        <v>114</v>
      </c>
      <c r="B1572" s="26" t="s">
        <v>169</v>
      </c>
      <c r="C1572" s="27" t="s">
        <v>125</v>
      </c>
      <c r="D1572" s="28"/>
      <c r="E1572" s="28"/>
      <c r="F1572" s="29" t="n">
        <f aca="false">'📋 Matches'!E60</f>
        <v>0</v>
      </c>
      <c r="G1572" s="29" t="n">
        <f aca="false">'📋 Matches'!F60</f>
        <v>0</v>
      </c>
      <c r="H1572" s="30" t="s">
        <v>148</v>
      </c>
      <c r="I1572" s="30" t="s">
        <v>148</v>
      </c>
      <c r="J1572" s="30" t="s">
        <v>148</v>
      </c>
      <c r="K1572" s="30" t="s">
        <v>148</v>
      </c>
      <c r="L1572" s="30" t="s">
        <v>148</v>
      </c>
    </row>
    <row r="1573" customFormat="false" ht="18" hidden="false" customHeight="true" outlineLevel="0" collapsed="false">
      <c r="A1573" s="25" t="s">
        <v>114</v>
      </c>
      <c r="B1573" s="26" t="s">
        <v>169</v>
      </c>
      <c r="C1573" s="27" t="s">
        <v>126</v>
      </c>
      <c r="D1573" s="28"/>
      <c r="E1573" s="28"/>
      <c r="F1573" s="29" t="n">
        <f aca="false">'📋 Matches'!E61</f>
        <v>0</v>
      </c>
      <c r="G1573" s="29" t="n">
        <f aca="false">'📋 Matches'!F61</f>
        <v>0</v>
      </c>
      <c r="H1573" s="30" t="s">
        <v>148</v>
      </c>
      <c r="I1573" s="30" t="s">
        <v>148</v>
      </c>
      <c r="J1573" s="30" t="s">
        <v>148</v>
      </c>
      <c r="K1573" s="30" t="s">
        <v>148</v>
      </c>
      <c r="L1573" s="30" t="s">
        <v>148</v>
      </c>
    </row>
    <row r="1574" customFormat="false" ht="18" hidden="false" customHeight="true" outlineLevel="0" collapsed="false">
      <c r="A1574" s="25" t="s">
        <v>114</v>
      </c>
      <c r="B1574" s="26" t="s">
        <v>169</v>
      </c>
      <c r="C1574" s="27" t="s">
        <v>127</v>
      </c>
      <c r="D1574" s="28"/>
      <c r="E1574" s="28"/>
      <c r="F1574" s="29" t="n">
        <f aca="false">'📋 Matches'!E62</f>
        <v>0</v>
      </c>
      <c r="G1574" s="29" t="n">
        <f aca="false">'📋 Matches'!F62</f>
        <v>0</v>
      </c>
      <c r="H1574" s="30" t="s">
        <v>148</v>
      </c>
      <c r="I1574" s="30" t="s">
        <v>148</v>
      </c>
      <c r="J1574" s="30" t="s">
        <v>148</v>
      </c>
      <c r="K1574" s="30" t="s">
        <v>148</v>
      </c>
      <c r="L1574" s="30" t="s">
        <v>148</v>
      </c>
    </row>
    <row r="1575" customFormat="false" ht="18" hidden="false" customHeight="true" outlineLevel="0" collapsed="false">
      <c r="A1575" s="25" t="s">
        <v>114</v>
      </c>
      <c r="B1575" s="26" t="s">
        <v>169</v>
      </c>
      <c r="C1575" s="27" t="s">
        <v>128</v>
      </c>
      <c r="D1575" s="28"/>
      <c r="E1575" s="28"/>
      <c r="F1575" s="29" t="n">
        <f aca="false">'📋 Matches'!E63</f>
        <v>0</v>
      </c>
      <c r="G1575" s="29" t="n">
        <f aca="false">'📋 Matches'!F63</f>
        <v>0</v>
      </c>
      <c r="H1575" s="30" t="s">
        <v>148</v>
      </c>
      <c r="I1575" s="30" t="s">
        <v>148</v>
      </c>
      <c r="J1575" s="30" t="s">
        <v>148</v>
      </c>
      <c r="K1575" s="30" t="s">
        <v>148</v>
      </c>
      <c r="L1575" s="30" t="s">
        <v>148</v>
      </c>
    </row>
    <row r="1576" customFormat="false" ht="18" hidden="false" customHeight="true" outlineLevel="0" collapsed="false">
      <c r="A1576" s="25" t="s">
        <v>114</v>
      </c>
      <c r="B1576" s="26" t="s">
        <v>169</v>
      </c>
      <c r="C1576" s="27" t="s">
        <v>129</v>
      </c>
      <c r="D1576" s="28"/>
      <c r="E1576" s="28"/>
      <c r="F1576" s="29" t="n">
        <f aca="false">'📋 Matches'!E64</f>
        <v>0</v>
      </c>
      <c r="G1576" s="29" t="n">
        <f aca="false">'📋 Matches'!F64</f>
        <v>0</v>
      </c>
      <c r="H1576" s="30" t="s">
        <v>148</v>
      </c>
      <c r="I1576" s="30" t="s">
        <v>148</v>
      </c>
      <c r="J1576" s="30" t="s">
        <v>148</v>
      </c>
      <c r="K1576" s="30" t="s">
        <v>148</v>
      </c>
      <c r="L1576" s="30" t="s">
        <v>148</v>
      </c>
    </row>
    <row r="1577" customFormat="false" ht="18" hidden="false" customHeight="true" outlineLevel="0" collapsed="false">
      <c r="A1577" s="25" t="s">
        <v>114</v>
      </c>
      <c r="B1577" s="26" t="s">
        <v>169</v>
      </c>
      <c r="C1577" s="27" t="s">
        <v>130</v>
      </c>
      <c r="D1577" s="28"/>
      <c r="E1577" s="28"/>
      <c r="F1577" s="29" t="n">
        <f aca="false">'📋 Matches'!E65</f>
        <v>0</v>
      </c>
      <c r="G1577" s="29" t="n">
        <f aca="false">'📋 Matches'!F65</f>
        <v>0</v>
      </c>
      <c r="H1577" s="30" t="s">
        <v>148</v>
      </c>
      <c r="I1577" s="30" t="s">
        <v>148</v>
      </c>
      <c r="J1577" s="30" t="s">
        <v>148</v>
      </c>
      <c r="K1577" s="30" t="s">
        <v>148</v>
      </c>
      <c r="L1577" s="30" t="s">
        <v>148</v>
      </c>
    </row>
    <row r="1578" customFormat="false" ht="18" hidden="false" customHeight="true" outlineLevel="0" collapsed="false">
      <c r="A1578" s="25" t="s">
        <v>114</v>
      </c>
      <c r="B1578" s="26" t="s">
        <v>169</v>
      </c>
      <c r="C1578" s="27" t="s">
        <v>131</v>
      </c>
      <c r="D1578" s="28"/>
      <c r="E1578" s="28"/>
      <c r="F1578" s="29" t="n">
        <f aca="false">'📋 Matches'!E66</f>
        <v>0</v>
      </c>
      <c r="G1578" s="29" t="n">
        <f aca="false">'📋 Matches'!F66</f>
        <v>0</v>
      </c>
      <c r="H1578" s="30" t="s">
        <v>148</v>
      </c>
      <c r="I1578" s="30" t="s">
        <v>148</v>
      </c>
      <c r="J1578" s="30" t="s">
        <v>148</v>
      </c>
      <c r="K1578" s="30" t="s">
        <v>148</v>
      </c>
      <c r="L1578" s="30" t="s">
        <v>148</v>
      </c>
    </row>
    <row r="1579" customFormat="false" ht="18" hidden="false" customHeight="true" outlineLevel="0" collapsed="false">
      <c r="A1579" s="25" t="s">
        <v>114</v>
      </c>
      <c r="B1579" s="26" t="s">
        <v>169</v>
      </c>
      <c r="C1579" s="27" t="s">
        <v>132</v>
      </c>
      <c r="D1579" s="28"/>
      <c r="E1579" s="28"/>
      <c r="F1579" s="29" t="n">
        <f aca="false">'📋 Matches'!E67</f>
        <v>0</v>
      </c>
      <c r="G1579" s="29" t="n">
        <f aca="false">'📋 Matches'!F67</f>
        <v>0</v>
      </c>
      <c r="H1579" s="30" t="s">
        <v>148</v>
      </c>
      <c r="I1579" s="30" t="s">
        <v>148</v>
      </c>
      <c r="J1579" s="30" t="s">
        <v>148</v>
      </c>
      <c r="K1579" s="30" t="s">
        <v>148</v>
      </c>
      <c r="L1579" s="30" t="s">
        <v>148</v>
      </c>
    </row>
    <row r="1580" customFormat="false" ht="18" hidden="false" customHeight="true" outlineLevel="0" collapsed="false">
      <c r="A1580" s="25" t="s">
        <v>114</v>
      </c>
      <c r="B1580" s="26" t="s">
        <v>169</v>
      </c>
      <c r="C1580" s="27" t="s">
        <v>133</v>
      </c>
      <c r="D1580" s="28"/>
      <c r="E1580" s="28"/>
      <c r="F1580" s="29" t="n">
        <f aca="false">'📋 Matches'!E68</f>
        <v>0</v>
      </c>
      <c r="G1580" s="29" t="n">
        <f aca="false">'📋 Matches'!F68</f>
        <v>0</v>
      </c>
      <c r="H1580" s="30" t="s">
        <v>148</v>
      </c>
      <c r="I1580" s="30" t="s">
        <v>148</v>
      </c>
      <c r="J1580" s="30" t="s">
        <v>148</v>
      </c>
      <c r="K1580" s="30" t="s">
        <v>148</v>
      </c>
      <c r="L1580" s="30" t="s">
        <v>148</v>
      </c>
    </row>
    <row r="1581" customFormat="false" ht="18" hidden="false" customHeight="true" outlineLevel="0" collapsed="false">
      <c r="A1581" s="25" t="s">
        <v>114</v>
      </c>
      <c r="B1581" s="26" t="s">
        <v>169</v>
      </c>
      <c r="C1581" s="27" t="s">
        <v>134</v>
      </c>
      <c r="D1581" s="28"/>
      <c r="E1581" s="28"/>
      <c r="F1581" s="29" t="n">
        <f aca="false">'📋 Matches'!E69</f>
        <v>0</v>
      </c>
      <c r="G1581" s="29" t="n">
        <f aca="false">'📋 Matches'!F69</f>
        <v>0</v>
      </c>
      <c r="H1581" s="30" t="s">
        <v>148</v>
      </c>
      <c r="I1581" s="30" t="s">
        <v>148</v>
      </c>
      <c r="J1581" s="30" t="s">
        <v>148</v>
      </c>
      <c r="K1581" s="30" t="s">
        <v>148</v>
      </c>
      <c r="L1581" s="30" t="s">
        <v>148</v>
      </c>
    </row>
    <row r="1582" customFormat="false" ht="18" hidden="false" customHeight="true" outlineLevel="0" collapsed="false">
      <c r="A1582" s="25" t="s">
        <v>114</v>
      </c>
      <c r="B1582" s="26" t="s">
        <v>169</v>
      </c>
      <c r="C1582" s="27" t="s">
        <v>135</v>
      </c>
      <c r="D1582" s="28"/>
      <c r="E1582" s="28"/>
      <c r="F1582" s="29" t="n">
        <f aca="false">'📋 Matches'!E70</f>
        <v>0</v>
      </c>
      <c r="G1582" s="29" t="n">
        <f aca="false">'📋 Matches'!F70</f>
        <v>0</v>
      </c>
      <c r="H1582" s="30" t="s">
        <v>148</v>
      </c>
      <c r="I1582" s="30" t="s">
        <v>148</v>
      </c>
      <c r="J1582" s="30" t="s">
        <v>148</v>
      </c>
      <c r="K1582" s="30" t="s">
        <v>148</v>
      </c>
      <c r="L1582" s="30" t="s">
        <v>148</v>
      </c>
    </row>
    <row r="1583" customFormat="false" ht="18" hidden="false" customHeight="true" outlineLevel="0" collapsed="false">
      <c r="A1583" s="25" t="s">
        <v>114</v>
      </c>
      <c r="B1583" s="26" t="s">
        <v>169</v>
      </c>
      <c r="C1583" s="27" t="s">
        <v>136</v>
      </c>
      <c r="D1583" s="28"/>
      <c r="E1583" s="28"/>
      <c r="F1583" s="29" t="n">
        <f aca="false">'📋 Matches'!E71</f>
        <v>0</v>
      </c>
      <c r="G1583" s="29" t="n">
        <f aca="false">'📋 Matches'!F71</f>
        <v>0</v>
      </c>
      <c r="H1583" s="30" t="s">
        <v>148</v>
      </c>
      <c r="I1583" s="30" t="s">
        <v>148</v>
      </c>
      <c r="J1583" s="30" t="s">
        <v>148</v>
      </c>
      <c r="K1583" s="30" t="s">
        <v>148</v>
      </c>
      <c r="L1583" s="30" t="s">
        <v>148</v>
      </c>
    </row>
    <row r="1584" customFormat="false" ht="18" hidden="false" customHeight="true" outlineLevel="0" collapsed="false">
      <c r="A1584" s="25" t="s">
        <v>114</v>
      </c>
      <c r="B1584" s="26" t="s">
        <v>169</v>
      </c>
      <c r="C1584" s="27" t="s">
        <v>137</v>
      </c>
      <c r="D1584" s="28"/>
      <c r="E1584" s="28"/>
      <c r="F1584" s="29" t="n">
        <f aca="false">'📋 Matches'!E72</f>
        <v>0</v>
      </c>
      <c r="G1584" s="29" t="n">
        <f aca="false">'📋 Matches'!F72</f>
        <v>0</v>
      </c>
      <c r="H1584" s="30" t="s">
        <v>148</v>
      </c>
      <c r="I1584" s="30" t="s">
        <v>148</v>
      </c>
      <c r="J1584" s="30" t="s">
        <v>148</v>
      </c>
      <c r="K1584" s="30" t="s">
        <v>148</v>
      </c>
      <c r="L1584" s="30" t="s">
        <v>148</v>
      </c>
    </row>
    <row r="1585" customFormat="false" ht="18" hidden="false" customHeight="true" outlineLevel="0" collapsed="false">
      <c r="A1585" s="25" t="s">
        <v>114</v>
      </c>
      <c r="B1585" s="26" t="s">
        <v>169</v>
      </c>
      <c r="C1585" s="27" t="s">
        <v>138</v>
      </c>
      <c r="D1585" s="28"/>
      <c r="E1585" s="28"/>
      <c r="F1585" s="29" t="n">
        <f aca="false">'📋 Matches'!E73</f>
        <v>0</v>
      </c>
      <c r="G1585" s="29" t="n">
        <f aca="false">'📋 Matches'!F73</f>
        <v>0</v>
      </c>
      <c r="H1585" s="30" t="s">
        <v>148</v>
      </c>
      <c r="I1585" s="30" t="s">
        <v>148</v>
      </c>
      <c r="J1585" s="30" t="s">
        <v>148</v>
      </c>
      <c r="K1585" s="30" t="s">
        <v>148</v>
      </c>
      <c r="L1585" s="30" t="s">
        <v>148</v>
      </c>
    </row>
    <row r="1586" customFormat="false" ht="18" hidden="false" customHeight="true" outlineLevel="0" collapsed="false">
      <c r="A1586" s="17" t="s">
        <v>9</v>
      </c>
      <c r="B1586" s="18" t="s">
        <v>170</v>
      </c>
      <c r="C1586" s="19" t="s">
        <v>10</v>
      </c>
      <c r="D1586" s="20" t="n">
        <v>2</v>
      </c>
      <c r="E1586" s="20" t="n">
        <v>1</v>
      </c>
      <c r="F1586" s="21" t="n">
        <f aca="false">'📋 Matches'!E2</f>
        <v>2</v>
      </c>
      <c r="G1586" s="21" t="n">
        <f aca="false">'📋 Matches'!F2</f>
        <v>0</v>
      </c>
      <c r="H1586" s="22" t="n">
        <f aca="false">IF(AND(ISNUMBER(F1586),ISNUMBER(G1586)),IF(SIGN(D1586-E1586)=SIGN(F1586-G1586),48,0),"")</f>
        <v>48</v>
      </c>
      <c r="I1586" s="22" t="n">
        <f aca="false">IF(AND(ISNUMBER(F1586),ISNUMBER(G1586)),IF(D1586=F1586,15,0),"")</f>
        <v>15</v>
      </c>
      <c r="J1586" s="22" t="n">
        <f aca="false">IF(AND(ISNUMBER(F1586),ISNUMBER(G1586)),IF(E1586=G1586,15,0),"")</f>
        <v>0</v>
      </c>
      <c r="K1586" s="22" t="n">
        <f aca="false">IF(AND(ISNUMBER(F1586),ISNUMBER(G1586)),IF(ABS(D1586-E1586)=ABS(F1586-G1586),12,0),"")</f>
        <v>0</v>
      </c>
      <c r="L1586" s="23" t="n">
        <f aca="false">IF(ISNUMBER(H1586),H1586+I1586+J1586+K1586,"")</f>
        <v>63</v>
      </c>
    </row>
    <row r="1587" customFormat="false" ht="18" hidden="false" customHeight="true" outlineLevel="0" collapsed="false">
      <c r="A1587" s="17" t="s">
        <v>9</v>
      </c>
      <c r="B1587" s="18" t="s">
        <v>170</v>
      </c>
      <c r="C1587" s="19" t="s">
        <v>14</v>
      </c>
      <c r="D1587" s="20" t="n">
        <v>0</v>
      </c>
      <c r="E1587" s="20" t="n">
        <v>1</v>
      </c>
      <c r="F1587" s="21" t="n">
        <f aca="false">'📋 Matches'!E3</f>
        <v>2</v>
      </c>
      <c r="G1587" s="21" t="n">
        <f aca="false">'📋 Matches'!F3</f>
        <v>1</v>
      </c>
      <c r="H1587" s="22" t="n">
        <f aca="false">IF(AND(ISNUMBER(F1587),ISNUMBER(G1587)),IF(SIGN(D1587-E1587)=SIGN(F1587-G1587),48,0),"")</f>
        <v>0</v>
      </c>
      <c r="I1587" s="22" t="n">
        <f aca="false">IF(AND(ISNUMBER(F1587),ISNUMBER(G1587)),IF(D1587=F1587,15,0),"")</f>
        <v>0</v>
      </c>
      <c r="J1587" s="22" t="n">
        <f aca="false">IF(AND(ISNUMBER(F1587),ISNUMBER(G1587)),IF(E1587=G1587,15,0),"")</f>
        <v>15</v>
      </c>
      <c r="K1587" s="22" t="n">
        <f aca="false">IF(AND(ISNUMBER(F1587),ISNUMBER(G1587)),IF(ABS(D1587-E1587)=ABS(F1587-G1587),12,0),"")</f>
        <v>12</v>
      </c>
      <c r="L1587" s="23" t="n">
        <f aca="false">IF(ISNUMBER(H1587),H1587+I1587+J1587+K1587,"")</f>
        <v>27</v>
      </c>
    </row>
    <row r="1588" customFormat="false" ht="18" hidden="false" customHeight="true" outlineLevel="0" collapsed="false">
      <c r="A1588" s="17" t="s">
        <v>9</v>
      </c>
      <c r="B1588" s="18" t="s">
        <v>170</v>
      </c>
      <c r="C1588" s="19" t="s">
        <v>17</v>
      </c>
      <c r="D1588" s="20" t="n">
        <v>0</v>
      </c>
      <c r="E1588" s="20" t="n">
        <v>2</v>
      </c>
      <c r="F1588" s="21" t="n">
        <f aca="false">'📋 Matches'!E4</f>
        <v>1</v>
      </c>
      <c r="G1588" s="21" t="n">
        <f aca="false">'📋 Matches'!F4</f>
        <v>1</v>
      </c>
      <c r="H1588" s="22" t="n">
        <f aca="false">IF(AND(ISNUMBER(F1588),ISNUMBER(G1588)),IF(SIGN(D1588-E1588)=SIGN(F1588-G1588),48,0),"")</f>
        <v>0</v>
      </c>
      <c r="I1588" s="22" t="n">
        <f aca="false">IF(AND(ISNUMBER(F1588),ISNUMBER(G1588)),IF(D1588=F1588,15,0),"")</f>
        <v>0</v>
      </c>
      <c r="J1588" s="22" t="n">
        <f aca="false">IF(AND(ISNUMBER(F1588),ISNUMBER(G1588)),IF(E1588=G1588,15,0),"")</f>
        <v>0</v>
      </c>
      <c r="K1588" s="22" t="n">
        <f aca="false">IF(AND(ISNUMBER(F1588),ISNUMBER(G1588)),IF(ABS(D1588-E1588)=ABS(F1588-G1588),12,0),"")</f>
        <v>0</v>
      </c>
      <c r="L1588" s="23" t="n">
        <f aca="false">IF(ISNUMBER(H1588),H1588+I1588+J1588+K1588,"")</f>
        <v>0</v>
      </c>
    </row>
    <row r="1589" customFormat="false" ht="18" hidden="false" customHeight="true" outlineLevel="0" collapsed="false">
      <c r="A1589" s="17" t="s">
        <v>9</v>
      </c>
      <c r="B1589" s="18" t="s">
        <v>170</v>
      </c>
      <c r="C1589" s="19" t="s">
        <v>20</v>
      </c>
      <c r="D1589" s="20" t="n">
        <v>1</v>
      </c>
      <c r="E1589" s="20" t="n">
        <v>1</v>
      </c>
      <c r="F1589" s="21" t="n">
        <f aca="false">'📋 Matches'!E5</f>
        <v>4</v>
      </c>
      <c r="G1589" s="21" t="n">
        <f aca="false">'📋 Matches'!F5</f>
        <v>1</v>
      </c>
      <c r="H1589" s="22" t="n">
        <f aca="false">IF(AND(ISNUMBER(F1589),ISNUMBER(G1589)),IF(SIGN(D1589-E1589)=SIGN(F1589-G1589),48,0),"")</f>
        <v>0</v>
      </c>
      <c r="I1589" s="22" t="n">
        <f aca="false">IF(AND(ISNUMBER(F1589),ISNUMBER(G1589)),IF(D1589=F1589,15,0),"")</f>
        <v>0</v>
      </c>
      <c r="J1589" s="22" t="n">
        <f aca="false">IF(AND(ISNUMBER(F1589),ISNUMBER(G1589)),IF(E1589=G1589,15,0),"")</f>
        <v>15</v>
      </c>
      <c r="K1589" s="22" t="n">
        <f aca="false">IF(AND(ISNUMBER(F1589),ISNUMBER(G1589)),IF(ABS(D1589-E1589)=ABS(F1589-G1589),12,0),"")</f>
        <v>0</v>
      </c>
      <c r="L1589" s="23" t="n">
        <f aca="false">IF(ISNUMBER(H1589),H1589+I1589+J1589+K1589,"")</f>
        <v>15</v>
      </c>
    </row>
    <row r="1590" customFormat="false" ht="18" hidden="false" customHeight="true" outlineLevel="0" collapsed="false">
      <c r="A1590" s="17" t="s">
        <v>9</v>
      </c>
      <c r="B1590" s="18" t="s">
        <v>170</v>
      </c>
      <c r="C1590" s="19" t="s">
        <v>23</v>
      </c>
      <c r="D1590" s="20" t="n">
        <v>0</v>
      </c>
      <c r="E1590" s="20" t="n">
        <v>3</v>
      </c>
      <c r="F1590" s="21" t="n">
        <f aca="false">'📋 Matches'!E6</f>
        <v>0</v>
      </c>
      <c r="G1590" s="21" t="n">
        <f aca="false">'📋 Matches'!F6</f>
        <v>0</v>
      </c>
      <c r="H1590" s="22" t="str">
        <f aca="false">IF(AND(ISNUMBER(F1590),ISNUMBER(G1590)),IF(SIGN(D1590-E1590)=SIGN(F1590-G1590),48,0),"")</f>
        <v/>
      </c>
      <c r="I1590" s="22" t="str">
        <f aca="false">IF(AND(ISNUMBER(F1590),ISNUMBER(G1590)),IF(D1590=F1590,15,0),"")</f>
        <v/>
      </c>
      <c r="J1590" s="22" t="str">
        <f aca="false">IF(AND(ISNUMBER(F1590),ISNUMBER(G1590)),IF(E1590=G1590,15,0),"")</f>
        <v/>
      </c>
      <c r="K1590" s="22" t="str">
        <f aca="false">IF(AND(ISNUMBER(F1590),ISNUMBER(G1590)),IF(ABS(D1590-E1590)=ABS(F1590-G1590),12,0),"")</f>
        <v/>
      </c>
      <c r="L1590" s="23" t="str">
        <f aca="false">IF(ISNUMBER(H1590),H1590+I1590+J1590+K1590,"")</f>
        <v/>
      </c>
    </row>
    <row r="1591" customFormat="false" ht="18" hidden="false" customHeight="true" outlineLevel="0" collapsed="false">
      <c r="A1591" s="17" t="s">
        <v>9</v>
      </c>
      <c r="B1591" s="18" t="s">
        <v>170</v>
      </c>
      <c r="C1591" s="19" t="s">
        <v>27</v>
      </c>
      <c r="D1591" s="20" t="n">
        <v>4</v>
      </c>
      <c r="E1591" s="20" t="n">
        <v>0</v>
      </c>
      <c r="F1591" s="21" t="n">
        <f aca="false">'📋 Matches'!E7</f>
        <v>0</v>
      </c>
      <c r="G1591" s="21" t="n">
        <f aca="false">'📋 Matches'!F7</f>
        <v>0</v>
      </c>
      <c r="H1591" s="22" t="str">
        <f aca="false">IF(AND(ISNUMBER(F1591),ISNUMBER(G1591)),IF(SIGN(D1591-E1591)=SIGN(F1591-G1591),48,0),"")</f>
        <v/>
      </c>
      <c r="I1591" s="22" t="str">
        <f aca="false">IF(AND(ISNUMBER(F1591),ISNUMBER(G1591)),IF(D1591=F1591,15,0),"")</f>
        <v/>
      </c>
      <c r="J1591" s="22" t="str">
        <f aca="false">IF(AND(ISNUMBER(F1591),ISNUMBER(G1591)),IF(E1591=G1591,15,0),"")</f>
        <v/>
      </c>
      <c r="K1591" s="22" t="str">
        <f aca="false">IF(AND(ISNUMBER(F1591),ISNUMBER(G1591)),IF(ABS(D1591-E1591)=ABS(F1591-G1591),12,0),"")</f>
        <v/>
      </c>
      <c r="L1591" s="23" t="str">
        <f aca="false">IF(ISNUMBER(H1591),H1591+I1591+J1591+K1591,"")</f>
        <v/>
      </c>
    </row>
    <row r="1592" customFormat="false" ht="18" hidden="false" customHeight="true" outlineLevel="0" collapsed="false">
      <c r="A1592" s="17" t="s">
        <v>9</v>
      </c>
      <c r="B1592" s="18" t="s">
        <v>170</v>
      </c>
      <c r="C1592" s="19" t="s">
        <v>30</v>
      </c>
      <c r="D1592" s="20" t="n">
        <v>0</v>
      </c>
      <c r="E1592" s="20" t="n">
        <v>2</v>
      </c>
      <c r="F1592" s="21" t="n">
        <f aca="false">'📋 Matches'!E8</f>
        <v>0</v>
      </c>
      <c r="G1592" s="21" t="n">
        <f aca="false">'📋 Matches'!F8</f>
        <v>0</v>
      </c>
      <c r="H1592" s="22" t="str">
        <f aca="false">IF(AND(ISNUMBER(F1592),ISNUMBER(G1592)),IF(SIGN(D1592-E1592)=SIGN(F1592-G1592),48,0),"")</f>
        <v/>
      </c>
      <c r="I1592" s="22" t="str">
        <f aca="false">IF(AND(ISNUMBER(F1592),ISNUMBER(G1592)),IF(D1592=F1592,15,0),"")</f>
        <v/>
      </c>
      <c r="J1592" s="22" t="str">
        <f aca="false">IF(AND(ISNUMBER(F1592),ISNUMBER(G1592)),IF(E1592=G1592,15,0),"")</f>
        <v/>
      </c>
      <c r="K1592" s="22" t="str">
        <f aca="false">IF(AND(ISNUMBER(F1592),ISNUMBER(G1592)),IF(ABS(D1592-E1592)=ABS(F1592-G1592),12,0),"")</f>
        <v/>
      </c>
      <c r="L1592" s="23" t="str">
        <f aca="false">IF(ISNUMBER(H1592),H1592+I1592+J1592+K1592,"")</f>
        <v/>
      </c>
    </row>
    <row r="1593" customFormat="false" ht="18" hidden="false" customHeight="true" outlineLevel="0" collapsed="false">
      <c r="A1593" s="17" t="s">
        <v>9</v>
      </c>
      <c r="B1593" s="18" t="s">
        <v>170</v>
      </c>
      <c r="C1593" s="19" t="s">
        <v>33</v>
      </c>
      <c r="D1593" s="20" t="n">
        <v>1</v>
      </c>
      <c r="E1593" s="20" t="n">
        <v>3</v>
      </c>
      <c r="F1593" s="21" t="n">
        <f aca="false">'📋 Matches'!E9</f>
        <v>0</v>
      </c>
      <c r="G1593" s="21" t="n">
        <f aca="false">'📋 Matches'!F9</f>
        <v>0</v>
      </c>
      <c r="H1593" s="22" t="str">
        <f aca="false">IF(AND(ISNUMBER(F1593),ISNUMBER(G1593)),IF(SIGN(D1593-E1593)=SIGN(F1593-G1593),48,0),"")</f>
        <v/>
      </c>
      <c r="I1593" s="22" t="str">
        <f aca="false">IF(AND(ISNUMBER(F1593),ISNUMBER(G1593)),IF(D1593=F1593,15,0),"")</f>
        <v/>
      </c>
      <c r="J1593" s="22" t="str">
        <f aca="false">IF(AND(ISNUMBER(F1593),ISNUMBER(G1593)),IF(E1593=G1593,15,0),"")</f>
        <v/>
      </c>
      <c r="K1593" s="22" t="str">
        <f aca="false">IF(AND(ISNUMBER(F1593),ISNUMBER(G1593)),IF(ABS(D1593-E1593)=ABS(F1593-G1593),12,0),"")</f>
        <v/>
      </c>
      <c r="L1593" s="23" t="str">
        <f aca="false">IF(ISNUMBER(H1593),H1593+I1593+J1593+K1593,"")</f>
        <v/>
      </c>
    </row>
    <row r="1594" customFormat="false" ht="18" hidden="false" customHeight="true" outlineLevel="0" collapsed="false">
      <c r="A1594" s="17" t="s">
        <v>9</v>
      </c>
      <c r="B1594" s="18" t="s">
        <v>170</v>
      </c>
      <c r="C1594" s="19" t="s">
        <v>36</v>
      </c>
      <c r="D1594" s="20" t="n">
        <v>5</v>
      </c>
      <c r="E1594" s="20" t="n">
        <v>0</v>
      </c>
      <c r="F1594" s="21" t="n">
        <f aca="false">'📋 Matches'!E10</f>
        <v>0</v>
      </c>
      <c r="G1594" s="21" t="n">
        <f aca="false">'📋 Matches'!F10</f>
        <v>0</v>
      </c>
      <c r="H1594" s="22" t="str">
        <f aca="false">IF(AND(ISNUMBER(F1594),ISNUMBER(G1594)),IF(SIGN(D1594-E1594)=SIGN(F1594-G1594),48,0),"")</f>
        <v/>
      </c>
      <c r="I1594" s="22" t="str">
        <f aca="false">IF(AND(ISNUMBER(F1594),ISNUMBER(G1594)),IF(D1594=F1594,15,0),"")</f>
        <v/>
      </c>
      <c r="J1594" s="22" t="str">
        <f aca="false">IF(AND(ISNUMBER(F1594),ISNUMBER(G1594)),IF(E1594=G1594,15,0),"")</f>
        <v/>
      </c>
      <c r="K1594" s="22" t="str">
        <f aca="false">IF(AND(ISNUMBER(F1594),ISNUMBER(G1594)),IF(ABS(D1594-E1594)=ABS(F1594-G1594),12,0),"")</f>
        <v/>
      </c>
      <c r="L1594" s="23" t="str">
        <f aca="false">IF(ISNUMBER(H1594),H1594+I1594+J1594+K1594,"")</f>
        <v/>
      </c>
    </row>
    <row r="1595" customFormat="false" ht="18" hidden="false" customHeight="true" outlineLevel="0" collapsed="false">
      <c r="A1595" s="17" t="s">
        <v>9</v>
      </c>
      <c r="B1595" s="18" t="s">
        <v>170</v>
      </c>
      <c r="C1595" s="19" t="s">
        <v>39</v>
      </c>
      <c r="D1595" s="20" t="n">
        <v>2</v>
      </c>
      <c r="E1595" s="20" t="n">
        <v>1</v>
      </c>
      <c r="F1595" s="21" t="n">
        <f aca="false">'📋 Matches'!E11</f>
        <v>0</v>
      </c>
      <c r="G1595" s="21" t="n">
        <f aca="false">'📋 Matches'!F11</f>
        <v>0</v>
      </c>
      <c r="H1595" s="22" t="str">
        <f aca="false">IF(AND(ISNUMBER(F1595),ISNUMBER(G1595)),IF(SIGN(D1595-E1595)=SIGN(F1595-G1595),48,0),"")</f>
        <v/>
      </c>
      <c r="I1595" s="22" t="str">
        <f aca="false">IF(AND(ISNUMBER(F1595),ISNUMBER(G1595)),IF(D1595=F1595,15,0),"")</f>
        <v/>
      </c>
      <c r="J1595" s="22" t="str">
        <f aca="false">IF(AND(ISNUMBER(F1595),ISNUMBER(G1595)),IF(E1595=G1595,15,0),"")</f>
        <v/>
      </c>
      <c r="K1595" s="22" t="str">
        <f aca="false">IF(AND(ISNUMBER(F1595),ISNUMBER(G1595)),IF(ABS(D1595-E1595)=ABS(F1595-G1595),12,0),"")</f>
        <v/>
      </c>
      <c r="L1595" s="23" t="str">
        <f aca="false">IF(ISNUMBER(H1595),H1595+I1595+J1595+K1595,"")</f>
        <v/>
      </c>
    </row>
    <row r="1596" customFormat="false" ht="18" hidden="false" customHeight="true" outlineLevel="0" collapsed="false">
      <c r="A1596" s="17" t="s">
        <v>9</v>
      </c>
      <c r="B1596" s="18" t="s">
        <v>170</v>
      </c>
      <c r="C1596" s="19" t="s">
        <v>42</v>
      </c>
      <c r="D1596" s="20" t="n">
        <v>0</v>
      </c>
      <c r="E1596" s="20" t="n">
        <v>2</v>
      </c>
      <c r="F1596" s="21" t="n">
        <f aca="false">'📋 Matches'!E12</f>
        <v>0</v>
      </c>
      <c r="G1596" s="21" t="n">
        <f aca="false">'📋 Matches'!F12</f>
        <v>0</v>
      </c>
      <c r="H1596" s="22" t="str">
        <f aca="false">IF(AND(ISNUMBER(F1596),ISNUMBER(G1596)),IF(SIGN(D1596-E1596)=SIGN(F1596-G1596),48,0),"")</f>
        <v/>
      </c>
      <c r="I1596" s="22" t="str">
        <f aca="false">IF(AND(ISNUMBER(F1596),ISNUMBER(G1596)),IF(D1596=F1596,15,0),"")</f>
        <v/>
      </c>
      <c r="J1596" s="22" t="str">
        <f aca="false">IF(AND(ISNUMBER(F1596),ISNUMBER(G1596)),IF(E1596=G1596,15,0),"")</f>
        <v/>
      </c>
      <c r="K1596" s="22" t="str">
        <f aca="false">IF(AND(ISNUMBER(F1596),ISNUMBER(G1596)),IF(ABS(D1596-E1596)=ABS(F1596-G1596),12,0),"")</f>
        <v/>
      </c>
      <c r="L1596" s="23" t="str">
        <f aca="false">IF(ISNUMBER(H1596),H1596+I1596+J1596+K1596,"")</f>
        <v/>
      </c>
    </row>
    <row r="1597" customFormat="false" ht="18" hidden="false" customHeight="true" outlineLevel="0" collapsed="false">
      <c r="A1597" s="17" t="s">
        <v>9</v>
      </c>
      <c r="B1597" s="18" t="s">
        <v>170</v>
      </c>
      <c r="C1597" s="19" t="s">
        <v>45</v>
      </c>
      <c r="D1597" s="20" t="n">
        <v>3</v>
      </c>
      <c r="E1597" s="20" t="n">
        <v>0</v>
      </c>
      <c r="F1597" s="21" t="n">
        <f aca="false">'📋 Matches'!E13</f>
        <v>0</v>
      </c>
      <c r="G1597" s="21" t="n">
        <f aca="false">'📋 Matches'!F13</f>
        <v>0</v>
      </c>
      <c r="H1597" s="22" t="str">
        <f aca="false">IF(AND(ISNUMBER(F1597),ISNUMBER(G1597)),IF(SIGN(D1597-E1597)=SIGN(F1597-G1597),48,0),"")</f>
        <v/>
      </c>
      <c r="I1597" s="22" t="str">
        <f aca="false">IF(AND(ISNUMBER(F1597),ISNUMBER(G1597)),IF(D1597=F1597,15,0),"")</f>
        <v/>
      </c>
      <c r="J1597" s="22" t="str">
        <f aca="false">IF(AND(ISNUMBER(F1597),ISNUMBER(G1597)),IF(E1597=G1597,15,0),"")</f>
        <v/>
      </c>
      <c r="K1597" s="22" t="str">
        <f aca="false">IF(AND(ISNUMBER(F1597),ISNUMBER(G1597)),IF(ABS(D1597-E1597)=ABS(F1597-G1597),12,0),"")</f>
        <v/>
      </c>
      <c r="L1597" s="23" t="str">
        <f aca="false">IF(ISNUMBER(H1597),H1597+I1597+J1597+K1597,"")</f>
        <v/>
      </c>
    </row>
    <row r="1598" customFormat="false" ht="18" hidden="false" customHeight="true" outlineLevel="0" collapsed="false">
      <c r="A1598" s="17" t="s">
        <v>9</v>
      </c>
      <c r="B1598" s="18" t="s">
        <v>170</v>
      </c>
      <c r="C1598" s="19" t="s">
        <v>48</v>
      </c>
      <c r="D1598" s="20" t="n">
        <v>4</v>
      </c>
      <c r="E1598" s="20" t="n">
        <v>0</v>
      </c>
      <c r="F1598" s="21" t="n">
        <f aca="false">'📋 Matches'!E14</f>
        <v>0</v>
      </c>
      <c r="G1598" s="21" t="n">
        <f aca="false">'📋 Matches'!F14</f>
        <v>0</v>
      </c>
      <c r="H1598" s="22" t="str">
        <f aca="false">IF(AND(ISNUMBER(F1598),ISNUMBER(G1598)),IF(SIGN(D1598-E1598)=SIGN(F1598-G1598),48,0),"")</f>
        <v/>
      </c>
      <c r="I1598" s="22" t="str">
        <f aca="false">IF(AND(ISNUMBER(F1598),ISNUMBER(G1598)),IF(D1598=F1598,15,0),"")</f>
        <v/>
      </c>
      <c r="J1598" s="22" t="str">
        <f aca="false">IF(AND(ISNUMBER(F1598),ISNUMBER(G1598)),IF(E1598=G1598,15,0),"")</f>
        <v/>
      </c>
      <c r="K1598" s="22" t="str">
        <f aca="false">IF(AND(ISNUMBER(F1598),ISNUMBER(G1598)),IF(ABS(D1598-E1598)=ABS(F1598-G1598),12,0),"")</f>
        <v/>
      </c>
      <c r="L1598" s="23" t="str">
        <f aca="false">IF(ISNUMBER(H1598),H1598+I1598+J1598+K1598,"")</f>
        <v/>
      </c>
    </row>
    <row r="1599" customFormat="false" ht="18" hidden="false" customHeight="true" outlineLevel="0" collapsed="false">
      <c r="A1599" s="17" t="s">
        <v>9</v>
      </c>
      <c r="B1599" s="18" t="s">
        <v>170</v>
      </c>
      <c r="C1599" s="19" t="s">
        <v>51</v>
      </c>
      <c r="D1599" s="20" t="n">
        <v>3</v>
      </c>
      <c r="E1599" s="20" t="n">
        <v>1</v>
      </c>
      <c r="F1599" s="21" t="n">
        <f aca="false">'📋 Matches'!E15</f>
        <v>0</v>
      </c>
      <c r="G1599" s="21" t="n">
        <f aca="false">'📋 Matches'!F15</f>
        <v>0</v>
      </c>
      <c r="H1599" s="22" t="str">
        <f aca="false">IF(AND(ISNUMBER(F1599),ISNUMBER(G1599)),IF(SIGN(D1599-E1599)=SIGN(F1599-G1599),48,0),"")</f>
        <v/>
      </c>
      <c r="I1599" s="22" t="str">
        <f aca="false">IF(AND(ISNUMBER(F1599),ISNUMBER(G1599)),IF(D1599=F1599,15,0),"")</f>
        <v/>
      </c>
      <c r="J1599" s="22" t="str">
        <f aca="false">IF(AND(ISNUMBER(F1599),ISNUMBER(G1599)),IF(E1599=G1599,15,0),"")</f>
        <v/>
      </c>
      <c r="K1599" s="22" t="str">
        <f aca="false">IF(AND(ISNUMBER(F1599),ISNUMBER(G1599)),IF(ABS(D1599-E1599)=ABS(F1599-G1599),12,0),"")</f>
        <v/>
      </c>
      <c r="L1599" s="23" t="str">
        <f aca="false">IF(ISNUMBER(H1599),H1599+I1599+J1599+K1599,"")</f>
        <v/>
      </c>
    </row>
    <row r="1600" customFormat="false" ht="18" hidden="false" customHeight="true" outlineLevel="0" collapsed="false">
      <c r="A1600" s="17" t="s">
        <v>9</v>
      </c>
      <c r="B1600" s="18" t="s">
        <v>170</v>
      </c>
      <c r="C1600" s="19" t="s">
        <v>54</v>
      </c>
      <c r="D1600" s="20" t="n">
        <v>0</v>
      </c>
      <c r="E1600" s="20" t="n">
        <v>2</v>
      </c>
      <c r="F1600" s="21" t="n">
        <f aca="false">'📋 Matches'!E16</f>
        <v>0</v>
      </c>
      <c r="G1600" s="21" t="n">
        <f aca="false">'📋 Matches'!F16</f>
        <v>0</v>
      </c>
      <c r="H1600" s="22" t="str">
        <f aca="false">IF(AND(ISNUMBER(F1600),ISNUMBER(G1600)),IF(SIGN(D1600-E1600)=SIGN(F1600-G1600),48,0),"")</f>
        <v/>
      </c>
      <c r="I1600" s="22" t="str">
        <f aca="false">IF(AND(ISNUMBER(F1600),ISNUMBER(G1600)),IF(D1600=F1600,15,0),"")</f>
        <v/>
      </c>
      <c r="J1600" s="22" t="str">
        <f aca="false">IF(AND(ISNUMBER(F1600),ISNUMBER(G1600)),IF(E1600=G1600,15,0),"")</f>
        <v/>
      </c>
      <c r="K1600" s="22" t="str">
        <f aca="false">IF(AND(ISNUMBER(F1600),ISNUMBER(G1600)),IF(ABS(D1600-E1600)=ABS(F1600-G1600),12,0),"")</f>
        <v/>
      </c>
      <c r="L1600" s="23" t="str">
        <f aca="false">IF(ISNUMBER(H1600),H1600+I1600+J1600+K1600,"")</f>
        <v/>
      </c>
    </row>
    <row r="1601" customFormat="false" ht="18" hidden="false" customHeight="true" outlineLevel="0" collapsed="false">
      <c r="A1601" s="17" t="s">
        <v>9</v>
      </c>
      <c r="B1601" s="18" t="s">
        <v>170</v>
      </c>
      <c r="C1601" s="19" t="s">
        <v>57</v>
      </c>
      <c r="D1601" s="20" t="n">
        <v>1</v>
      </c>
      <c r="E1601" s="20" t="n">
        <v>2</v>
      </c>
      <c r="F1601" s="21" t="n">
        <f aca="false">'📋 Matches'!E17</f>
        <v>0</v>
      </c>
      <c r="G1601" s="21" t="n">
        <f aca="false">'📋 Matches'!F17</f>
        <v>0</v>
      </c>
      <c r="H1601" s="22" t="str">
        <f aca="false">IF(AND(ISNUMBER(F1601),ISNUMBER(G1601)),IF(SIGN(D1601-E1601)=SIGN(F1601-G1601),48,0),"")</f>
        <v/>
      </c>
      <c r="I1601" s="22" t="str">
        <f aca="false">IF(AND(ISNUMBER(F1601),ISNUMBER(G1601)),IF(D1601=F1601,15,0),"")</f>
        <v/>
      </c>
      <c r="J1601" s="22" t="str">
        <f aca="false">IF(AND(ISNUMBER(F1601),ISNUMBER(G1601)),IF(E1601=G1601,15,0),"")</f>
        <v/>
      </c>
      <c r="K1601" s="22" t="str">
        <f aca="false">IF(AND(ISNUMBER(F1601),ISNUMBER(G1601)),IF(ABS(D1601-E1601)=ABS(F1601-G1601),12,0),"")</f>
        <v/>
      </c>
      <c r="L1601" s="23" t="str">
        <f aca="false">IF(ISNUMBER(H1601),H1601+I1601+J1601+K1601,"")</f>
        <v/>
      </c>
    </row>
    <row r="1602" customFormat="false" ht="18" hidden="false" customHeight="true" outlineLevel="0" collapsed="false">
      <c r="A1602" s="17" t="s">
        <v>9</v>
      </c>
      <c r="B1602" s="18" t="s">
        <v>170</v>
      </c>
      <c r="C1602" s="19" t="s">
        <v>60</v>
      </c>
      <c r="D1602" s="20" t="n">
        <v>2</v>
      </c>
      <c r="E1602" s="20" t="n">
        <v>1</v>
      </c>
      <c r="F1602" s="21" t="n">
        <f aca="false">'📋 Matches'!E18</f>
        <v>0</v>
      </c>
      <c r="G1602" s="21" t="n">
        <f aca="false">'📋 Matches'!F18</f>
        <v>0</v>
      </c>
      <c r="H1602" s="22" t="str">
        <f aca="false">IF(AND(ISNUMBER(F1602),ISNUMBER(G1602)),IF(SIGN(D1602-E1602)=SIGN(F1602-G1602),48,0),"")</f>
        <v/>
      </c>
      <c r="I1602" s="22" t="str">
        <f aca="false">IF(AND(ISNUMBER(F1602),ISNUMBER(G1602)),IF(D1602=F1602,15,0),"")</f>
        <v/>
      </c>
      <c r="J1602" s="22" t="str">
        <f aca="false">IF(AND(ISNUMBER(F1602),ISNUMBER(G1602)),IF(E1602=G1602,15,0),"")</f>
        <v/>
      </c>
      <c r="K1602" s="22" t="str">
        <f aca="false">IF(AND(ISNUMBER(F1602),ISNUMBER(G1602)),IF(ABS(D1602-E1602)=ABS(F1602-G1602),12,0),"")</f>
        <v/>
      </c>
      <c r="L1602" s="23" t="str">
        <f aca="false">IF(ISNUMBER(H1602),H1602+I1602+J1602+K1602,"")</f>
        <v/>
      </c>
    </row>
    <row r="1603" customFormat="false" ht="18" hidden="false" customHeight="true" outlineLevel="0" collapsed="false">
      <c r="A1603" s="17" t="s">
        <v>9</v>
      </c>
      <c r="B1603" s="18" t="s">
        <v>170</v>
      </c>
      <c r="C1603" s="19" t="s">
        <v>63</v>
      </c>
      <c r="D1603" s="20" t="n">
        <v>1</v>
      </c>
      <c r="E1603" s="20" t="n">
        <v>3</v>
      </c>
      <c r="F1603" s="21" t="n">
        <f aca="false">'📋 Matches'!E19</f>
        <v>0</v>
      </c>
      <c r="G1603" s="21" t="n">
        <f aca="false">'📋 Matches'!F19</f>
        <v>0</v>
      </c>
      <c r="H1603" s="22" t="str">
        <f aca="false">IF(AND(ISNUMBER(F1603),ISNUMBER(G1603)),IF(SIGN(D1603-E1603)=SIGN(F1603-G1603),48,0),"")</f>
        <v/>
      </c>
      <c r="I1603" s="22" t="str">
        <f aca="false">IF(AND(ISNUMBER(F1603),ISNUMBER(G1603)),IF(D1603=F1603,15,0),"")</f>
        <v/>
      </c>
      <c r="J1603" s="22" t="str">
        <f aca="false">IF(AND(ISNUMBER(F1603),ISNUMBER(G1603)),IF(E1603=G1603,15,0),"")</f>
        <v/>
      </c>
      <c r="K1603" s="22" t="str">
        <f aca="false">IF(AND(ISNUMBER(F1603),ISNUMBER(G1603)),IF(ABS(D1603-E1603)=ABS(F1603-G1603),12,0),"")</f>
        <v/>
      </c>
      <c r="L1603" s="23" t="str">
        <f aca="false">IF(ISNUMBER(H1603),H1603+I1603+J1603+K1603,"")</f>
        <v/>
      </c>
    </row>
    <row r="1604" customFormat="false" ht="18" hidden="false" customHeight="true" outlineLevel="0" collapsed="false">
      <c r="A1604" s="17" t="s">
        <v>9</v>
      </c>
      <c r="B1604" s="18" t="s">
        <v>170</v>
      </c>
      <c r="C1604" s="19" t="s">
        <v>66</v>
      </c>
      <c r="D1604" s="20" t="n">
        <v>3</v>
      </c>
      <c r="E1604" s="20" t="n">
        <v>0</v>
      </c>
      <c r="F1604" s="21" t="n">
        <f aca="false">'📋 Matches'!E20</f>
        <v>0</v>
      </c>
      <c r="G1604" s="21" t="n">
        <f aca="false">'📋 Matches'!F20</f>
        <v>0</v>
      </c>
      <c r="H1604" s="22" t="str">
        <f aca="false">IF(AND(ISNUMBER(F1604),ISNUMBER(G1604)),IF(SIGN(D1604-E1604)=SIGN(F1604-G1604),48,0),"")</f>
        <v/>
      </c>
      <c r="I1604" s="22" t="str">
        <f aca="false">IF(AND(ISNUMBER(F1604),ISNUMBER(G1604)),IF(D1604=F1604,15,0),"")</f>
        <v/>
      </c>
      <c r="J1604" s="22" t="str">
        <f aca="false">IF(AND(ISNUMBER(F1604),ISNUMBER(G1604)),IF(E1604=G1604,15,0),"")</f>
        <v/>
      </c>
      <c r="K1604" s="22" t="str">
        <f aca="false">IF(AND(ISNUMBER(F1604),ISNUMBER(G1604)),IF(ABS(D1604-E1604)=ABS(F1604-G1604),12,0),"")</f>
        <v/>
      </c>
      <c r="L1604" s="23" t="str">
        <f aca="false">IF(ISNUMBER(H1604),H1604+I1604+J1604+K1604,"")</f>
        <v/>
      </c>
    </row>
    <row r="1605" customFormat="false" ht="18" hidden="false" customHeight="true" outlineLevel="0" collapsed="false">
      <c r="A1605" s="17" t="s">
        <v>9</v>
      </c>
      <c r="B1605" s="18" t="s">
        <v>170</v>
      </c>
      <c r="C1605" s="19" t="s">
        <v>69</v>
      </c>
      <c r="D1605" s="20" t="n">
        <v>2</v>
      </c>
      <c r="E1605" s="20" t="n">
        <v>0</v>
      </c>
      <c r="F1605" s="21" t="n">
        <f aca="false">'📋 Matches'!E21</f>
        <v>0</v>
      </c>
      <c r="G1605" s="21" t="n">
        <f aca="false">'📋 Matches'!F21</f>
        <v>0</v>
      </c>
      <c r="H1605" s="22" t="str">
        <f aca="false">IF(AND(ISNUMBER(F1605),ISNUMBER(G1605)),IF(SIGN(D1605-E1605)=SIGN(F1605-G1605),48,0),"")</f>
        <v/>
      </c>
      <c r="I1605" s="22" t="str">
        <f aca="false">IF(AND(ISNUMBER(F1605),ISNUMBER(G1605)),IF(D1605=F1605,15,0),"")</f>
        <v/>
      </c>
      <c r="J1605" s="22" t="str">
        <f aca="false">IF(AND(ISNUMBER(F1605),ISNUMBER(G1605)),IF(E1605=G1605,15,0),"")</f>
        <v/>
      </c>
      <c r="K1605" s="22" t="str">
        <f aca="false">IF(AND(ISNUMBER(F1605),ISNUMBER(G1605)),IF(ABS(D1605-E1605)=ABS(F1605-G1605),12,0),"")</f>
        <v/>
      </c>
      <c r="L1605" s="23" t="str">
        <f aca="false">IF(ISNUMBER(H1605),H1605+I1605+J1605+K1605,"")</f>
        <v/>
      </c>
    </row>
    <row r="1606" customFormat="false" ht="18" hidden="false" customHeight="true" outlineLevel="0" collapsed="false">
      <c r="A1606" s="17" t="s">
        <v>9</v>
      </c>
      <c r="B1606" s="18" t="s">
        <v>170</v>
      </c>
      <c r="C1606" s="19" t="s">
        <v>72</v>
      </c>
      <c r="D1606" s="20" t="n">
        <v>3</v>
      </c>
      <c r="E1606" s="20" t="n">
        <v>0</v>
      </c>
      <c r="F1606" s="21" t="n">
        <f aca="false">'📋 Matches'!E22</f>
        <v>0</v>
      </c>
      <c r="G1606" s="21" t="n">
        <f aca="false">'📋 Matches'!F22</f>
        <v>0</v>
      </c>
      <c r="H1606" s="22" t="str">
        <f aca="false">IF(AND(ISNUMBER(F1606),ISNUMBER(G1606)),IF(SIGN(D1606-E1606)=SIGN(F1606-G1606),48,0),"")</f>
        <v/>
      </c>
      <c r="I1606" s="22" t="str">
        <f aca="false">IF(AND(ISNUMBER(F1606),ISNUMBER(G1606)),IF(D1606=F1606,15,0),"")</f>
        <v/>
      </c>
      <c r="J1606" s="22" t="str">
        <f aca="false">IF(AND(ISNUMBER(F1606),ISNUMBER(G1606)),IF(E1606=G1606,15,0),"")</f>
        <v/>
      </c>
      <c r="K1606" s="22" t="str">
        <f aca="false">IF(AND(ISNUMBER(F1606),ISNUMBER(G1606)),IF(ABS(D1606-E1606)=ABS(F1606-G1606),12,0),"")</f>
        <v/>
      </c>
      <c r="L1606" s="23" t="str">
        <f aca="false">IF(ISNUMBER(H1606),H1606+I1606+J1606+K1606,"")</f>
        <v/>
      </c>
    </row>
    <row r="1607" customFormat="false" ht="18" hidden="false" customHeight="true" outlineLevel="0" collapsed="false">
      <c r="A1607" s="17" t="s">
        <v>9</v>
      </c>
      <c r="B1607" s="18" t="s">
        <v>170</v>
      </c>
      <c r="C1607" s="19" t="s">
        <v>75</v>
      </c>
      <c r="D1607" s="20" t="n">
        <v>2</v>
      </c>
      <c r="E1607" s="20" t="n">
        <v>0</v>
      </c>
      <c r="F1607" s="21" t="n">
        <f aca="false">'📋 Matches'!E23</f>
        <v>0</v>
      </c>
      <c r="G1607" s="21" t="n">
        <f aca="false">'📋 Matches'!F23</f>
        <v>0</v>
      </c>
      <c r="H1607" s="22" t="str">
        <f aca="false">IF(AND(ISNUMBER(F1607),ISNUMBER(G1607)),IF(SIGN(D1607-E1607)=SIGN(F1607-G1607),48,0),"")</f>
        <v/>
      </c>
      <c r="I1607" s="22" t="str">
        <f aca="false">IF(AND(ISNUMBER(F1607),ISNUMBER(G1607)),IF(D1607=F1607,15,0),"")</f>
        <v/>
      </c>
      <c r="J1607" s="22" t="str">
        <f aca="false">IF(AND(ISNUMBER(F1607),ISNUMBER(G1607)),IF(E1607=G1607,15,0),"")</f>
        <v/>
      </c>
      <c r="K1607" s="22" t="str">
        <f aca="false">IF(AND(ISNUMBER(F1607),ISNUMBER(G1607)),IF(ABS(D1607-E1607)=ABS(F1607-G1607),12,0),"")</f>
        <v/>
      </c>
      <c r="L1607" s="23" t="str">
        <f aca="false">IF(ISNUMBER(H1607),H1607+I1607+J1607+K1607,"")</f>
        <v/>
      </c>
    </row>
    <row r="1608" customFormat="false" ht="18" hidden="false" customHeight="true" outlineLevel="0" collapsed="false">
      <c r="A1608" s="17" t="s">
        <v>9</v>
      </c>
      <c r="B1608" s="18" t="s">
        <v>170</v>
      </c>
      <c r="C1608" s="19" t="s">
        <v>78</v>
      </c>
      <c r="D1608" s="20" t="n">
        <v>3</v>
      </c>
      <c r="E1608" s="20" t="n">
        <v>0</v>
      </c>
      <c r="F1608" s="21" t="n">
        <f aca="false">'📋 Matches'!E24</f>
        <v>0</v>
      </c>
      <c r="G1608" s="21" t="n">
        <f aca="false">'📋 Matches'!F24</f>
        <v>0</v>
      </c>
      <c r="H1608" s="22" t="str">
        <f aca="false">IF(AND(ISNUMBER(F1608),ISNUMBER(G1608)),IF(SIGN(D1608-E1608)=SIGN(F1608-G1608),48,0),"")</f>
        <v/>
      </c>
      <c r="I1608" s="22" t="str">
        <f aca="false">IF(AND(ISNUMBER(F1608),ISNUMBER(G1608)),IF(D1608=F1608,15,0),"")</f>
        <v/>
      </c>
      <c r="J1608" s="22" t="str">
        <f aca="false">IF(AND(ISNUMBER(F1608),ISNUMBER(G1608)),IF(E1608=G1608,15,0),"")</f>
        <v/>
      </c>
      <c r="K1608" s="22" t="str">
        <f aca="false">IF(AND(ISNUMBER(F1608),ISNUMBER(G1608)),IF(ABS(D1608-E1608)=ABS(F1608-G1608),12,0),"")</f>
        <v/>
      </c>
      <c r="L1608" s="23" t="str">
        <f aca="false">IF(ISNUMBER(H1608),H1608+I1608+J1608+K1608,"")</f>
        <v/>
      </c>
    </row>
    <row r="1609" customFormat="false" ht="18" hidden="false" customHeight="true" outlineLevel="0" collapsed="false">
      <c r="A1609" s="17" t="s">
        <v>9</v>
      </c>
      <c r="B1609" s="18" t="s">
        <v>170</v>
      </c>
      <c r="C1609" s="19" t="s">
        <v>81</v>
      </c>
      <c r="D1609" s="20" t="n">
        <v>1</v>
      </c>
      <c r="E1609" s="20" t="n">
        <v>0</v>
      </c>
      <c r="F1609" s="21" t="n">
        <f aca="false">'📋 Matches'!E25</f>
        <v>0</v>
      </c>
      <c r="G1609" s="21" t="n">
        <f aca="false">'📋 Matches'!F25</f>
        <v>0</v>
      </c>
      <c r="H1609" s="22" t="str">
        <f aca="false">IF(AND(ISNUMBER(F1609),ISNUMBER(G1609)),IF(SIGN(D1609-E1609)=SIGN(F1609-G1609),48,0),"")</f>
        <v/>
      </c>
      <c r="I1609" s="22" t="str">
        <f aca="false">IF(AND(ISNUMBER(F1609),ISNUMBER(G1609)),IF(D1609=F1609,15,0),"")</f>
        <v/>
      </c>
      <c r="J1609" s="22" t="str">
        <f aca="false">IF(AND(ISNUMBER(F1609),ISNUMBER(G1609)),IF(E1609=G1609,15,0),"")</f>
        <v/>
      </c>
      <c r="K1609" s="22" t="str">
        <f aca="false">IF(AND(ISNUMBER(F1609),ISNUMBER(G1609)),IF(ABS(D1609-E1609)=ABS(F1609-G1609),12,0),"")</f>
        <v/>
      </c>
      <c r="L1609" s="23" t="str">
        <f aca="false">IF(ISNUMBER(H1609),H1609+I1609+J1609+K1609,"")</f>
        <v/>
      </c>
    </row>
    <row r="1610" customFormat="false" ht="18" hidden="false" customHeight="true" outlineLevel="0" collapsed="false">
      <c r="A1610" s="17" t="s">
        <v>84</v>
      </c>
      <c r="B1610" s="18" t="s">
        <v>170</v>
      </c>
      <c r="C1610" s="19" t="s">
        <v>85</v>
      </c>
      <c r="D1610" s="20"/>
      <c r="E1610" s="20"/>
      <c r="F1610" s="21" t="n">
        <f aca="false">'📋 Matches'!E26</f>
        <v>0</v>
      </c>
      <c r="G1610" s="21" t="n">
        <f aca="false">'📋 Matches'!F26</f>
        <v>0</v>
      </c>
      <c r="H1610" s="24" t="s">
        <v>148</v>
      </c>
      <c r="I1610" s="24" t="s">
        <v>148</v>
      </c>
      <c r="J1610" s="24" t="s">
        <v>148</v>
      </c>
      <c r="K1610" s="24" t="s">
        <v>148</v>
      </c>
      <c r="L1610" s="24" t="s">
        <v>148</v>
      </c>
    </row>
    <row r="1611" customFormat="false" ht="18" hidden="false" customHeight="true" outlineLevel="0" collapsed="false">
      <c r="A1611" s="17" t="s">
        <v>84</v>
      </c>
      <c r="B1611" s="18" t="s">
        <v>170</v>
      </c>
      <c r="C1611" s="19" t="s">
        <v>87</v>
      </c>
      <c r="D1611" s="20"/>
      <c r="E1611" s="20"/>
      <c r="F1611" s="21" t="n">
        <f aca="false">'📋 Matches'!E27</f>
        <v>0</v>
      </c>
      <c r="G1611" s="21" t="n">
        <f aca="false">'📋 Matches'!F27</f>
        <v>0</v>
      </c>
      <c r="H1611" s="24" t="s">
        <v>148</v>
      </c>
      <c r="I1611" s="24" t="s">
        <v>148</v>
      </c>
      <c r="J1611" s="24" t="s">
        <v>148</v>
      </c>
      <c r="K1611" s="24" t="s">
        <v>148</v>
      </c>
      <c r="L1611" s="24" t="s">
        <v>148</v>
      </c>
    </row>
    <row r="1612" customFormat="false" ht="18" hidden="false" customHeight="true" outlineLevel="0" collapsed="false">
      <c r="A1612" s="17" t="s">
        <v>84</v>
      </c>
      <c r="B1612" s="18" t="s">
        <v>170</v>
      </c>
      <c r="C1612" s="19" t="s">
        <v>89</v>
      </c>
      <c r="D1612" s="20"/>
      <c r="E1612" s="20"/>
      <c r="F1612" s="21" t="n">
        <f aca="false">'📋 Matches'!E28</f>
        <v>0</v>
      </c>
      <c r="G1612" s="21" t="n">
        <f aca="false">'📋 Matches'!F28</f>
        <v>0</v>
      </c>
      <c r="H1612" s="24" t="s">
        <v>148</v>
      </c>
      <c r="I1612" s="24" t="s">
        <v>148</v>
      </c>
      <c r="J1612" s="24" t="s">
        <v>148</v>
      </c>
      <c r="K1612" s="24" t="s">
        <v>148</v>
      </c>
      <c r="L1612" s="24" t="s">
        <v>148</v>
      </c>
    </row>
    <row r="1613" customFormat="false" ht="18" hidden="false" customHeight="true" outlineLevel="0" collapsed="false">
      <c r="A1613" s="17" t="s">
        <v>84</v>
      </c>
      <c r="B1613" s="18" t="s">
        <v>170</v>
      </c>
      <c r="C1613" s="19" t="s">
        <v>90</v>
      </c>
      <c r="D1613" s="20"/>
      <c r="E1613" s="20"/>
      <c r="F1613" s="21" t="n">
        <f aca="false">'📋 Matches'!E29</f>
        <v>0</v>
      </c>
      <c r="G1613" s="21" t="n">
        <f aca="false">'📋 Matches'!F29</f>
        <v>0</v>
      </c>
      <c r="H1613" s="24" t="s">
        <v>148</v>
      </c>
      <c r="I1613" s="24" t="s">
        <v>148</v>
      </c>
      <c r="J1613" s="24" t="s">
        <v>148</v>
      </c>
      <c r="K1613" s="24" t="s">
        <v>148</v>
      </c>
      <c r="L1613" s="24" t="s">
        <v>148</v>
      </c>
    </row>
    <row r="1614" customFormat="false" ht="18" hidden="false" customHeight="true" outlineLevel="0" collapsed="false">
      <c r="A1614" s="17" t="s">
        <v>84</v>
      </c>
      <c r="B1614" s="18" t="s">
        <v>170</v>
      </c>
      <c r="C1614" s="19" t="s">
        <v>91</v>
      </c>
      <c r="D1614" s="20"/>
      <c r="E1614" s="20"/>
      <c r="F1614" s="21" t="n">
        <f aca="false">'📋 Matches'!E30</f>
        <v>0</v>
      </c>
      <c r="G1614" s="21" t="n">
        <f aca="false">'📋 Matches'!F30</f>
        <v>0</v>
      </c>
      <c r="H1614" s="24" t="s">
        <v>148</v>
      </c>
      <c r="I1614" s="24" t="s">
        <v>148</v>
      </c>
      <c r="J1614" s="24" t="s">
        <v>148</v>
      </c>
      <c r="K1614" s="24" t="s">
        <v>148</v>
      </c>
      <c r="L1614" s="24" t="s">
        <v>148</v>
      </c>
    </row>
    <row r="1615" customFormat="false" ht="18" hidden="false" customHeight="true" outlineLevel="0" collapsed="false">
      <c r="A1615" s="17" t="s">
        <v>84</v>
      </c>
      <c r="B1615" s="18" t="s">
        <v>170</v>
      </c>
      <c r="C1615" s="19" t="s">
        <v>92</v>
      </c>
      <c r="D1615" s="20"/>
      <c r="E1615" s="20"/>
      <c r="F1615" s="21" t="n">
        <f aca="false">'📋 Matches'!E31</f>
        <v>0</v>
      </c>
      <c r="G1615" s="21" t="n">
        <f aca="false">'📋 Matches'!F31</f>
        <v>0</v>
      </c>
      <c r="H1615" s="24" t="s">
        <v>148</v>
      </c>
      <c r="I1615" s="24" t="s">
        <v>148</v>
      </c>
      <c r="J1615" s="24" t="s">
        <v>148</v>
      </c>
      <c r="K1615" s="24" t="s">
        <v>148</v>
      </c>
      <c r="L1615" s="24" t="s">
        <v>148</v>
      </c>
    </row>
    <row r="1616" customFormat="false" ht="18" hidden="false" customHeight="true" outlineLevel="0" collapsed="false">
      <c r="A1616" s="17" t="s">
        <v>84</v>
      </c>
      <c r="B1616" s="18" t="s">
        <v>170</v>
      </c>
      <c r="C1616" s="19" t="s">
        <v>93</v>
      </c>
      <c r="D1616" s="20"/>
      <c r="E1616" s="20"/>
      <c r="F1616" s="21" t="n">
        <f aca="false">'📋 Matches'!E32</f>
        <v>0</v>
      </c>
      <c r="G1616" s="21" t="n">
        <f aca="false">'📋 Matches'!F32</f>
        <v>0</v>
      </c>
      <c r="H1616" s="24" t="s">
        <v>148</v>
      </c>
      <c r="I1616" s="24" t="s">
        <v>148</v>
      </c>
      <c r="J1616" s="24" t="s">
        <v>148</v>
      </c>
      <c r="K1616" s="24" t="s">
        <v>148</v>
      </c>
      <c r="L1616" s="24" t="s">
        <v>148</v>
      </c>
    </row>
    <row r="1617" customFormat="false" ht="18" hidden="false" customHeight="true" outlineLevel="0" collapsed="false">
      <c r="A1617" s="17" t="s">
        <v>84</v>
      </c>
      <c r="B1617" s="18" t="s">
        <v>170</v>
      </c>
      <c r="C1617" s="19" t="s">
        <v>94</v>
      </c>
      <c r="D1617" s="20"/>
      <c r="E1617" s="20"/>
      <c r="F1617" s="21" t="n">
        <f aca="false">'📋 Matches'!E33</f>
        <v>0</v>
      </c>
      <c r="G1617" s="21" t="n">
        <f aca="false">'📋 Matches'!F33</f>
        <v>0</v>
      </c>
      <c r="H1617" s="24" t="s">
        <v>148</v>
      </c>
      <c r="I1617" s="24" t="s">
        <v>148</v>
      </c>
      <c r="J1617" s="24" t="s">
        <v>148</v>
      </c>
      <c r="K1617" s="24" t="s">
        <v>148</v>
      </c>
      <c r="L1617" s="24" t="s">
        <v>148</v>
      </c>
    </row>
    <row r="1618" customFormat="false" ht="18" hidden="false" customHeight="true" outlineLevel="0" collapsed="false">
      <c r="A1618" s="17" t="s">
        <v>84</v>
      </c>
      <c r="B1618" s="18" t="s">
        <v>170</v>
      </c>
      <c r="C1618" s="19" t="s">
        <v>96</v>
      </c>
      <c r="D1618" s="20"/>
      <c r="E1618" s="20"/>
      <c r="F1618" s="21" t="n">
        <f aca="false">'📋 Matches'!E34</f>
        <v>0</v>
      </c>
      <c r="G1618" s="21" t="n">
        <f aca="false">'📋 Matches'!F34</f>
        <v>0</v>
      </c>
      <c r="H1618" s="24" t="s">
        <v>148</v>
      </c>
      <c r="I1618" s="24" t="s">
        <v>148</v>
      </c>
      <c r="J1618" s="24" t="s">
        <v>148</v>
      </c>
      <c r="K1618" s="24" t="s">
        <v>148</v>
      </c>
      <c r="L1618" s="24" t="s">
        <v>148</v>
      </c>
    </row>
    <row r="1619" customFormat="false" ht="18" hidden="false" customHeight="true" outlineLevel="0" collapsed="false">
      <c r="A1619" s="17" t="s">
        <v>84</v>
      </c>
      <c r="B1619" s="18" t="s">
        <v>170</v>
      </c>
      <c r="C1619" s="19" t="s">
        <v>97</v>
      </c>
      <c r="D1619" s="20"/>
      <c r="E1619" s="20"/>
      <c r="F1619" s="21" t="n">
        <f aca="false">'📋 Matches'!E35</f>
        <v>0</v>
      </c>
      <c r="G1619" s="21" t="n">
        <f aca="false">'📋 Matches'!F35</f>
        <v>0</v>
      </c>
      <c r="H1619" s="24" t="s">
        <v>148</v>
      </c>
      <c r="I1619" s="24" t="s">
        <v>148</v>
      </c>
      <c r="J1619" s="24" t="s">
        <v>148</v>
      </c>
      <c r="K1619" s="24" t="s">
        <v>148</v>
      </c>
      <c r="L1619" s="24" t="s">
        <v>148</v>
      </c>
    </row>
    <row r="1620" customFormat="false" ht="18" hidden="false" customHeight="true" outlineLevel="0" collapsed="false">
      <c r="A1620" s="17" t="s">
        <v>84</v>
      </c>
      <c r="B1620" s="18" t="s">
        <v>170</v>
      </c>
      <c r="C1620" s="19" t="s">
        <v>98</v>
      </c>
      <c r="D1620" s="20"/>
      <c r="E1620" s="20"/>
      <c r="F1620" s="21" t="n">
        <f aca="false">'📋 Matches'!E36</f>
        <v>0</v>
      </c>
      <c r="G1620" s="21" t="n">
        <f aca="false">'📋 Matches'!F36</f>
        <v>0</v>
      </c>
      <c r="H1620" s="24" t="s">
        <v>148</v>
      </c>
      <c r="I1620" s="24" t="s">
        <v>148</v>
      </c>
      <c r="J1620" s="24" t="s">
        <v>148</v>
      </c>
      <c r="K1620" s="24" t="s">
        <v>148</v>
      </c>
      <c r="L1620" s="24" t="s">
        <v>148</v>
      </c>
    </row>
    <row r="1621" customFormat="false" ht="18" hidden="false" customHeight="true" outlineLevel="0" collapsed="false">
      <c r="A1621" s="17" t="s">
        <v>84</v>
      </c>
      <c r="B1621" s="18" t="s">
        <v>170</v>
      </c>
      <c r="C1621" s="19" t="s">
        <v>100</v>
      </c>
      <c r="D1621" s="20"/>
      <c r="E1621" s="20"/>
      <c r="F1621" s="21" t="n">
        <f aca="false">'📋 Matches'!E37</f>
        <v>0</v>
      </c>
      <c r="G1621" s="21" t="n">
        <f aca="false">'📋 Matches'!F37</f>
        <v>0</v>
      </c>
      <c r="H1621" s="24" t="s">
        <v>148</v>
      </c>
      <c r="I1621" s="24" t="s">
        <v>148</v>
      </c>
      <c r="J1621" s="24" t="s">
        <v>148</v>
      </c>
      <c r="K1621" s="24" t="s">
        <v>148</v>
      </c>
      <c r="L1621" s="24" t="s">
        <v>148</v>
      </c>
    </row>
    <row r="1622" customFormat="false" ht="18" hidden="false" customHeight="true" outlineLevel="0" collapsed="false">
      <c r="A1622" s="17" t="s">
        <v>84</v>
      </c>
      <c r="B1622" s="18" t="s">
        <v>170</v>
      </c>
      <c r="C1622" s="19" t="s">
        <v>101</v>
      </c>
      <c r="D1622" s="20"/>
      <c r="E1622" s="20"/>
      <c r="F1622" s="21" t="n">
        <f aca="false">'📋 Matches'!E38</f>
        <v>0</v>
      </c>
      <c r="G1622" s="21" t="n">
        <f aca="false">'📋 Matches'!F38</f>
        <v>0</v>
      </c>
      <c r="H1622" s="24" t="s">
        <v>148</v>
      </c>
      <c r="I1622" s="24" t="s">
        <v>148</v>
      </c>
      <c r="J1622" s="24" t="s">
        <v>148</v>
      </c>
      <c r="K1622" s="24" t="s">
        <v>148</v>
      </c>
      <c r="L1622" s="24" t="s">
        <v>148</v>
      </c>
    </row>
    <row r="1623" customFormat="false" ht="18" hidden="false" customHeight="true" outlineLevel="0" collapsed="false">
      <c r="A1623" s="17" t="s">
        <v>84</v>
      </c>
      <c r="B1623" s="18" t="s">
        <v>170</v>
      </c>
      <c r="C1623" s="19" t="s">
        <v>102</v>
      </c>
      <c r="D1623" s="20"/>
      <c r="E1623" s="20"/>
      <c r="F1623" s="21" t="n">
        <f aca="false">'📋 Matches'!E39</f>
        <v>0</v>
      </c>
      <c r="G1623" s="21" t="n">
        <f aca="false">'📋 Matches'!F39</f>
        <v>0</v>
      </c>
      <c r="H1623" s="24" t="s">
        <v>148</v>
      </c>
      <c r="I1623" s="24" t="s">
        <v>148</v>
      </c>
      <c r="J1623" s="24" t="s">
        <v>148</v>
      </c>
      <c r="K1623" s="24" t="s">
        <v>148</v>
      </c>
      <c r="L1623" s="24" t="s">
        <v>148</v>
      </c>
    </row>
    <row r="1624" customFormat="false" ht="18" hidden="false" customHeight="true" outlineLevel="0" collapsed="false">
      <c r="A1624" s="17" t="s">
        <v>84</v>
      </c>
      <c r="B1624" s="18" t="s">
        <v>170</v>
      </c>
      <c r="C1624" s="19" t="s">
        <v>103</v>
      </c>
      <c r="D1624" s="20"/>
      <c r="E1624" s="20"/>
      <c r="F1624" s="21" t="n">
        <f aca="false">'📋 Matches'!E40</f>
        <v>0</v>
      </c>
      <c r="G1624" s="21" t="n">
        <f aca="false">'📋 Matches'!F40</f>
        <v>0</v>
      </c>
      <c r="H1624" s="24" t="s">
        <v>148</v>
      </c>
      <c r="I1624" s="24" t="s">
        <v>148</v>
      </c>
      <c r="J1624" s="24" t="s">
        <v>148</v>
      </c>
      <c r="K1624" s="24" t="s">
        <v>148</v>
      </c>
      <c r="L1624" s="24" t="s">
        <v>148</v>
      </c>
    </row>
    <row r="1625" customFormat="false" ht="18" hidden="false" customHeight="true" outlineLevel="0" collapsed="false">
      <c r="A1625" s="17" t="s">
        <v>84</v>
      </c>
      <c r="B1625" s="18" t="s">
        <v>170</v>
      </c>
      <c r="C1625" s="19" t="s">
        <v>104</v>
      </c>
      <c r="D1625" s="20"/>
      <c r="E1625" s="20"/>
      <c r="F1625" s="21" t="n">
        <f aca="false">'📋 Matches'!E41</f>
        <v>0</v>
      </c>
      <c r="G1625" s="21" t="n">
        <f aca="false">'📋 Matches'!F41</f>
        <v>0</v>
      </c>
      <c r="H1625" s="24" t="s">
        <v>148</v>
      </c>
      <c r="I1625" s="24" t="s">
        <v>148</v>
      </c>
      <c r="J1625" s="24" t="s">
        <v>148</v>
      </c>
      <c r="K1625" s="24" t="s">
        <v>148</v>
      </c>
      <c r="L1625" s="24" t="s">
        <v>148</v>
      </c>
    </row>
    <row r="1626" customFormat="false" ht="18" hidden="false" customHeight="true" outlineLevel="0" collapsed="false">
      <c r="A1626" s="17" t="s">
        <v>84</v>
      </c>
      <c r="B1626" s="18" t="s">
        <v>170</v>
      </c>
      <c r="C1626" s="19" t="s">
        <v>105</v>
      </c>
      <c r="D1626" s="20"/>
      <c r="E1626" s="20"/>
      <c r="F1626" s="21" t="n">
        <f aca="false">'📋 Matches'!E42</f>
        <v>0</v>
      </c>
      <c r="G1626" s="21" t="n">
        <f aca="false">'📋 Matches'!F42</f>
        <v>0</v>
      </c>
      <c r="H1626" s="24" t="s">
        <v>148</v>
      </c>
      <c r="I1626" s="24" t="s">
        <v>148</v>
      </c>
      <c r="J1626" s="24" t="s">
        <v>148</v>
      </c>
      <c r="K1626" s="24" t="s">
        <v>148</v>
      </c>
      <c r="L1626" s="24" t="s">
        <v>148</v>
      </c>
    </row>
    <row r="1627" customFormat="false" ht="18" hidden="false" customHeight="true" outlineLevel="0" collapsed="false">
      <c r="A1627" s="17" t="s">
        <v>84</v>
      </c>
      <c r="B1627" s="18" t="s">
        <v>170</v>
      </c>
      <c r="C1627" s="19" t="s">
        <v>106</v>
      </c>
      <c r="D1627" s="20"/>
      <c r="E1627" s="20"/>
      <c r="F1627" s="21" t="n">
        <f aca="false">'📋 Matches'!E43</f>
        <v>0</v>
      </c>
      <c r="G1627" s="21" t="n">
        <f aca="false">'📋 Matches'!F43</f>
        <v>0</v>
      </c>
      <c r="H1627" s="24" t="s">
        <v>148</v>
      </c>
      <c r="I1627" s="24" t="s">
        <v>148</v>
      </c>
      <c r="J1627" s="24" t="s">
        <v>148</v>
      </c>
      <c r="K1627" s="24" t="s">
        <v>148</v>
      </c>
      <c r="L1627" s="24" t="s">
        <v>148</v>
      </c>
    </row>
    <row r="1628" customFormat="false" ht="18" hidden="false" customHeight="true" outlineLevel="0" collapsed="false">
      <c r="A1628" s="17" t="s">
        <v>84</v>
      </c>
      <c r="B1628" s="18" t="s">
        <v>170</v>
      </c>
      <c r="C1628" s="19" t="s">
        <v>107</v>
      </c>
      <c r="D1628" s="20"/>
      <c r="E1628" s="20"/>
      <c r="F1628" s="21" t="n">
        <f aca="false">'📋 Matches'!E44</f>
        <v>0</v>
      </c>
      <c r="G1628" s="21" t="n">
        <f aca="false">'📋 Matches'!F44</f>
        <v>0</v>
      </c>
      <c r="H1628" s="24" t="s">
        <v>148</v>
      </c>
      <c r="I1628" s="24" t="s">
        <v>148</v>
      </c>
      <c r="J1628" s="24" t="s">
        <v>148</v>
      </c>
      <c r="K1628" s="24" t="s">
        <v>148</v>
      </c>
      <c r="L1628" s="24" t="s">
        <v>148</v>
      </c>
    </row>
    <row r="1629" customFormat="false" ht="18" hidden="false" customHeight="true" outlineLevel="0" collapsed="false">
      <c r="A1629" s="17" t="s">
        <v>84</v>
      </c>
      <c r="B1629" s="18" t="s">
        <v>170</v>
      </c>
      <c r="C1629" s="19" t="s">
        <v>108</v>
      </c>
      <c r="D1629" s="20"/>
      <c r="E1629" s="20"/>
      <c r="F1629" s="21" t="n">
        <f aca="false">'📋 Matches'!E45</f>
        <v>0</v>
      </c>
      <c r="G1629" s="21" t="n">
        <f aca="false">'📋 Matches'!F45</f>
        <v>0</v>
      </c>
      <c r="H1629" s="24" t="s">
        <v>148</v>
      </c>
      <c r="I1629" s="24" t="s">
        <v>148</v>
      </c>
      <c r="J1629" s="24" t="s">
        <v>148</v>
      </c>
      <c r="K1629" s="24" t="s">
        <v>148</v>
      </c>
      <c r="L1629" s="24" t="s">
        <v>148</v>
      </c>
    </row>
    <row r="1630" customFormat="false" ht="18" hidden="false" customHeight="true" outlineLevel="0" collapsed="false">
      <c r="A1630" s="17" t="s">
        <v>84</v>
      </c>
      <c r="B1630" s="18" t="s">
        <v>170</v>
      </c>
      <c r="C1630" s="19" t="s">
        <v>109</v>
      </c>
      <c r="D1630" s="20"/>
      <c r="E1630" s="20"/>
      <c r="F1630" s="21" t="n">
        <f aca="false">'📋 Matches'!E46</f>
        <v>0</v>
      </c>
      <c r="G1630" s="21" t="n">
        <f aca="false">'📋 Matches'!F46</f>
        <v>0</v>
      </c>
      <c r="H1630" s="24" t="s">
        <v>148</v>
      </c>
      <c r="I1630" s="24" t="s">
        <v>148</v>
      </c>
      <c r="J1630" s="24" t="s">
        <v>148</v>
      </c>
      <c r="K1630" s="24" t="s">
        <v>148</v>
      </c>
      <c r="L1630" s="24" t="s">
        <v>148</v>
      </c>
    </row>
    <row r="1631" customFormat="false" ht="18" hidden="false" customHeight="true" outlineLevel="0" collapsed="false">
      <c r="A1631" s="17" t="s">
        <v>84</v>
      </c>
      <c r="B1631" s="18" t="s">
        <v>170</v>
      </c>
      <c r="C1631" s="19" t="s">
        <v>110</v>
      </c>
      <c r="D1631" s="20"/>
      <c r="E1631" s="20"/>
      <c r="F1631" s="21" t="n">
        <f aca="false">'📋 Matches'!E47</f>
        <v>0</v>
      </c>
      <c r="G1631" s="21" t="n">
        <f aca="false">'📋 Matches'!F47</f>
        <v>0</v>
      </c>
      <c r="H1631" s="24" t="s">
        <v>148</v>
      </c>
      <c r="I1631" s="24" t="s">
        <v>148</v>
      </c>
      <c r="J1631" s="24" t="s">
        <v>148</v>
      </c>
      <c r="K1631" s="24" t="s">
        <v>148</v>
      </c>
      <c r="L1631" s="24" t="s">
        <v>148</v>
      </c>
    </row>
    <row r="1632" customFormat="false" ht="18" hidden="false" customHeight="true" outlineLevel="0" collapsed="false">
      <c r="A1632" s="17" t="s">
        <v>84</v>
      </c>
      <c r="B1632" s="18" t="s">
        <v>170</v>
      </c>
      <c r="C1632" s="19" t="s">
        <v>111</v>
      </c>
      <c r="D1632" s="20"/>
      <c r="E1632" s="20"/>
      <c r="F1632" s="21" t="n">
        <f aca="false">'📋 Matches'!E48</f>
        <v>0</v>
      </c>
      <c r="G1632" s="21" t="n">
        <f aca="false">'📋 Matches'!F48</f>
        <v>0</v>
      </c>
      <c r="H1632" s="24" t="s">
        <v>148</v>
      </c>
      <c r="I1632" s="24" t="s">
        <v>148</v>
      </c>
      <c r="J1632" s="24" t="s">
        <v>148</v>
      </c>
      <c r="K1632" s="24" t="s">
        <v>148</v>
      </c>
      <c r="L1632" s="24" t="s">
        <v>148</v>
      </c>
    </row>
    <row r="1633" customFormat="false" ht="18" hidden="false" customHeight="true" outlineLevel="0" collapsed="false">
      <c r="A1633" s="17" t="s">
        <v>84</v>
      </c>
      <c r="B1633" s="18" t="s">
        <v>170</v>
      </c>
      <c r="C1633" s="19" t="s">
        <v>112</v>
      </c>
      <c r="D1633" s="20"/>
      <c r="E1633" s="20"/>
      <c r="F1633" s="21" t="n">
        <f aca="false">'📋 Matches'!E49</f>
        <v>0</v>
      </c>
      <c r="G1633" s="21" t="n">
        <f aca="false">'📋 Matches'!F49</f>
        <v>0</v>
      </c>
      <c r="H1633" s="24" t="s">
        <v>148</v>
      </c>
      <c r="I1633" s="24" t="s">
        <v>148</v>
      </c>
      <c r="J1633" s="24" t="s">
        <v>148</v>
      </c>
      <c r="K1633" s="24" t="s">
        <v>148</v>
      </c>
      <c r="L1633" s="24" t="s">
        <v>148</v>
      </c>
    </row>
    <row r="1634" customFormat="false" ht="18" hidden="false" customHeight="true" outlineLevel="0" collapsed="false">
      <c r="A1634" s="17" t="s">
        <v>114</v>
      </c>
      <c r="B1634" s="18" t="s">
        <v>170</v>
      </c>
      <c r="C1634" s="19" t="s">
        <v>115</v>
      </c>
      <c r="D1634" s="20"/>
      <c r="E1634" s="20"/>
      <c r="F1634" s="21" t="n">
        <f aca="false">'📋 Matches'!E50</f>
        <v>0</v>
      </c>
      <c r="G1634" s="21" t="n">
        <f aca="false">'📋 Matches'!F50</f>
        <v>0</v>
      </c>
      <c r="H1634" s="24" t="s">
        <v>148</v>
      </c>
      <c r="I1634" s="24" t="s">
        <v>148</v>
      </c>
      <c r="J1634" s="24" t="s">
        <v>148</v>
      </c>
      <c r="K1634" s="24" t="s">
        <v>148</v>
      </c>
      <c r="L1634" s="24" t="s">
        <v>148</v>
      </c>
    </row>
    <row r="1635" customFormat="false" ht="18" hidden="false" customHeight="true" outlineLevel="0" collapsed="false">
      <c r="A1635" s="17" t="s">
        <v>114</v>
      </c>
      <c r="B1635" s="18" t="s">
        <v>170</v>
      </c>
      <c r="C1635" s="19" t="s">
        <v>116</v>
      </c>
      <c r="D1635" s="20"/>
      <c r="E1635" s="20"/>
      <c r="F1635" s="21" t="n">
        <f aca="false">'📋 Matches'!E51</f>
        <v>0</v>
      </c>
      <c r="G1635" s="21" t="n">
        <f aca="false">'📋 Matches'!F51</f>
        <v>0</v>
      </c>
      <c r="H1635" s="24" t="s">
        <v>148</v>
      </c>
      <c r="I1635" s="24" t="s">
        <v>148</v>
      </c>
      <c r="J1635" s="24" t="s">
        <v>148</v>
      </c>
      <c r="K1635" s="24" t="s">
        <v>148</v>
      </c>
      <c r="L1635" s="24" t="s">
        <v>148</v>
      </c>
    </row>
    <row r="1636" customFormat="false" ht="18" hidden="false" customHeight="true" outlineLevel="0" collapsed="false">
      <c r="A1636" s="17" t="s">
        <v>114</v>
      </c>
      <c r="B1636" s="18" t="s">
        <v>170</v>
      </c>
      <c r="C1636" s="19" t="s">
        <v>117</v>
      </c>
      <c r="D1636" s="20"/>
      <c r="E1636" s="20"/>
      <c r="F1636" s="21" t="n">
        <f aca="false">'📋 Matches'!E52</f>
        <v>0</v>
      </c>
      <c r="G1636" s="21" t="n">
        <f aca="false">'📋 Matches'!F52</f>
        <v>0</v>
      </c>
      <c r="H1636" s="24" t="s">
        <v>148</v>
      </c>
      <c r="I1636" s="24" t="s">
        <v>148</v>
      </c>
      <c r="J1636" s="24" t="s">
        <v>148</v>
      </c>
      <c r="K1636" s="24" t="s">
        <v>148</v>
      </c>
      <c r="L1636" s="24" t="s">
        <v>148</v>
      </c>
    </row>
    <row r="1637" customFormat="false" ht="18" hidden="false" customHeight="true" outlineLevel="0" collapsed="false">
      <c r="A1637" s="17" t="s">
        <v>114</v>
      </c>
      <c r="B1637" s="18" t="s">
        <v>170</v>
      </c>
      <c r="C1637" s="19" t="s">
        <v>118</v>
      </c>
      <c r="D1637" s="20"/>
      <c r="E1637" s="20"/>
      <c r="F1637" s="21" t="n">
        <f aca="false">'📋 Matches'!E53</f>
        <v>0</v>
      </c>
      <c r="G1637" s="21" t="n">
        <f aca="false">'📋 Matches'!F53</f>
        <v>0</v>
      </c>
      <c r="H1637" s="24" t="s">
        <v>148</v>
      </c>
      <c r="I1637" s="24" t="s">
        <v>148</v>
      </c>
      <c r="J1637" s="24" t="s">
        <v>148</v>
      </c>
      <c r="K1637" s="24" t="s">
        <v>148</v>
      </c>
      <c r="L1637" s="24" t="s">
        <v>148</v>
      </c>
    </row>
    <row r="1638" customFormat="false" ht="18" hidden="false" customHeight="true" outlineLevel="0" collapsed="false">
      <c r="A1638" s="17" t="s">
        <v>114</v>
      </c>
      <c r="B1638" s="18" t="s">
        <v>170</v>
      </c>
      <c r="C1638" s="19" t="s">
        <v>119</v>
      </c>
      <c r="D1638" s="20"/>
      <c r="E1638" s="20"/>
      <c r="F1638" s="21" t="n">
        <f aca="false">'📋 Matches'!E54</f>
        <v>0</v>
      </c>
      <c r="G1638" s="21" t="n">
        <f aca="false">'📋 Matches'!F54</f>
        <v>0</v>
      </c>
      <c r="H1638" s="24" t="s">
        <v>148</v>
      </c>
      <c r="I1638" s="24" t="s">
        <v>148</v>
      </c>
      <c r="J1638" s="24" t="s">
        <v>148</v>
      </c>
      <c r="K1638" s="24" t="s">
        <v>148</v>
      </c>
      <c r="L1638" s="24" t="s">
        <v>148</v>
      </c>
    </row>
    <row r="1639" customFormat="false" ht="18" hidden="false" customHeight="true" outlineLevel="0" collapsed="false">
      <c r="A1639" s="17" t="s">
        <v>114</v>
      </c>
      <c r="B1639" s="18" t="s">
        <v>170</v>
      </c>
      <c r="C1639" s="19" t="s">
        <v>120</v>
      </c>
      <c r="D1639" s="20"/>
      <c r="E1639" s="20"/>
      <c r="F1639" s="21" t="n">
        <f aca="false">'📋 Matches'!E55</f>
        <v>0</v>
      </c>
      <c r="G1639" s="21" t="n">
        <f aca="false">'📋 Matches'!F55</f>
        <v>0</v>
      </c>
      <c r="H1639" s="24" t="s">
        <v>148</v>
      </c>
      <c r="I1639" s="24" t="s">
        <v>148</v>
      </c>
      <c r="J1639" s="24" t="s">
        <v>148</v>
      </c>
      <c r="K1639" s="24" t="s">
        <v>148</v>
      </c>
      <c r="L1639" s="24" t="s">
        <v>148</v>
      </c>
    </row>
    <row r="1640" customFormat="false" ht="18" hidden="false" customHeight="true" outlineLevel="0" collapsed="false">
      <c r="A1640" s="17" t="s">
        <v>114</v>
      </c>
      <c r="B1640" s="18" t="s">
        <v>170</v>
      </c>
      <c r="C1640" s="19" t="s">
        <v>121</v>
      </c>
      <c r="D1640" s="20"/>
      <c r="E1640" s="20"/>
      <c r="F1640" s="21" t="n">
        <f aca="false">'📋 Matches'!E56</f>
        <v>0</v>
      </c>
      <c r="G1640" s="21" t="n">
        <f aca="false">'📋 Matches'!F56</f>
        <v>0</v>
      </c>
      <c r="H1640" s="24" t="s">
        <v>148</v>
      </c>
      <c r="I1640" s="24" t="s">
        <v>148</v>
      </c>
      <c r="J1640" s="24" t="s">
        <v>148</v>
      </c>
      <c r="K1640" s="24" t="s">
        <v>148</v>
      </c>
      <c r="L1640" s="24" t="s">
        <v>148</v>
      </c>
    </row>
    <row r="1641" customFormat="false" ht="18" hidden="false" customHeight="true" outlineLevel="0" collapsed="false">
      <c r="A1641" s="17" t="s">
        <v>114</v>
      </c>
      <c r="B1641" s="18" t="s">
        <v>170</v>
      </c>
      <c r="C1641" s="19" t="s">
        <v>122</v>
      </c>
      <c r="D1641" s="20"/>
      <c r="E1641" s="20"/>
      <c r="F1641" s="21" t="n">
        <f aca="false">'📋 Matches'!E57</f>
        <v>0</v>
      </c>
      <c r="G1641" s="21" t="n">
        <f aca="false">'📋 Matches'!F57</f>
        <v>0</v>
      </c>
      <c r="H1641" s="24" t="s">
        <v>148</v>
      </c>
      <c r="I1641" s="24" t="s">
        <v>148</v>
      </c>
      <c r="J1641" s="24" t="s">
        <v>148</v>
      </c>
      <c r="K1641" s="24" t="s">
        <v>148</v>
      </c>
      <c r="L1641" s="24" t="s">
        <v>148</v>
      </c>
    </row>
    <row r="1642" customFormat="false" ht="18" hidden="false" customHeight="true" outlineLevel="0" collapsed="false">
      <c r="A1642" s="17" t="s">
        <v>114</v>
      </c>
      <c r="B1642" s="18" t="s">
        <v>170</v>
      </c>
      <c r="C1642" s="19" t="s">
        <v>123</v>
      </c>
      <c r="D1642" s="20"/>
      <c r="E1642" s="20"/>
      <c r="F1642" s="21" t="n">
        <f aca="false">'📋 Matches'!E58</f>
        <v>0</v>
      </c>
      <c r="G1642" s="21" t="n">
        <f aca="false">'📋 Matches'!F58</f>
        <v>0</v>
      </c>
      <c r="H1642" s="24" t="s">
        <v>148</v>
      </c>
      <c r="I1642" s="24" t="s">
        <v>148</v>
      </c>
      <c r="J1642" s="24" t="s">
        <v>148</v>
      </c>
      <c r="K1642" s="24" t="s">
        <v>148</v>
      </c>
      <c r="L1642" s="24" t="s">
        <v>148</v>
      </c>
    </row>
    <row r="1643" customFormat="false" ht="18" hidden="false" customHeight="true" outlineLevel="0" collapsed="false">
      <c r="A1643" s="17" t="s">
        <v>114</v>
      </c>
      <c r="B1643" s="18" t="s">
        <v>170</v>
      </c>
      <c r="C1643" s="19" t="s">
        <v>124</v>
      </c>
      <c r="D1643" s="20"/>
      <c r="E1643" s="20"/>
      <c r="F1643" s="21" t="n">
        <f aca="false">'📋 Matches'!E59</f>
        <v>0</v>
      </c>
      <c r="G1643" s="21" t="n">
        <f aca="false">'📋 Matches'!F59</f>
        <v>0</v>
      </c>
      <c r="H1643" s="24" t="s">
        <v>148</v>
      </c>
      <c r="I1643" s="24" t="s">
        <v>148</v>
      </c>
      <c r="J1643" s="24" t="s">
        <v>148</v>
      </c>
      <c r="K1643" s="24" t="s">
        <v>148</v>
      </c>
      <c r="L1643" s="24" t="s">
        <v>148</v>
      </c>
    </row>
    <row r="1644" customFormat="false" ht="18" hidden="false" customHeight="true" outlineLevel="0" collapsed="false">
      <c r="A1644" s="17" t="s">
        <v>114</v>
      </c>
      <c r="B1644" s="18" t="s">
        <v>170</v>
      </c>
      <c r="C1644" s="19" t="s">
        <v>125</v>
      </c>
      <c r="D1644" s="20"/>
      <c r="E1644" s="20"/>
      <c r="F1644" s="21" t="n">
        <f aca="false">'📋 Matches'!E60</f>
        <v>0</v>
      </c>
      <c r="G1644" s="21" t="n">
        <f aca="false">'📋 Matches'!F60</f>
        <v>0</v>
      </c>
      <c r="H1644" s="24" t="s">
        <v>148</v>
      </c>
      <c r="I1644" s="24" t="s">
        <v>148</v>
      </c>
      <c r="J1644" s="24" t="s">
        <v>148</v>
      </c>
      <c r="K1644" s="24" t="s">
        <v>148</v>
      </c>
      <c r="L1644" s="24" t="s">
        <v>148</v>
      </c>
    </row>
    <row r="1645" customFormat="false" ht="18" hidden="false" customHeight="true" outlineLevel="0" collapsed="false">
      <c r="A1645" s="17" t="s">
        <v>114</v>
      </c>
      <c r="B1645" s="18" t="s">
        <v>170</v>
      </c>
      <c r="C1645" s="19" t="s">
        <v>126</v>
      </c>
      <c r="D1645" s="20"/>
      <c r="E1645" s="20"/>
      <c r="F1645" s="21" t="n">
        <f aca="false">'📋 Matches'!E61</f>
        <v>0</v>
      </c>
      <c r="G1645" s="21" t="n">
        <f aca="false">'📋 Matches'!F61</f>
        <v>0</v>
      </c>
      <c r="H1645" s="24" t="s">
        <v>148</v>
      </c>
      <c r="I1645" s="24" t="s">
        <v>148</v>
      </c>
      <c r="J1645" s="24" t="s">
        <v>148</v>
      </c>
      <c r="K1645" s="24" t="s">
        <v>148</v>
      </c>
      <c r="L1645" s="24" t="s">
        <v>148</v>
      </c>
    </row>
    <row r="1646" customFormat="false" ht="18" hidden="false" customHeight="true" outlineLevel="0" collapsed="false">
      <c r="A1646" s="17" t="s">
        <v>114</v>
      </c>
      <c r="B1646" s="18" t="s">
        <v>170</v>
      </c>
      <c r="C1646" s="19" t="s">
        <v>127</v>
      </c>
      <c r="D1646" s="20"/>
      <c r="E1646" s="20"/>
      <c r="F1646" s="21" t="n">
        <f aca="false">'📋 Matches'!E62</f>
        <v>0</v>
      </c>
      <c r="G1646" s="21" t="n">
        <f aca="false">'📋 Matches'!F62</f>
        <v>0</v>
      </c>
      <c r="H1646" s="24" t="s">
        <v>148</v>
      </c>
      <c r="I1646" s="24" t="s">
        <v>148</v>
      </c>
      <c r="J1646" s="24" t="s">
        <v>148</v>
      </c>
      <c r="K1646" s="24" t="s">
        <v>148</v>
      </c>
      <c r="L1646" s="24" t="s">
        <v>148</v>
      </c>
    </row>
    <row r="1647" customFormat="false" ht="18" hidden="false" customHeight="true" outlineLevel="0" collapsed="false">
      <c r="A1647" s="17" t="s">
        <v>114</v>
      </c>
      <c r="B1647" s="18" t="s">
        <v>170</v>
      </c>
      <c r="C1647" s="19" t="s">
        <v>128</v>
      </c>
      <c r="D1647" s="20"/>
      <c r="E1647" s="20"/>
      <c r="F1647" s="21" t="n">
        <f aca="false">'📋 Matches'!E63</f>
        <v>0</v>
      </c>
      <c r="G1647" s="21" t="n">
        <f aca="false">'📋 Matches'!F63</f>
        <v>0</v>
      </c>
      <c r="H1647" s="24" t="s">
        <v>148</v>
      </c>
      <c r="I1647" s="24" t="s">
        <v>148</v>
      </c>
      <c r="J1647" s="24" t="s">
        <v>148</v>
      </c>
      <c r="K1647" s="24" t="s">
        <v>148</v>
      </c>
      <c r="L1647" s="24" t="s">
        <v>148</v>
      </c>
    </row>
    <row r="1648" customFormat="false" ht="18" hidden="false" customHeight="true" outlineLevel="0" collapsed="false">
      <c r="A1648" s="17" t="s">
        <v>114</v>
      </c>
      <c r="B1648" s="18" t="s">
        <v>170</v>
      </c>
      <c r="C1648" s="19" t="s">
        <v>129</v>
      </c>
      <c r="D1648" s="20"/>
      <c r="E1648" s="20"/>
      <c r="F1648" s="21" t="n">
        <f aca="false">'📋 Matches'!E64</f>
        <v>0</v>
      </c>
      <c r="G1648" s="21" t="n">
        <f aca="false">'📋 Matches'!F64</f>
        <v>0</v>
      </c>
      <c r="H1648" s="24" t="s">
        <v>148</v>
      </c>
      <c r="I1648" s="24" t="s">
        <v>148</v>
      </c>
      <c r="J1648" s="24" t="s">
        <v>148</v>
      </c>
      <c r="K1648" s="24" t="s">
        <v>148</v>
      </c>
      <c r="L1648" s="24" t="s">
        <v>148</v>
      </c>
    </row>
    <row r="1649" customFormat="false" ht="18" hidden="false" customHeight="true" outlineLevel="0" collapsed="false">
      <c r="A1649" s="17" t="s">
        <v>114</v>
      </c>
      <c r="B1649" s="18" t="s">
        <v>170</v>
      </c>
      <c r="C1649" s="19" t="s">
        <v>130</v>
      </c>
      <c r="D1649" s="20"/>
      <c r="E1649" s="20"/>
      <c r="F1649" s="21" t="n">
        <f aca="false">'📋 Matches'!E65</f>
        <v>0</v>
      </c>
      <c r="G1649" s="21" t="n">
        <f aca="false">'📋 Matches'!F65</f>
        <v>0</v>
      </c>
      <c r="H1649" s="24" t="s">
        <v>148</v>
      </c>
      <c r="I1649" s="24" t="s">
        <v>148</v>
      </c>
      <c r="J1649" s="24" t="s">
        <v>148</v>
      </c>
      <c r="K1649" s="24" t="s">
        <v>148</v>
      </c>
      <c r="L1649" s="24" t="s">
        <v>148</v>
      </c>
    </row>
    <row r="1650" customFormat="false" ht="18" hidden="false" customHeight="true" outlineLevel="0" collapsed="false">
      <c r="A1650" s="17" t="s">
        <v>114</v>
      </c>
      <c r="B1650" s="18" t="s">
        <v>170</v>
      </c>
      <c r="C1650" s="19" t="s">
        <v>131</v>
      </c>
      <c r="D1650" s="20"/>
      <c r="E1650" s="20"/>
      <c r="F1650" s="21" t="n">
        <f aca="false">'📋 Matches'!E66</f>
        <v>0</v>
      </c>
      <c r="G1650" s="21" t="n">
        <f aca="false">'📋 Matches'!F66</f>
        <v>0</v>
      </c>
      <c r="H1650" s="24" t="s">
        <v>148</v>
      </c>
      <c r="I1650" s="24" t="s">
        <v>148</v>
      </c>
      <c r="J1650" s="24" t="s">
        <v>148</v>
      </c>
      <c r="K1650" s="24" t="s">
        <v>148</v>
      </c>
      <c r="L1650" s="24" t="s">
        <v>148</v>
      </c>
    </row>
    <row r="1651" customFormat="false" ht="18" hidden="false" customHeight="true" outlineLevel="0" collapsed="false">
      <c r="A1651" s="17" t="s">
        <v>114</v>
      </c>
      <c r="B1651" s="18" t="s">
        <v>170</v>
      </c>
      <c r="C1651" s="19" t="s">
        <v>132</v>
      </c>
      <c r="D1651" s="20"/>
      <c r="E1651" s="20"/>
      <c r="F1651" s="21" t="n">
        <f aca="false">'📋 Matches'!E67</f>
        <v>0</v>
      </c>
      <c r="G1651" s="21" t="n">
        <f aca="false">'📋 Matches'!F67</f>
        <v>0</v>
      </c>
      <c r="H1651" s="24" t="s">
        <v>148</v>
      </c>
      <c r="I1651" s="24" t="s">
        <v>148</v>
      </c>
      <c r="J1651" s="24" t="s">
        <v>148</v>
      </c>
      <c r="K1651" s="24" t="s">
        <v>148</v>
      </c>
      <c r="L1651" s="24" t="s">
        <v>148</v>
      </c>
    </row>
    <row r="1652" customFormat="false" ht="18" hidden="false" customHeight="true" outlineLevel="0" collapsed="false">
      <c r="A1652" s="17" t="s">
        <v>114</v>
      </c>
      <c r="B1652" s="18" t="s">
        <v>170</v>
      </c>
      <c r="C1652" s="19" t="s">
        <v>133</v>
      </c>
      <c r="D1652" s="20"/>
      <c r="E1652" s="20"/>
      <c r="F1652" s="21" t="n">
        <f aca="false">'📋 Matches'!E68</f>
        <v>0</v>
      </c>
      <c r="G1652" s="21" t="n">
        <f aca="false">'📋 Matches'!F68</f>
        <v>0</v>
      </c>
      <c r="H1652" s="24" t="s">
        <v>148</v>
      </c>
      <c r="I1652" s="24" t="s">
        <v>148</v>
      </c>
      <c r="J1652" s="24" t="s">
        <v>148</v>
      </c>
      <c r="K1652" s="24" t="s">
        <v>148</v>
      </c>
      <c r="L1652" s="24" t="s">
        <v>148</v>
      </c>
    </row>
    <row r="1653" customFormat="false" ht="18" hidden="false" customHeight="true" outlineLevel="0" collapsed="false">
      <c r="A1653" s="17" t="s">
        <v>114</v>
      </c>
      <c r="B1653" s="18" t="s">
        <v>170</v>
      </c>
      <c r="C1653" s="19" t="s">
        <v>134</v>
      </c>
      <c r="D1653" s="20"/>
      <c r="E1653" s="20"/>
      <c r="F1653" s="21" t="n">
        <f aca="false">'📋 Matches'!E69</f>
        <v>0</v>
      </c>
      <c r="G1653" s="21" t="n">
        <f aca="false">'📋 Matches'!F69</f>
        <v>0</v>
      </c>
      <c r="H1653" s="24" t="s">
        <v>148</v>
      </c>
      <c r="I1653" s="24" t="s">
        <v>148</v>
      </c>
      <c r="J1653" s="24" t="s">
        <v>148</v>
      </c>
      <c r="K1653" s="24" t="s">
        <v>148</v>
      </c>
      <c r="L1653" s="24" t="s">
        <v>148</v>
      </c>
    </row>
    <row r="1654" customFormat="false" ht="18" hidden="false" customHeight="true" outlineLevel="0" collapsed="false">
      <c r="A1654" s="17" t="s">
        <v>114</v>
      </c>
      <c r="B1654" s="18" t="s">
        <v>170</v>
      </c>
      <c r="C1654" s="19" t="s">
        <v>135</v>
      </c>
      <c r="D1654" s="20"/>
      <c r="E1654" s="20"/>
      <c r="F1654" s="21" t="n">
        <f aca="false">'📋 Matches'!E70</f>
        <v>0</v>
      </c>
      <c r="G1654" s="21" t="n">
        <f aca="false">'📋 Matches'!F70</f>
        <v>0</v>
      </c>
      <c r="H1654" s="24" t="s">
        <v>148</v>
      </c>
      <c r="I1654" s="24" t="s">
        <v>148</v>
      </c>
      <c r="J1654" s="24" t="s">
        <v>148</v>
      </c>
      <c r="K1654" s="24" t="s">
        <v>148</v>
      </c>
      <c r="L1654" s="24" t="s">
        <v>148</v>
      </c>
    </row>
    <row r="1655" customFormat="false" ht="18" hidden="false" customHeight="true" outlineLevel="0" collapsed="false">
      <c r="A1655" s="17" t="s">
        <v>114</v>
      </c>
      <c r="B1655" s="18" t="s">
        <v>170</v>
      </c>
      <c r="C1655" s="19" t="s">
        <v>136</v>
      </c>
      <c r="D1655" s="20"/>
      <c r="E1655" s="20"/>
      <c r="F1655" s="21" t="n">
        <f aca="false">'📋 Matches'!E71</f>
        <v>0</v>
      </c>
      <c r="G1655" s="21" t="n">
        <f aca="false">'📋 Matches'!F71</f>
        <v>0</v>
      </c>
      <c r="H1655" s="24" t="s">
        <v>148</v>
      </c>
      <c r="I1655" s="24" t="s">
        <v>148</v>
      </c>
      <c r="J1655" s="24" t="s">
        <v>148</v>
      </c>
      <c r="K1655" s="24" t="s">
        <v>148</v>
      </c>
      <c r="L1655" s="24" t="s">
        <v>148</v>
      </c>
    </row>
    <row r="1656" customFormat="false" ht="18" hidden="false" customHeight="true" outlineLevel="0" collapsed="false">
      <c r="A1656" s="17" t="s">
        <v>114</v>
      </c>
      <c r="B1656" s="18" t="s">
        <v>170</v>
      </c>
      <c r="C1656" s="19" t="s">
        <v>137</v>
      </c>
      <c r="D1656" s="20"/>
      <c r="E1656" s="20"/>
      <c r="F1656" s="21" t="n">
        <f aca="false">'📋 Matches'!E72</f>
        <v>0</v>
      </c>
      <c r="G1656" s="21" t="n">
        <f aca="false">'📋 Matches'!F72</f>
        <v>0</v>
      </c>
      <c r="H1656" s="24" t="s">
        <v>148</v>
      </c>
      <c r="I1656" s="24" t="s">
        <v>148</v>
      </c>
      <c r="J1656" s="24" t="s">
        <v>148</v>
      </c>
      <c r="K1656" s="24" t="s">
        <v>148</v>
      </c>
      <c r="L1656" s="24" t="s">
        <v>148</v>
      </c>
    </row>
    <row r="1657" customFormat="false" ht="18" hidden="false" customHeight="true" outlineLevel="0" collapsed="false">
      <c r="A1657" s="17" t="s">
        <v>114</v>
      </c>
      <c r="B1657" s="18" t="s">
        <v>170</v>
      </c>
      <c r="C1657" s="19" t="s">
        <v>138</v>
      </c>
      <c r="D1657" s="20"/>
      <c r="E1657" s="20"/>
      <c r="F1657" s="21" t="n">
        <f aca="false">'📋 Matches'!E73</f>
        <v>0</v>
      </c>
      <c r="G1657" s="21" t="n">
        <f aca="false">'📋 Matches'!F73</f>
        <v>0</v>
      </c>
      <c r="H1657" s="24" t="s">
        <v>148</v>
      </c>
      <c r="I1657" s="24" t="s">
        <v>148</v>
      </c>
      <c r="J1657" s="24" t="s">
        <v>148</v>
      </c>
      <c r="K1657" s="24" t="s">
        <v>148</v>
      </c>
      <c r="L1657" s="24" t="s">
        <v>148</v>
      </c>
    </row>
    <row r="1658" customFormat="false" ht="18" hidden="false" customHeight="true" outlineLevel="0" collapsed="false">
      <c r="A1658" s="25" t="s">
        <v>9</v>
      </c>
      <c r="B1658" s="26" t="s">
        <v>171</v>
      </c>
      <c r="C1658" s="27" t="s">
        <v>10</v>
      </c>
      <c r="D1658" s="28" t="n">
        <v>2</v>
      </c>
      <c r="E1658" s="28" t="n">
        <v>0</v>
      </c>
      <c r="F1658" s="29" t="n">
        <f aca="false">'📋 Matches'!E2</f>
        <v>2</v>
      </c>
      <c r="G1658" s="29" t="n">
        <f aca="false">'📋 Matches'!F2</f>
        <v>0</v>
      </c>
      <c r="H1658" s="22" t="n">
        <f aca="false">IF(AND(ISNUMBER(F1658),ISNUMBER(G1658)),IF(SIGN(D1658-E1658)=SIGN(F1658-G1658),48,0),"")</f>
        <v>48</v>
      </c>
      <c r="I1658" s="22" t="n">
        <f aca="false">IF(AND(ISNUMBER(F1658),ISNUMBER(G1658)),IF(D1658=F1658,15,0),"")</f>
        <v>15</v>
      </c>
      <c r="J1658" s="22" t="n">
        <f aca="false">IF(AND(ISNUMBER(F1658),ISNUMBER(G1658)),IF(E1658=G1658,15,0),"")</f>
        <v>15</v>
      </c>
      <c r="K1658" s="22" t="n">
        <f aca="false">IF(AND(ISNUMBER(F1658),ISNUMBER(G1658)),IF(ABS(D1658-E1658)=ABS(F1658-G1658),12,0),"")</f>
        <v>12</v>
      </c>
      <c r="L1658" s="23" t="n">
        <f aca="false">IF(ISNUMBER(H1658),H1658+I1658+J1658+K1658,"")</f>
        <v>90</v>
      </c>
    </row>
    <row r="1659" customFormat="false" ht="18" hidden="false" customHeight="true" outlineLevel="0" collapsed="false">
      <c r="A1659" s="25" t="s">
        <v>9</v>
      </c>
      <c r="B1659" s="26" t="s">
        <v>171</v>
      </c>
      <c r="C1659" s="27" t="s">
        <v>14</v>
      </c>
      <c r="D1659" s="28" t="n">
        <v>1</v>
      </c>
      <c r="E1659" s="28" t="n">
        <v>1</v>
      </c>
      <c r="F1659" s="29" t="n">
        <f aca="false">'📋 Matches'!E3</f>
        <v>2</v>
      </c>
      <c r="G1659" s="29" t="n">
        <f aca="false">'📋 Matches'!F3</f>
        <v>1</v>
      </c>
      <c r="H1659" s="22" t="n">
        <f aca="false">IF(AND(ISNUMBER(F1659),ISNUMBER(G1659)),IF(SIGN(D1659-E1659)=SIGN(F1659-G1659),48,0),"")</f>
        <v>0</v>
      </c>
      <c r="I1659" s="22" t="n">
        <f aca="false">IF(AND(ISNUMBER(F1659),ISNUMBER(G1659)),IF(D1659=F1659,15,0),"")</f>
        <v>0</v>
      </c>
      <c r="J1659" s="22" t="n">
        <f aca="false">IF(AND(ISNUMBER(F1659),ISNUMBER(G1659)),IF(E1659=G1659,15,0),"")</f>
        <v>15</v>
      </c>
      <c r="K1659" s="22" t="n">
        <f aca="false">IF(AND(ISNUMBER(F1659),ISNUMBER(G1659)),IF(ABS(D1659-E1659)=ABS(F1659-G1659),12,0),"")</f>
        <v>0</v>
      </c>
      <c r="L1659" s="23" t="n">
        <f aca="false">IF(ISNUMBER(H1659),H1659+I1659+J1659+K1659,"")</f>
        <v>15</v>
      </c>
    </row>
    <row r="1660" customFormat="false" ht="18" hidden="false" customHeight="true" outlineLevel="0" collapsed="false">
      <c r="A1660" s="25" t="s">
        <v>9</v>
      </c>
      <c r="B1660" s="26" t="s">
        <v>171</v>
      </c>
      <c r="C1660" s="27" t="s">
        <v>17</v>
      </c>
      <c r="D1660" s="28" t="n">
        <v>2</v>
      </c>
      <c r="E1660" s="28" t="n">
        <v>1</v>
      </c>
      <c r="F1660" s="29" t="n">
        <f aca="false">'📋 Matches'!E4</f>
        <v>1</v>
      </c>
      <c r="G1660" s="29" t="n">
        <f aca="false">'📋 Matches'!F4</f>
        <v>1</v>
      </c>
      <c r="H1660" s="22" t="n">
        <f aca="false">IF(AND(ISNUMBER(F1660),ISNUMBER(G1660)),IF(SIGN(D1660-E1660)=SIGN(F1660-G1660),48,0),"")</f>
        <v>0</v>
      </c>
      <c r="I1660" s="22" t="n">
        <f aca="false">IF(AND(ISNUMBER(F1660),ISNUMBER(G1660)),IF(D1660=F1660,15,0),"")</f>
        <v>0</v>
      </c>
      <c r="J1660" s="22" t="n">
        <f aca="false">IF(AND(ISNUMBER(F1660),ISNUMBER(G1660)),IF(E1660=G1660,15,0),"")</f>
        <v>15</v>
      </c>
      <c r="K1660" s="22" t="n">
        <f aca="false">IF(AND(ISNUMBER(F1660),ISNUMBER(G1660)),IF(ABS(D1660-E1660)=ABS(F1660-G1660),12,0),"")</f>
        <v>0</v>
      </c>
      <c r="L1660" s="23" t="n">
        <f aca="false">IF(ISNUMBER(H1660),H1660+I1660+J1660+K1660,"")</f>
        <v>15</v>
      </c>
    </row>
    <row r="1661" customFormat="false" ht="18" hidden="false" customHeight="true" outlineLevel="0" collapsed="false">
      <c r="A1661" s="25" t="s">
        <v>9</v>
      </c>
      <c r="B1661" s="26" t="s">
        <v>171</v>
      </c>
      <c r="C1661" s="27" t="s">
        <v>20</v>
      </c>
      <c r="D1661" s="28" t="n">
        <v>2</v>
      </c>
      <c r="E1661" s="28" t="n">
        <v>0</v>
      </c>
      <c r="F1661" s="29" t="n">
        <f aca="false">'📋 Matches'!E5</f>
        <v>4</v>
      </c>
      <c r="G1661" s="29" t="n">
        <f aca="false">'📋 Matches'!F5</f>
        <v>1</v>
      </c>
      <c r="H1661" s="22" t="n">
        <f aca="false">IF(AND(ISNUMBER(F1661),ISNUMBER(G1661)),IF(SIGN(D1661-E1661)=SIGN(F1661-G1661),48,0),"")</f>
        <v>48</v>
      </c>
      <c r="I1661" s="22" t="n">
        <f aca="false">IF(AND(ISNUMBER(F1661),ISNUMBER(G1661)),IF(D1661=F1661,15,0),"")</f>
        <v>0</v>
      </c>
      <c r="J1661" s="22" t="n">
        <f aca="false">IF(AND(ISNUMBER(F1661),ISNUMBER(G1661)),IF(E1661=G1661,15,0),"")</f>
        <v>0</v>
      </c>
      <c r="K1661" s="22" t="n">
        <f aca="false">IF(AND(ISNUMBER(F1661),ISNUMBER(G1661)),IF(ABS(D1661-E1661)=ABS(F1661-G1661),12,0),"")</f>
        <v>0</v>
      </c>
      <c r="L1661" s="23" t="n">
        <f aca="false">IF(ISNUMBER(H1661),H1661+I1661+J1661+K1661,"")</f>
        <v>48</v>
      </c>
    </row>
    <row r="1662" customFormat="false" ht="18" hidden="false" customHeight="true" outlineLevel="0" collapsed="false">
      <c r="A1662" s="25" t="s">
        <v>9</v>
      </c>
      <c r="B1662" s="26" t="s">
        <v>171</v>
      </c>
      <c r="C1662" s="27" t="s">
        <v>23</v>
      </c>
      <c r="D1662" s="28" t="n">
        <v>1</v>
      </c>
      <c r="E1662" s="28" t="n">
        <v>2</v>
      </c>
      <c r="F1662" s="29" t="n">
        <f aca="false">'📋 Matches'!E6</f>
        <v>0</v>
      </c>
      <c r="G1662" s="29" t="n">
        <f aca="false">'📋 Matches'!F6</f>
        <v>0</v>
      </c>
      <c r="H1662" s="22" t="str">
        <f aca="false">IF(AND(ISNUMBER(F1662),ISNUMBER(G1662)),IF(SIGN(D1662-E1662)=SIGN(F1662-G1662),48,0),"")</f>
        <v/>
      </c>
      <c r="I1662" s="22" t="str">
        <f aca="false">IF(AND(ISNUMBER(F1662),ISNUMBER(G1662)),IF(D1662=F1662,15,0),"")</f>
        <v/>
      </c>
      <c r="J1662" s="22" t="str">
        <f aca="false">IF(AND(ISNUMBER(F1662),ISNUMBER(G1662)),IF(E1662=G1662,15,0),"")</f>
        <v/>
      </c>
      <c r="K1662" s="22" t="str">
        <f aca="false">IF(AND(ISNUMBER(F1662),ISNUMBER(G1662)),IF(ABS(D1662-E1662)=ABS(F1662-G1662),12,0),"")</f>
        <v/>
      </c>
      <c r="L1662" s="23" t="str">
        <f aca="false">IF(ISNUMBER(H1662),H1662+I1662+J1662+K1662,"")</f>
        <v/>
      </c>
    </row>
    <row r="1663" customFormat="false" ht="18" hidden="false" customHeight="true" outlineLevel="0" collapsed="false">
      <c r="A1663" s="25" t="s">
        <v>9</v>
      </c>
      <c r="B1663" s="26" t="s">
        <v>171</v>
      </c>
      <c r="C1663" s="27" t="s">
        <v>27</v>
      </c>
      <c r="D1663" s="28" t="n">
        <v>1</v>
      </c>
      <c r="E1663" s="28" t="n">
        <v>2</v>
      </c>
      <c r="F1663" s="29" t="n">
        <f aca="false">'📋 Matches'!E7</f>
        <v>0</v>
      </c>
      <c r="G1663" s="29" t="n">
        <f aca="false">'📋 Matches'!F7</f>
        <v>0</v>
      </c>
      <c r="H1663" s="22" t="str">
        <f aca="false">IF(AND(ISNUMBER(F1663),ISNUMBER(G1663)),IF(SIGN(D1663-E1663)=SIGN(F1663-G1663),48,0),"")</f>
        <v/>
      </c>
      <c r="I1663" s="22" t="str">
        <f aca="false">IF(AND(ISNUMBER(F1663),ISNUMBER(G1663)),IF(D1663=F1663,15,0),"")</f>
        <v/>
      </c>
      <c r="J1663" s="22" t="str">
        <f aca="false">IF(AND(ISNUMBER(F1663),ISNUMBER(G1663)),IF(E1663=G1663,15,0),"")</f>
        <v/>
      </c>
      <c r="K1663" s="22" t="str">
        <f aca="false">IF(AND(ISNUMBER(F1663),ISNUMBER(G1663)),IF(ABS(D1663-E1663)=ABS(F1663-G1663),12,0),"")</f>
        <v/>
      </c>
      <c r="L1663" s="23" t="str">
        <f aca="false">IF(ISNUMBER(H1663),H1663+I1663+J1663+K1663,"")</f>
        <v/>
      </c>
    </row>
    <row r="1664" customFormat="false" ht="18" hidden="false" customHeight="true" outlineLevel="0" collapsed="false">
      <c r="A1664" s="25" t="s">
        <v>9</v>
      </c>
      <c r="B1664" s="26" t="s">
        <v>171</v>
      </c>
      <c r="C1664" s="27" t="s">
        <v>30</v>
      </c>
      <c r="D1664" s="28" t="n">
        <v>0</v>
      </c>
      <c r="E1664" s="28" t="n">
        <v>2</v>
      </c>
      <c r="F1664" s="29" t="n">
        <f aca="false">'📋 Matches'!E8</f>
        <v>0</v>
      </c>
      <c r="G1664" s="29" t="n">
        <f aca="false">'📋 Matches'!F8</f>
        <v>0</v>
      </c>
      <c r="H1664" s="22" t="str">
        <f aca="false">IF(AND(ISNUMBER(F1664),ISNUMBER(G1664)),IF(SIGN(D1664-E1664)=SIGN(F1664-G1664),48,0),"")</f>
        <v/>
      </c>
      <c r="I1664" s="22" t="str">
        <f aca="false">IF(AND(ISNUMBER(F1664),ISNUMBER(G1664)),IF(D1664=F1664,15,0),"")</f>
        <v/>
      </c>
      <c r="J1664" s="22" t="str">
        <f aca="false">IF(AND(ISNUMBER(F1664),ISNUMBER(G1664)),IF(E1664=G1664,15,0),"")</f>
        <v/>
      </c>
      <c r="K1664" s="22" t="str">
        <f aca="false">IF(AND(ISNUMBER(F1664),ISNUMBER(G1664)),IF(ABS(D1664-E1664)=ABS(F1664-G1664),12,0),"")</f>
        <v/>
      </c>
      <c r="L1664" s="23" t="str">
        <f aca="false">IF(ISNUMBER(H1664),H1664+I1664+J1664+K1664,"")</f>
        <v/>
      </c>
    </row>
    <row r="1665" customFormat="false" ht="18" hidden="false" customHeight="true" outlineLevel="0" collapsed="false">
      <c r="A1665" s="25" t="s">
        <v>9</v>
      </c>
      <c r="B1665" s="26" t="s">
        <v>171</v>
      </c>
      <c r="C1665" s="27" t="s">
        <v>33</v>
      </c>
      <c r="D1665" s="28" t="n">
        <v>1</v>
      </c>
      <c r="E1665" s="28" t="n">
        <v>2</v>
      </c>
      <c r="F1665" s="29" t="n">
        <f aca="false">'📋 Matches'!E9</f>
        <v>0</v>
      </c>
      <c r="G1665" s="29" t="n">
        <f aca="false">'📋 Matches'!F9</f>
        <v>0</v>
      </c>
      <c r="H1665" s="22" t="str">
        <f aca="false">IF(AND(ISNUMBER(F1665),ISNUMBER(G1665)),IF(SIGN(D1665-E1665)=SIGN(F1665-G1665),48,0),"")</f>
        <v/>
      </c>
      <c r="I1665" s="22" t="str">
        <f aca="false">IF(AND(ISNUMBER(F1665),ISNUMBER(G1665)),IF(D1665=F1665,15,0),"")</f>
        <v/>
      </c>
      <c r="J1665" s="22" t="str">
        <f aca="false">IF(AND(ISNUMBER(F1665),ISNUMBER(G1665)),IF(E1665=G1665,15,0),"")</f>
        <v/>
      </c>
      <c r="K1665" s="22" t="str">
        <f aca="false">IF(AND(ISNUMBER(F1665),ISNUMBER(G1665)),IF(ABS(D1665-E1665)=ABS(F1665-G1665),12,0),"")</f>
        <v/>
      </c>
      <c r="L1665" s="23" t="str">
        <f aca="false">IF(ISNUMBER(H1665),H1665+I1665+J1665+K1665,"")</f>
        <v/>
      </c>
    </row>
    <row r="1666" customFormat="false" ht="18" hidden="false" customHeight="true" outlineLevel="0" collapsed="false">
      <c r="A1666" s="25" t="s">
        <v>9</v>
      </c>
      <c r="B1666" s="26" t="s">
        <v>171</v>
      </c>
      <c r="C1666" s="27" t="s">
        <v>36</v>
      </c>
      <c r="D1666" s="28" t="n">
        <v>4</v>
      </c>
      <c r="E1666" s="28" t="n">
        <v>0</v>
      </c>
      <c r="F1666" s="29" t="n">
        <f aca="false">'📋 Matches'!E10</f>
        <v>0</v>
      </c>
      <c r="G1666" s="29" t="n">
        <f aca="false">'📋 Matches'!F10</f>
        <v>0</v>
      </c>
      <c r="H1666" s="22" t="str">
        <f aca="false">IF(AND(ISNUMBER(F1666),ISNUMBER(G1666)),IF(SIGN(D1666-E1666)=SIGN(F1666-G1666),48,0),"")</f>
        <v/>
      </c>
      <c r="I1666" s="22" t="str">
        <f aca="false">IF(AND(ISNUMBER(F1666),ISNUMBER(G1666)),IF(D1666=F1666,15,0),"")</f>
        <v/>
      </c>
      <c r="J1666" s="22" t="str">
        <f aca="false">IF(AND(ISNUMBER(F1666),ISNUMBER(G1666)),IF(E1666=G1666,15,0),"")</f>
        <v/>
      </c>
      <c r="K1666" s="22" t="str">
        <f aca="false">IF(AND(ISNUMBER(F1666),ISNUMBER(G1666)),IF(ABS(D1666-E1666)=ABS(F1666-G1666),12,0),"")</f>
        <v/>
      </c>
      <c r="L1666" s="23" t="str">
        <f aca="false">IF(ISNUMBER(H1666),H1666+I1666+J1666+K1666,"")</f>
        <v/>
      </c>
    </row>
    <row r="1667" customFormat="false" ht="18" hidden="false" customHeight="true" outlineLevel="0" collapsed="false">
      <c r="A1667" s="25" t="s">
        <v>9</v>
      </c>
      <c r="B1667" s="26" t="s">
        <v>171</v>
      </c>
      <c r="C1667" s="27" t="s">
        <v>39</v>
      </c>
      <c r="D1667" s="28" t="n">
        <v>2</v>
      </c>
      <c r="E1667" s="28" t="n">
        <v>1</v>
      </c>
      <c r="F1667" s="29" t="n">
        <f aca="false">'📋 Matches'!E11</f>
        <v>0</v>
      </c>
      <c r="G1667" s="29" t="n">
        <f aca="false">'📋 Matches'!F11</f>
        <v>0</v>
      </c>
      <c r="H1667" s="22" t="str">
        <f aca="false">IF(AND(ISNUMBER(F1667),ISNUMBER(G1667)),IF(SIGN(D1667-E1667)=SIGN(F1667-G1667),48,0),"")</f>
        <v/>
      </c>
      <c r="I1667" s="22" t="str">
        <f aca="false">IF(AND(ISNUMBER(F1667),ISNUMBER(G1667)),IF(D1667=F1667,15,0),"")</f>
        <v/>
      </c>
      <c r="J1667" s="22" t="str">
        <f aca="false">IF(AND(ISNUMBER(F1667),ISNUMBER(G1667)),IF(E1667=G1667,15,0),"")</f>
        <v/>
      </c>
      <c r="K1667" s="22" t="str">
        <f aca="false">IF(AND(ISNUMBER(F1667),ISNUMBER(G1667)),IF(ABS(D1667-E1667)=ABS(F1667-G1667),12,0),"")</f>
        <v/>
      </c>
      <c r="L1667" s="23" t="str">
        <f aca="false">IF(ISNUMBER(H1667),H1667+I1667+J1667+K1667,"")</f>
        <v/>
      </c>
    </row>
    <row r="1668" customFormat="false" ht="18" hidden="false" customHeight="true" outlineLevel="0" collapsed="false">
      <c r="A1668" s="25" t="s">
        <v>9</v>
      </c>
      <c r="B1668" s="26" t="s">
        <v>171</v>
      </c>
      <c r="C1668" s="27" t="s">
        <v>42</v>
      </c>
      <c r="D1668" s="28" t="n">
        <v>1</v>
      </c>
      <c r="E1668" s="28" t="n">
        <v>1</v>
      </c>
      <c r="F1668" s="29" t="n">
        <f aca="false">'📋 Matches'!E12</f>
        <v>0</v>
      </c>
      <c r="G1668" s="29" t="n">
        <f aca="false">'📋 Matches'!F12</f>
        <v>0</v>
      </c>
      <c r="H1668" s="22" t="str">
        <f aca="false">IF(AND(ISNUMBER(F1668),ISNUMBER(G1668)),IF(SIGN(D1668-E1668)=SIGN(F1668-G1668),48,0),"")</f>
        <v/>
      </c>
      <c r="I1668" s="22" t="str">
        <f aca="false">IF(AND(ISNUMBER(F1668),ISNUMBER(G1668)),IF(D1668=F1668,15,0),"")</f>
        <v/>
      </c>
      <c r="J1668" s="22" t="str">
        <f aca="false">IF(AND(ISNUMBER(F1668),ISNUMBER(G1668)),IF(E1668=G1668,15,0),"")</f>
        <v/>
      </c>
      <c r="K1668" s="22" t="str">
        <f aca="false">IF(AND(ISNUMBER(F1668),ISNUMBER(G1668)),IF(ABS(D1668-E1668)=ABS(F1668-G1668),12,0),"")</f>
        <v/>
      </c>
      <c r="L1668" s="23" t="str">
        <f aca="false">IF(ISNUMBER(H1668),H1668+I1668+J1668+K1668,"")</f>
        <v/>
      </c>
    </row>
    <row r="1669" customFormat="false" ht="18" hidden="false" customHeight="true" outlineLevel="0" collapsed="false">
      <c r="A1669" s="25" t="s">
        <v>9</v>
      </c>
      <c r="B1669" s="26" t="s">
        <v>171</v>
      </c>
      <c r="C1669" s="27" t="s">
        <v>45</v>
      </c>
      <c r="D1669" s="28" t="n">
        <v>1</v>
      </c>
      <c r="E1669" s="28" t="n">
        <v>0</v>
      </c>
      <c r="F1669" s="29" t="n">
        <f aca="false">'📋 Matches'!E13</f>
        <v>0</v>
      </c>
      <c r="G1669" s="29" t="n">
        <f aca="false">'📋 Matches'!F13</f>
        <v>0</v>
      </c>
      <c r="H1669" s="22" t="str">
        <f aca="false">IF(AND(ISNUMBER(F1669),ISNUMBER(G1669)),IF(SIGN(D1669-E1669)=SIGN(F1669-G1669),48,0),"")</f>
        <v/>
      </c>
      <c r="I1669" s="22" t="str">
        <f aca="false">IF(AND(ISNUMBER(F1669),ISNUMBER(G1669)),IF(D1669=F1669,15,0),"")</f>
        <v/>
      </c>
      <c r="J1669" s="22" t="str">
        <f aca="false">IF(AND(ISNUMBER(F1669),ISNUMBER(G1669)),IF(E1669=G1669,15,0),"")</f>
        <v/>
      </c>
      <c r="K1669" s="22" t="str">
        <f aca="false">IF(AND(ISNUMBER(F1669),ISNUMBER(G1669)),IF(ABS(D1669-E1669)=ABS(F1669-G1669),12,0),"")</f>
        <v/>
      </c>
      <c r="L1669" s="23" t="str">
        <f aca="false">IF(ISNUMBER(H1669),H1669+I1669+J1669+K1669,"")</f>
        <v/>
      </c>
    </row>
    <row r="1670" customFormat="false" ht="18" hidden="false" customHeight="true" outlineLevel="0" collapsed="false">
      <c r="A1670" s="25" t="s">
        <v>9</v>
      </c>
      <c r="B1670" s="26" t="s">
        <v>171</v>
      </c>
      <c r="C1670" s="27" t="s">
        <v>48</v>
      </c>
      <c r="D1670" s="28" t="n">
        <v>3</v>
      </c>
      <c r="E1670" s="28" t="n">
        <v>0</v>
      </c>
      <c r="F1670" s="29" t="n">
        <f aca="false">'📋 Matches'!E14</f>
        <v>0</v>
      </c>
      <c r="G1670" s="29" t="n">
        <f aca="false">'📋 Matches'!F14</f>
        <v>0</v>
      </c>
      <c r="H1670" s="22" t="str">
        <f aca="false">IF(AND(ISNUMBER(F1670),ISNUMBER(G1670)),IF(SIGN(D1670-E1670)=SIGN(F1670-G1670),48,0),"")</f>
        <v/>
      </c>
      <c r="I1670" s="22" t="str">
        <f aca="false">IF(AND(ISNUMBER(F1670),ISNUMBER(G1670)),IF(D1670=F1670,15,0),"")</f>
        <v/>
      </c>
      <c r="J1670" s="22" t="str">
        <f aca="false">IF(AND(ISNUMBER(F1670),ISNUMBER(G1670)),IF(E1670=G1670,15,0),"")</f>
        <v/>
      </c>
      <c r="K1670" s="22" t="str">
        <f aca="false">IF(AND(ISNUMBER(F1670),ISNUMBER(G1670)),IF(ABS(D1670-E1670)=ABS(F1670-G1670),12,0),"")</f>
        <v/>
      </c>
      <c r="L1670" s="23" t="str">
        <f aca="false">IF(ISNUMBER(H1670),H1670+I1670+J1670+K1670,"")</f>
        <v/>
      </c>
    </row>
    <row r="1671" customFormat="false" ht="18" hidden="false" customHeight="true" outlineLevel="0" collapsed="false">
      <c r="A1671" s="25" t="s">
        <v>9</v>
      </c>
      <c r="B1671" s="26" t="s">
        <v>171</v>
      </c>
      <c r="C1671" s="27" t="s">
        <v>51</v>
      </c>
      <c r="D1671" s="28" t="n">
        <v>2</v>
      </c>
      <c r="E1671" s="28" t="n">
        <v>1</v>
      </c>
      <c r="F1671" s="29" t="n">
        <f aca="false">'📋 Matches'!E15</f>
        <v>0</v>
      </c>
      <c r="G1671" s="29" t="n">
        <f aca="false">'📋 Matches'!F15</f>
        <v>0</v>
      </c>
      <c r="H1671" s="22" t="str">
        <f aca="false">IF(AND(ISNUMBER(F1671),ISNUMBER(G1671)),IF(SIGN(D1671-E1671)=SIGN(F1671-G1671),48,0),"")</f>
        <v/>
      </c>
      <c r="I1671" s="22" t="str">
        <f aca="false">IF(AND(ISNUMBER(F1671),ISNUMBER(G1671)),IF(D1671=F1671,15,0),"")</f>
        <v/>
      </c>
      <c r="J1671" s="22" t="str">
        <f aca="false">IF(AND(ISNUMBER(F1671),ISNUMBER(G1671)),IF(E1671=G1671,15,0),"")</f>
        <v/>
      </c>
      <c r="K1671" s="22" t="str">
        <f aca="false">IF(AND(ISNUMBER(F1671),ISNUMBER(G1671)),IF(ABS(D1671-E1671)=ABS(F1671-G1671),12,0),"")</f>
        <v/>
      </c>
      <c r="L1671" s="23" t="str">
        <f aca="false">IF(ISNUMBER(H1671),H1671+I1671+J1671+K1671,"")</f>
        <v/>
      </c>
    </row>
    <row r="1672" customFormat="false" ht="18" hidden="false" customHeight="true" outlineLevel="0" collapsed="false">
      <c r="A1672" s="25" t="s">
        <v>9</v>
      </c>
      <c r="B1672" s="26" t="s">
        <v>171</v>
      </c>
      <c r="C1672" s="27" t="s">
        <v>54</v>
      </c>
      <c r="D1672" s="28" t="n">
        <v>1</v>
      </c>
      <c r="E1672" s="28" t="n">
        <v>2</v>
      </c>
      <c r="F1672" s="29" t="n">
        <f aca="false">'📋 Matches'!E16</f>
        <v>0</v>
      </c>
      <c r="G1672" s="29" t="n">
        <f aca="false">'📋 Matches'!F16</f>
        <v>0</v>
      </c>
      <c r="H1672" s="22" t="str">
        <f aca="false">IF(AND(ISNUMBER(F1672),ISNUMBER(G1672)),IF(SIGN(D1672-E1672)=SIGN(F1672-G1672),48,0),"")</f>
        <v/>
      </c>
      <c r="I1672" s="22" t="str">
        <f aca="false">IF(AND(ISNUMBER(F1672),ISNUMBER(G1672)),IF(D1672=F1672,15,0),"")</f>
        <v/>
      </c>
      <c r="J1672" s="22" t="str">
        <f aca="false">IF(AND(ISNUMBER(F1672),ISNUMBER(G1672)),IF(E1672=G1672,15,0),"")</f>
        <v/>
      </c>
      <c r="K1672" s="22" t="str">
        <f aca="false">IF(AND(ISNUMBER(F1672),ISNUMBER(G1672)),IF(ABS(D1672-E1672)=ABS(F1672-G1672),12,0),"")</f>
        <v/>
      </c>
      <c r="L1672" s="23" t="str">
        <f aca="false">IF(ISNUMBER(H1672),H1672+I1672+J1672+K1672,"")</f>
        <v/>
      </c>
    </row>
    <row r="1673" customFormat="false" ht="18" hidden="false" customHeight="true" outlineLevel="0" collapsed="false">
      <c r="A1673" s="25" t="s">
        <v>9</v>
      </c>
      <c r="B1673" s="26" t="s">
        <v>171</v>
      </c>
      <c r="C1673" s="27" t="s">
        <v>57</v>
      </c>
      <c r="D1673" s="28" t="n">
        <v>1</v>
      </c>
      <c r="E1673" s="28" t="n">
        <v>0</v>
      </c>
      <c r="F1673" s="29" t="n">
        <f aca="false">'📋 Matches'!E17</f>
        <v>0</v>
      </c>
      <c r="G1673" s="29" t="n">
        <f aca="false">'📋 Matches'!F17</f>
        <v>0</v>
      </c>
      <c r="H1673" s="22" t="str">
        <f aca="false">IF(AND(ISNUMBER(F1673),ISNUMBER(G1673)),IF(SIGN(D1673-E1673)=SIGN(F1673-G1673),48,0),"")</f>
        <v/>
      </c>
      <c r="I1673" s="22" t="str">
        <f aca="false">IF(AND(ISNUMBER(F1673),ISNUMBER(G1673)),IF(D1673=F1673,15,0),"")</f>
        <v/>
      </c>
      <c r="J1673" s="22" t="str">
        <f aca="false">IF(AND(ISNUMBER(F1673),ISNUMBER(G1673)),IF(E1673=G1673,15,0),"")</f>
        <v/>
      </c>
      <c r="K1673" s="22" t="str">
        <f aca="false">IF(AND(ISNUMBER(F1673),ISNUMBER(G1673)),IF(ABS(D1673-E1673)=ABS(F1673-G1673),12,0),"")</f>
        <v/>
      </c>
      <c r="L1673" s="23" t="str">
        <f aca="false">IF(ISNUMBER(H1673),H1673+I1673+J1673+K1673,"")</f>
        <v/>
      </c>
    </row>
    <row r="1674" customFormat="false" ht="18" hidden="false" customHeight="true" outlineLevel="0" collapsed="false">
      <c r="A1674" s="25" t="s">
        <v>9</v>
      </c>
      <c r="B1674" s="26" t="s">
        <v>171</v>
      </c>
      <c r="C1674" s="27" t="s">
        <v>60</v>
      </c>
      <c r="D1674" s="28" t="n">
        <v>3</v>
      </c>
      <c r="E1674" s="28" t="n">
        <v>1</v>
      </c>
      <c r="F1674" s="29" t="n">
        <f aca="false">'📋 Matches'!E18</f>
        <v>0</v>
      </c>
      <c r="G1674" s="29" t="n">
        <f aca="false">'📋 Matches'!F18</f>
        <v>0</v>
      </c>
      <c r="H1674" s="22" t="str">
        <f aca="false">IF(AND(ISNUMBER(F1674),ISNUMBER(G1674)),IF(SIGN(D1674-E1674)=SIGN(F1674-G1674),48,0),"")</f>
        <v/>
      </c>
      <c r="I1674" s="22" t="str">
        <f aca="false">IF(AND(ISNUMBER(F1674),ISNUMBER(G1674)),IF(D1674=F1674,15,0),"")</f>
        <v/>
      </c>
      <c r="J1674" s="22" t="str">
        <f aca="false">IF(AND(ISNUMBER(F1674),ISNUMBER(G1674)),IF(E1674=G1674,15,0),"")</f>
        <v/>
      </c>
      <c r="K1674" s="22" t="str">
        <f aca="false">IF(AND(ISNUMBER(F1674),ISNUMBER(G1674)),IF(ABS(D1674-E1674)=ABS(F1674-G1674),12,0),"")</f>
        <v/>
      </c>
      <c r="L1674" s="23" t="str">
        <f aca="false">IF(ISNUMBER(H1674),H1674+I1674+J1674+K1674,"")</f>
        <v/>
      </c>
    </row>
    <row r="1675" customFormat="false" ht="18" hidden="false" customHeight="true" outlineLevel="0" collapsed="false">
      <c r="A1675" s="25" t="s">
        <v>9</v>
      </c>
      <c r="B1675" s="26" t="s">
        <v>171</v>
      </c>
      <c r="C1675" s="27" t="s">
        <v>63</v>
      </c>
      <c r="D1675" s="28" t="n">
        <v>1</v>
      </c>
      <c r="E1675" s="28" t="n">
        <v>2</v>
      </c>
      <c r="F1675" s="29" t="n">
        <f aca="false">'📋 Matches'!E19</f>
        <v>0</v>
      </c>
      <c r="G1675" s="29" t="n">
        <f aca="false">'📋 Matches'!F19</f>
        <v>0</v>
      </c>
      <c r="H1675" s="22" t="str">
        <f aca="false">IF(AND(ISNUMBER(F1675),ISNUMBER(G1675)),IF(SIGN(D1675-E1675)=SIGN(F1675-G1675),48,0),"")</f>
        <v/>
      </c>
      <c r="I1675" s="22" t="str">
        <f aca="false">IF(AND(ISNUMBER(F1675),ISNUMBER(G1675)),IF(D1675=F1675,15,0),"")</f>
        <v/>
      </c>
      <c r="J1675" s="22" t="str">
        <f aca="false">IF(AND(ISNUMBER(F1675),ISNUMBER(G1675)),IF(E1675=G1675,15,0),"")</f>
        <v/>
      </c>
      <c r="K1675" s="22" t="str">
        <f aca="false">IF(AND(ISNUMBER(F1675),ISNUMBER(G1675)),IF(ABS(D1675-E1675)=ABS(F1675-G1675),12,0),"")</f>
        <v/>
      </c>
      <c r="L1675" s="23" t="str">
        <f aca="false">IF(ISNUMBER(H1675),H1675+I1675+J1675+K1675,"")</f>
        <v/>
      </c>
    </row>
    <row r="1676" customFormat="false" ht="18" hidden="false" customHeight="true" outlineLevel="0" collapsed="false">
      <c r="A1676" s="25" t="s">
        <v>9</v>
      </c>
      <c r="B1676" s="26" t="s">
        <v>171</v>
      </c>
      <c r="C1676" s="27" t="s">
        <v>66</v>
      </c>
      <c r="D1676" s="28" t="n">
        <v>3</v>
      </c>
      <c r="E1676" s="28" t="n">
        <v>0</v>
      </c>
      <c r="F1676" s="29" t="n">
        <f aca="false">'📋 Matches'!E20</f>
        <v>0</v>
      </c>
      <c r="G1676" s="29" t="n">
        <f aca="false">'📋 Matches'!F20</f>
        <v>0</v>
      </c>
      <c r="H1676" s="22" t="str">
        <f aca="false">IF(AND(ISNUMBER(F1676),ISNUMBER(G1676)),IF(SIGN(D1676-E1676)=SIGN(F1676-G1676),48,0),"")</f>
        <v/>
      </c>
      <c r="I1676" s="22" t="str">
        <f aca="false">IF(AND(ISNUMBER(F1676),ISNUMBER(G1676)),IF(D1676=F1676,15,0),"")</f>
        <v/>
      </c>
      <c r="J1676" s="22" t="str">
        <f aca="false">IF(AND(ISNUMBER(F1676),ISNUMBER(G1676)),IF(E1676=G1676,15,0),"")</f>
        <v/>
      </c>
      <c r="K1676" s="22" t="str">
        <f aca="false">IF(AND(ISNUMBER(F1676),ISNUMBER(G1676)),IF(ABS(D1676-E1676)=ABS(F1676-G1676),12,0),"")</f>
        <v/>
      </c>
      <c r="L1676" s="23" t="str">
        <f aca="false">IF(ISNUMBER(H1676),H1676+I1676+J1676+K1676,"")</f>
        <v/>
      </c>
    </row>
    <row r="1677" customFormat="false" ht="18" hidden="false" customHeight="true" outlineLevel="0" collapsed="false">
      <c r="A1677" s="25" t="s">
        <v>9</v>
      </c>
      <c r="B1677" s="26" t="s">
        <v>171</v>
      </c>
      <c r="C1677" s="27" t="s">
        <v>69</v>
      </c>
      <c r="D1677" s="28" t="n">
        <v>2</v>
      </c>
      <c r="E1677" s="28" t="n">
        <v>0</v>
      </c>
      <c r="F1677" s="29" t="n">
        <f aca="false">'📋 Matches'!E21</f>
        <v>0</v>
      </c>
      <c r="G1677" s="29" t="n">
        <f aca="false">'📋 Matches'!F21</f>
        <v>0</v>
      </c>
      <c r="H1677" s="22" t="str">
        <f aca="false">IF(AND(ISNUMBER(F1677),ISNUMBER(G1677)),IF(SIGN(D1677-E1677)=SIGN(F1677-G1677),48,0),"")</f>
        <v/>
      </c>
      <c r="I1677" s="22" t="str">
        <f aca="false">IF(AND(ISNUMBER(F1677),ISNUMBER(G1677)),IF(D1677=F1677,15,0),"")</f>
        <v/>
      </c>
      <c r="J1677" s="22" t="str">
        <f aca="false">IF(AND(ISNUMBER(F1677),ISNUMBER(G1677)),IF(E1677=G1677,15,0),"")</f>
        <v/>
      </c>
      <c r="K1677" s="22" t="str">
        <f aca="false">IF(AND(ISNUMBER(F1677),ISNUMBER(G1677)),IF(ABS(D1677-E1677)=ABS(F1677-G1677),12,0),"")</f>
        <v/>
      </c>
      <c r="L1677" s="23" t="str">
        <f aca="false">IF(ISNUMBER(H1677),H1677+I1677+J1677+K1677,"")</f>
        <v/>
      </c>
    </row>
    <row r="1678" customFormat="false" ht="18" hidden="false" customHeight="true" outlineLevel="0" collapsed="false">
      <c r="A1678" s="25" t="s">
        <v>9</v>
      </c>
      <c r="B1678" s="26" t="s">
        <v>171</v>
      </c>
      <c r="C1678" s="27" t="s">
        <v>72</v>
      </c>
      <c r="D1678" s="28" t="n">
        <v>3</v>
      </c>
      <c r="E1678" s="28" t="n">
        <v>1</v>
      </c>
      <c r="F1678" s="29" t="n">
        <f aca="false">'📋 Matches'!E22</f>
        <v>0</v>
      </c>
      <c r="G1678" s="29" t="n">
        <f aca="false">'📋 Matches'!F22</f>
        <v>0</v>
      </c>
      <c r="H1678" s="22" t="str">
        <f aca="false">IF(AND(ISNUMBER(F1678),ISNUMBER(G1678)),IF(SIGN(D1678-E1678)=SIGN(F1678-G1678),48,0),"")</f>
        <v/>
      </c>
      <c r="I1678" s="22" t="str">
        <f aca="false">IF(AND(ISNUMBER(F1678),ISNUMBER(G1678)),IF(D1678=F1678,15,0),"")</f>
        <v/>
      </c>
      <c r="J1678" s="22" t="str">
        <f aca="false">IF(AND(ISNUMBER(F1678),ISNUMBER(G1678)),IF(E1678=G1678,15,0),"")</f>
        <v/>
      </c>
      <c r="K1678" s="22" t="str">
        <f aca="false">IF(AND(ISNUMBER(F1678),ISNUMBER(G1678)),IF(ABS(D1678-E1678)=ABS(F1678-G1678),12,0),"")</f>
        <v/>
      </c>
      <c r="L1678" s="23" t="str">
        <f aca="false">IF(ISNUMBER(H1678),H1678+I1678+J1678+K1678,"")</f>
        <v/>
      </c>
    </row>
    <row r="1679" customFormat="false" ht="18" hidden="false" customHeight="true" outlineLevel="0" collapsed="false">
      <c r="A1679" s="25" t="s">
        <v>9</v>
      </c>
      <c r="B1679" s="26" t="s">
        <v>171</v>
      </c>
      <c r="C1679" s="27" t="s">
        <v>75</v>
      </c>
      <c r="D1679" s="28" t="n">
        <v>2</v>
      </c>
      <c r="E1679" s="28" t="n">
        <v>1</v>
      </c>
      <c r="F1679" s="29" t="n">
        <f aca="false">'📋 Matches'!E23</f>
        <v>0</v>
      </c>
      <c r="G1679" s="29" t="n">
        <f aca="false">'📋 Matches'!F23</f>
        <v>0</v>
      </c>
      <c r="H1679" s="22" t="str">
        <f aca="false">IF(AND(ISNUMBER(F1679),ISNUMBER(G1679)),IF(SIGN(D1679-E1679)=SIGN(F1679-G1679),48,0),"")</f>
        <v/>
      </c>
      <c r="I1679" s="22" t="str">
        <f aca="false">IF(AND(ISNUMBER(F1679),ISNUMBER(G1679)),IF(D1679=F1679,15,0),"")</f>
        <v/>
      </c>
      <c r="J1679" s="22" t="str">
        <f aca="false">IF(AND(ISNUMBER(F1679),ISNUMBER(G1679)),IF(E1679=G1679,15,0),"")</f>
        <v/>
      </c>
      <c r="K1679" s="22" t="str">
        <f aca="false">IF(AND(ISNUMBER(F1679),ISNUMBER(G1679)),IF(ABS(D1679-E1679)=ABS(F1679-G1679),12,0),"")</f>
        <v/>
      </c>
      <c r="L1679" s="23" t="str">
        <f aca="false">IF(ISNUMBER(H1679),H1679+I1679+J1679+K1679,"")</f>
        <v/>
      </c>
    </row>
    <row r="1680" customFormat="false" ht="18" hidden="false" customHeight="true" outlineLevel="0" collapsed="false">
      <c r="A1680" s="25" t="s">
        <v>9</v>
      </c>
      <c r="B1680" s="26" t="s">
        <v>171</v>
      </c>
      <c r="C1680" s="27" t="s">
        <v>78</v>
      </c>
      <c r="D1680" s="28" t="n">
        <v>2</v>
      </c>
      <c r="E1680" s="28" t="n">
        <v>1</v>
      </c>
      <c r="F1680" s="29" t="n">
        <f aca="false">'📋 Matches'!E24</f>
        <v>0</v>
      </c>
      <c r="G1680" s="29" t="n">
        <f aca="false">'📋 Matches'!F24</f>
        <v>0</v>
      </c>
      <c r="H1680" s="22" t="str">
        <f aca="false">IF(AND(ISNUMBER(F1680),ISNUMBER(G1680)),IF(SIGN(D1680-E1680)=SIGN(F1680-G1680),48,0),"")</f>
        <v/>
      </c>
      <c r="I1680" s="22" t="str">
        <f aca="false">IF(AND(ISNUMBER(F1680),ISNUMBER(G1680)),IF(D1680=F1680,15,0),"")</f>
        <v/>
      </c>
      <c r="J1680" s="22" t="str">
        <f aca="false">IF(AND(ISNUMBER(F1680),ISNUMBER(G1680)),IF(E1680=G1680,15,0),"")</f>
        <v/>
      </c>
      <c r="K1680" s="22" t="str">
        <f aca="false">IF(AND(ISNUMBER(F1680),ISNUMBER(G1680)),IF(ABS(D1680-E1680)=ABS(F1680-G1680),12,0),"")</f>
        <v/>
      </c>
      <c r="L1680" s="23" t="str">
        <f aca="false">IF(ISNUMBER(H1680),H1680+I1680+J1680+K1680,"")</f>
        <v/>
      </c>
    </row>
    <row r="1681" customFormat="false" ht="18" hidden="false" customHeight="true" outlineLevel="0" collapsed="false">
      <c r="A1681" s="25" t="s">
        <v>9</v>
      </c>
      <c r="B1681" s="26" t="s">
        <v>171</v>
      </c>
      <c r="C1681" s="27" t="s">
        <v>81</v>
      </c>
      <c r="D1681" s="28" t="n">
        <v>1</v>
      </c>
      <c r="E1681" s="28" t="n">
        <v>2</v>
      </c>
      <c r="F1681" s="29" t="n">
        <f aca="false">'📋 Matches'!E25</f>
        <v>0</v>
      </c>
      <c r="G1681" s="29" t="n">
        <f aca="false">'📋 Matches'!F25</f>
        <v>0</v>
      </c>
      <c r="H1681" s="22" t="str">
        <f aca="false">IF(AND(ISNUMBER(F1681),ISNUMBER(G1681)),IF(SIGN(D1681-E1681)=SIGN(F1681-G1681),48,0),"")</f>
        <v/>
      </c>
      <c r="I1681" s="22" t="str">
        <f aca="false">IF(AND(ISNUMBER(F1681),ISNUMBER(G1681)),IF(D1681=F1681,15,0),"")</f>
        <v/>
      </c>
      <c r="J1681" s="22" t="str">
        <f aca="false">IF(AND(ISNUMBER(F1681),ISNUMBER(G1681)),IF(E1681=G1681,15,0),"")</f>
        <v/>
      </c>
      <c r="K1681" s="22" t="str">
        <f aca="false">IF(AND(ISNUMBER(F1681),ISNUMBER(G1681)),IF(ABS(D1681-E1681)=ABS(F1681-G1681),12,0),"")</f>
        <v/>
      </c>
      <c r="L1681" s="23" t="str">
        <f aca="false">IF(ISNUMBER(H1681),H1681+I1681+J1681+K1681,"")</f>
        <v/>
      </c>
    </row>
    <row r="1682" customFormat="false" ht="18" hidden="false" customHeight="true" outlineLevel="0" collapsed="false">
      <c r="A1682" s="25" t="s">
        <v>84</v>
      </c>
      <c r="B1682" s="26" t="s">
        <v>171</v>
      </c>
      <c r="C1682" s="27" t="s">
        <v>85</v>
      </c>
      <c r="D1682" s="28"/>
      <c r="E1682" s="28"/>
      <c r="F1682" s="29" t="n">
        <f aca="false">'📋 Matches'!E26</f>
        <v>0</v>
      </c>
      <c r="G1682" s="29" t="n">
        <f aca="false">'📋 Matches'!F26</f>
        <v>0</v>
      </c>
      <c r="H1682" s="30" t="s">
        <v>148</v>
      </c>
      <c r="I1682" s="30" t="s">
        <v>148</v>
      </c>
      <c r="J1682" s="30" t="s">
        <v>148</v>
      </c>
      <c r="K1682" s="30" t="s">
        <v>148</v>
      </c>
      <c r="L1682" s="30" t="s">
        <v>148</v>
      </c>
    </row>
    <row r="1683" customFormat="false" ht="18" hidden="false" customHeight="true" outlineLevel="0" collapsed="false">
      <c r="A1683" s="25" t="s">
        <v>84</v>
      </c>
      <c r="B1683" s="26" t="s">
        <v>171</v>
      </c>
      <c r="C1683" s="27" t="s">
        <v>87</v>
      </c>
      <c r="D1683" s="28"/>
      <c r="E1683" s="28"/>
      <c r="F1683" s="29" t="n">
        <f aca="false">'📋 Matches'!E27</f>
        <v>0</v>
      </c>
      <c r="G1683" s="29" t="n">
        <f aca="false">'📋 Matches'!F27</f>
        <v>0</v>
      </c>
      <c r="H1683" s="30" t="s">
        <v>148</v>
      </c>
      <c r="I1683" s="30" t="s">
        <v>148</v>
      </c>
      <c r="J1683" s="30" t="s">
        <v>148</v>
      </c>
      <c r="K1683" s="30" t="s">
        <v>148</v>
      </c>
      <c r="L1683" s="30" t="s">
        <v>148</v>
      </c>
    </row>
    <row r="1684" customFormat="false" ht="18" hidden="false" customHeight="true" outlineLevel="0" collapsed="false">
      <c r="A1684" s="25" t="s">
        <v>84</v>
      </c>
      <c r="B1684" s="26" t="s">
        <v>171</v>
      </c>
      <c r="C1684" s="27" t="s">
        <v>89</v>
      </c>
      <c r="D1684" s="28"/>
      <c r="E1684" s="28"/>
      <c r="F1684" s="29" t="n">
        <f aca="false">'📋 Matches'!E28</f>
        <v>0</v>
      </c>
      <c r="G1684" s="29" t="n">
        <f aca="false">'📋 Matches'!F28</f>
        <v>0</v>
      </c>
      <c r="H1684" s="30" t="s">
        <v>148</v>
      </c>
      <c r="I1684" s="30" t="s">
        <v>148</v>
      </c>
      <c r="J1684" s="30" t="s">
        <v>148</v>
      </c>
      <c r="K1684" s="30" t="s">
        <v>148</v>
      </c>
      <c r="L1684" s="30" t="s">
        <v>148</v>
      </c>
    </row>
    <row r="1685" customFormat="false" ht="18" hidden="false" customHeight="true" outlineLevel="0" collapsed="false">
      <c r="A1685" s="25" t="s">
        <v>84</v>
      </c>
      <c r="B1685" s="26" t="s">
        <v>171</v>
      </c>
      <c r="C1685" s="27" t="s">
        <v>90</v>
      </c>
      <c r="D1685" s="28"/>
      <c r="E1685" s="28"/>
      <c r="F1685" s="29" t="n">
        <f aca="false">'📋 Matches'!E29</f>
        <v>0</v>
      </c>
      <c r="G1685" s="29" t="n">
        <f aca="false">'📋 Matches'!F29</f>
        <v>0</v>
      </c>
      <c r="H1685" s="30" t="s">
        <v>148</v>
      </c>
      <c r="I1685" s="30" t="s">
        <v>148</v>
      </c>
      <c r="J1685" s="30" t="s">
        <v>148</v>
      </c>
      <c r="K1685" s="30" t="s">
        <v>148</v>
      </c>
      <c r="L1685" s="30" t="s">
        <v>148</v>
      </c>
    </row>
    <row r="1686" customFormat="false" ht="18" hidden="false" customHeight="true" outlineLevel="0" collapsed="false">
      <c r="A1686" s="25" t="s">
        <v>84</v>
      </c>
      <c r="B1686" s="26" t="s">
        <v>171</v>
      </c>
      <c r="C1686" s="27" t="s">
        <v>91</v>
      </c>
      <c r="D1686" s="28"/>
      <c r="E1686" s="28"/>
      <c r="F1686" s="29" t="n">
        <f aca="false">'📋 Matches'!E30</f>
        <v>0</v>
      </c>
      <c r="G1686" s="29" t="n">
        <f aca="false">'📋 Matches'!F30</f>
        <v>0</v>
      </c>
      <c r="H1686" s="30" t="s">
        <v>148</v>
      </c>
      <c r="I1686" s="30" t="s">
        <v>148</v>
      </c>
      <c r="J1686" s="30" t="s">
        <v>148</v>
      </c>
      <c r="K1686" s="30" t="s">
        <v>148</v>
      </c>
      <c r="L1686" s="30" t="s">
        <v>148</v>
      </c>
    </row>
    <row r="1687" customFormat="false" ht="18" hidden="false" customHeight="true" outlineLevel="0" collapsed="false">
      <c r="A1687" s="25" t="s">
        <v>84</v>
      </c>
      <c r="B1687" s="26" t="s">
        <v>171</v>
      </c>
      <c r="C1687" s="27" t="s">
        <v>92</v>
      </c>
      <c r="D1687" s="28"/>
      <c r="E1687" s="28"/>
      <c r="F1687" s="29" t="n">
        <f aca="false">'📋 Matches'!E31</f>
        <v>0</v>
      </c>
      <c r="G1687" s="29" t="n">
        <f aca="false">'📋 Matches'!F31</f>
        <v>0</v>
      </c>
      <c r="H1687" s="30" t="s">
        <v>148</v>
      </c>
      <c r="I1687" s="30" t="s">
        <v>148</v>
      </c>
      <c r="J1687" s="30" t="s">
        <v>148</v>
      </c>
      <c r="K1687" s="30" t="s">
        <v>148</v>
      </c>
      <c r="L1687" s="30" t="s">
        <v>148</v>
      </c>
    </row>
    <row r="1688" customFormat="false" ht="18" hidden="false" customHeight="true" outlineLevel="0" collapsed="false">
      <c r="A1688" s="25" t="s">
        <v>84</v>
      </c>
      <c r="B1688" s="26" t="s">
        <v>171</v>
      </c>
      <c r="C1688" s="27" t="s">
        <v>93</v>
      </c>
      <c r="D1688" s="28"/>
      <c r="E1688" s="28"/>
      <c r="F1688" s="29" t="n">
        <f aca="false">'📋 Matches'!E32</f>
        <v>0</v>
      </c>
      <c r="G1688" s="29" t="n">
        <f aca="false">'📋 Matches'!F32</f>
        <v>0</v>
      </c>
      <c r="H1688" s="30" t="s">
        <v>148</v>
      </c>
      <c r="I1688" s="30" t="s">
        <v>148</v>
      </c>
      <c r="J1688" s="30" t="s">
        <v>148</v>
      </c>
      <c r="K1688" s="30" t="s">
        <v>148</v>
      </c>
      <c r="L1688" s="30" t="s">
        <v>148</v>
      </c>
    </row>
    <row r="1689" customFormat="false" ht="18" hidden="false" customHeight="true" outlineLevel="0" collapsed="false">
      <c r="A1689" s="25" t="s">
        <v>84</v>
      </c>
      <c r="B1689" s="26" t="s">
        <v>171</v>
      </c>
      <c r="C1689" s="27" t="s">
        <v>94</v>
      </c>
      <c r="D1689" s="28"/>
      <c r="E1689" s="28"/>
      <c r="F1689" s="29" t="n">
        <f aca="false">'📋 Matches'!E33</f>
        <v>0</v>
      </c>
      <c r="G1689" s="29" t="n">
        <f aca="false">'📋 Matches'!F33</f>
        <v>0</v>
      </c>
      <c r="H1689" s="30" t="s">
        <v>148</v>
      </c>
      <c r="I1689" s="30" t="s">
        <v>148</v>
      </c>
      <c r="J1689" s="30" t="s">
        <v>148</v>
      </c>
      <c r="K1689" s="30" t="s">
        <v>148</v>
      </c>
      <c r="L1689" s="30" t="s">
        <v>148</v>
      </c>
    </row>
    <row r="1690" customFormat="false" ht="18" hidden="false" customHeight="true" outlineLevel="0" collapsed="false">
      <c r="A1690" s="25" t="s">
        <v>84</v>
      </c>
      <c r="B1690" s="26" t="s">
        <v>171</v>
      </c>
      <c r="C1690" s="27" t="s">
        <v>96</v>
      </c>
      <c r="D1690" s="28"/>
      <c r="E1690" s="28"/>
      <c r="F1690" s="29" t="n">
        <f aca="false">'📋 Matches'!E34</f>
        <v>0</v>
      </c>
      <c r="G1690" s="29" t="n">
        <f aca="false">'📋 Matches'!F34</f>
        <v>0</v>
      </c>
      <c r="H1690" s="30" t="s">
        <v>148</v>
      </c>
      <c r="I1690" s="30" t="s">
        <v>148</v>
      </c>
      <c r="J1690" s="30" t="s">
        <v>148</v>
      </c>
      <c r="K1690" s="30" t="s">
        <v>148</v>
      </c>
      <c r="L1690" s="30" t="s">
        <v>148</v>
      </c>
    </row>
    <row r="1691" customFormat="false" ht="18" hidden="false" customHeight="true" outlineLevel="0" collapsed="false">
      <c r="A1691" s="25" t="s">
        <v>84</v>
      </c>
      <c r="B1691" s="26" t="s">
        <v>171</v>
      </c>
      <c r="C1691" s="27" t="s">
        <v>97</v>
      </c>
      <c r="D1691" s="28"/>
      <c r="E1691" s="28"/>
      <c r="F1691" s="29" t="n">
        <f aca="false">'📋 Matches'!E35</f>
        <v>0</v>
      </c>
      <c r="G1691" s="29" t="n">
        <f aca="false">'📋 Matches'!F35</f>
        <v>0</v>
      </c>
      <c r="H1691" s="30" t="s">
        <v>148</v>
      </c>
      <c r="I1691" s="30" t="s">
        <v>148</v>
      </c>
      <c r="J1691" s="30" t="s">
        <v>148</v>
      </c>
      <c r="K1691" s="30" t="s">
        <v>148</v>
      </c>
      <c r="L1691" s="30" t="s">
        <v>148</v>
      </c>
    </row>
    <row r="1692" customFormat="false" ht="18" hidden="false" customHeight="true" outlineLevel="0" collapsed="false">
      <c r="A1692" s="25" t="s">
        <v>84</v>
      </c>
      <c r="B1692" s="26" t="s">
        <v>171</v>
      </c>
      <c r="C1692" s="27" t="s">
        <v>98</v>
      </c>
      <c r="D1692" s="28"/>
      <c r="E1692" s="28"/>
      <c r="F1692" s="29" t="n">
        <f aca="false">'📋 Matches'!E36</f>
        <v>0</v>
      </c>
      <c r="G1692" s="29" t="n">
        <f aca="false">'📋 Matches'!F36</f>
        <v>0</v>
      </c>
      <c r="H1692" s="30" t="s">
        <v>148</v>
      </c>
      <c r="I1692" s="30" t="s">
        <v>148</v>
      </c>
      <c r="J1692" s="30" t="s">
        <v>148</v>
      </c>
      <c r="K1692" s="30" t="s">
        <v>148</v>
      </c>
      <c r="L1692" s="30" t="s">
        <v>148</v>
      </c>
    </row>
    <row r="1693" customFormat="false" ht="18" hidden="false" customHeight="true" outlineLevel="0" collapsed="false">
      <c r="A1693" s="25" t="s">
        <v>84</v>
      </c>
      <c r="B1693" s="26" t="s">
        <v>171</v>
      </c>
      <c r="C1693" s="27" t="s">
        <v>100</v>
      </c>
      <c r="D1693" s="28"/>
      <c r="E1693" s="28"/>
      <c r="F1693" s="29" t="n">
        <f aca="false">'📋 Matches'!E37</f>
        <v>0</v>
      </c>
      <c r="G1693" s="29" t="n">
        <f aca="false">'📋 Matches'!F37</f>
        <v>0</v>
      </c>
      <c r="H1693" s="30" t="s">
        <v>148</v>
      </c>
      <c r="I1693" s="30" t="s">
        <v>148</v>
      </c>
      <c r="J1693" s="30" t="s">
        <v>148</v>
      </c>
      <c r="K1693" s="30" t="s">
        <v>148</v>
      </c>
      <c r="L1693" s="30" t="s">
        <v>148</v>
      </c>
    </row>
    <row r="1694" customFormat="false" ht="18" hidden="false" customHeight="true" outlineLevel="0" collapsed="false">
      <c r="A1694" s="25" t="s">
        <v>84</v>
      </c>
      <c r="B1694" s="26" t="s">
        <v>171</v>
      </c>
      <c r="C1694" s="27" t="s">
        <v>101</v>
      </c>
      <c r="D1694" s="28"/>
      <c r="E1694" s="28"/>
      <c r="F1694" s="29" t="n">
        <f aca="false">'📋 Matches'!E38</f>
        <v>0</v>
      </c>
      <c r="G1694" s="29" t="n">
        <f aca="false">'📋 Matches'!F38</f>
        <v>0</v>
      </c>
      <c r="H1694" s="30" t="s">
        <v>148</v>
      </c>
      <c r="I1694" s="30" t="s">
        <v>148</v>
      </c>
      <c r="J1694" s="30" t="s">
        <v>148</v>
      </c>
      <c r="K1694" s="30" t="s">
        <v>148</v>
      </c>
      <c r="L1694" s="30" t="s">
        <v>148</v>
      </c>
    </row>
    <row r="1695" customFormat="false" ht="18" hidden="false" customHeight="true" outlineLevel="0" collapsed="false">
      <c r="A1695" s="25" t="s">
        <v>84</v>
      </c>
      <c r="B1695" s="26" t="s">
        <v>171</v>
      </c>
      <c r="C1695" s="27" t="s">
        <v>102</v>
      </c>
      <c r="D1695" s="28"/>
      <c r="E1695" s="28"/>
      <c r="F1695" s="29" t="n">
        <f aca="false">'📋 Matches'!E39</f>
        <v>0</v>
      </c>
      <c r="G1695" s="29" t="n">
        <f aca="false">'📋 Matches'!F39</f>
        <v>0</v>
      </c>
      <c r="H1695" s="30" t="s">
        <v>148</v>
      </c>
      <c r="I1695" s="30" t="s">
        <v>148</v>
      </c>
      <c r="J1695" s="30" t="s">
        <v>148</v>
      </c>
      <c r="K1695" s="30" t="s">
        <v>148</v>
      </c>
      <c r="L1695" s="30" t="s">
        <v>148</v>
      </c>
    </row>
    <row r="1696" customFormat="false" ht="18" hidden="false" customHeight="true" outlineLevel="0" collapsed="false">
      <c r="A1696" s="25" t="s">
        <v>84</v>
      </c>
      <c r="B1696" s="26" t="s">
        <v>171</v>
      </c>
      <c r="C1696" s="27" t="s">
        <v>103</v>
      </c>
      <c r="D1696" s="28"/>
      <c r="E1696" s="28"/>
      <c r="F1696" s="29" t="n">
        <f aca="false">'📋 Matches'!E40</f>
        <v>0</v>
      </c>
      <c r="G1696" s="29" t="n">
        <f aca="false">'📋 Matches'!F40</f>
        <v>0</v>
      </c>
      <c r="H1696" s="30" t="s">
        <v>148</v>
      </c>
      <c r="I1696" s="30" t="s">
        <v>148</v>
      </c>
      <c r="J1696" s="30" t="s">
        <v>148</v>
      </c>
      <c r="K1696" s="30" t="s">
        <v>148</v>
      </c>
      <c r="L1696" s="30" t="s">
        <v>148</v>
      </c>
    </row>
    <row r="1697" customFormat="false" ht="18" hidden="false" customHeight="true" outlineLevel="0" collapsed="false">
      <c r="A1697" s="25" t="s">
        <v>84</v>
      </c>
      <c r="B1697" s="26" t="s">
        <v>171</v>
      </c>
      <c r="C1697" s="27" t="s">
        <v>104</v>
      </c>
      <c r="D1697" s="28"/>
      <c r="E1697" s="28"/>
      <c r="F1697" s="29" t="n">
        <f aca="false">'📋 Matches'!E41</f>
        <v>0</v>
      </c>
      <c r="G1697" s="29" t="n">
        <f aca="false">'📋 Matches'!F41</f>
        <v>0</v>
      </c>
      <c r="H1697" s="30" t="s">
        <v>148</v>
      </c>
      <c r="I1697" s="30" t="s">
        <v>148</v>
      </c>
      <c r="J1697" s="30" t="s">
        <v>148</v>
      </c>
      <c r="K1697" s="30" t="s">
        <v>148</v>
      </c>
      <c r="L1697" s="30" t="s">
        <v>148</v>
      </c>
    </row>
    <row r="1698" customFormat="false" ht="18" hidden="false" customHeight="true" outlineLevel="0" collapsed="false">
      <c r="A1698" s="25" t="s">
        <v>84</v>
      </c>
      <c r="B1698" s="26" t="s">
        <v>171</v>
      </c>
      <c r="C1698" s="27" t="s">
        <v>105</v>
      </c>
      <c r="D1698" s="28"/>
      <c r="E1698" s="28"/>
      <c r="F1698" s="29" t="n">
        <f aca="false">'📋 Matches'!E42</f>
        <v>0</v>
      </c>
      <c r="G1698" s="29" t="n">
        <f aca="false">'📋 Matches'!F42</f>
        <v>0</v>
      </c>
      <c r="H1698" s="30" t="s">
        <v>148</v>
      </c>
      <c r="I1698" s="30" t="s">
        <v>148</v>
      </c>
      <c r="J1698" s="30" t="s">
        <v>148</v>
      </c>
      <c r="K1698" s="30" t="s">
        <v>148</v>
      </c>
      <c r="L1698" s="30" t="s">
        <v>148</v>
      </c>
    </row>
    <row r="1699" customFormat="false" ht="18" hidden="false" customHeight="true" outlineLevel="0" collapsed="false">
      <c r="A1699" s="25" t="s">
        <v>84</v>
      </c>
      <c r="B1699" s="26" t="s">
        <v>171</v>
      </c>
      <c r="C1699" s="27" t="s">
        <v>106</v>
      </c>
      <c r="D1699" s="28"/>
      <c r="E1699" s="28"/>
      <c r="F1699" s="29" t="n">
        <f aca="false">'📋 Matches'!E43</f>
        <v>0</v>
      </c>
      <c r="G1699" s="29" t="n">
        <f aca="false">'📋 Matches'!F43</f>
        <v>0</v>
      </c>
      <c r="H1699" s="30" t="s">
        <v>148</v>
      </c>
      <c r="I1699" s="30" t="s">
        <v>148</v>
      </c>
      <c r="J1699" s="30" t="s">
        <v>148</v>
      </c>
      <c r="K1699" s="30" t="s">
        <v>148</v>
      </c>
      <c r="L1699" s="30" t="s">
        <v>148</v>
      </c>
    </row>
    <row r="1700" customFormat="false" ht="18" hidden="false" customHeight="true" outlineLevel="0" collapsed="false">
      <c r="A1700" s="25" t="s">
        <v>84</v>
      </c>
      <c r="B1700" s="26" t="s">
        <v>171</v>
      </c>
      <c r="C1700" s="27" t="s">
        <v>107</v>
      </c>
      <c r="D1700" s="28"/>
      <c r="E1700" s="28"/>
      <c r="F1700" s="29" t="n">
        <f aca="false">'📋 Matches'!E44</f>
        <v>0</v>
      </c>
      <c r="G1700" s="29" t="n">
        <f aca="false">'📋 Matches'!F44</f>
        <v>0</v>
      </c>
      <c r="H1700" s="30" t="s">
        <v>148</v>
      </c>
      <c r="I1700" s="30" t="s">
        <v>148</v>
      </c>
      <c r="J1700" s="30" t="s">
        <v>148</v>
      </c>
      <c r="K1700" s="30" t="s">
        <v>148</v>
      </c>
      <c r="L1700" s="30" t="s">
        <v>148</v>
      </c>
    </row>
    <row r="1701" customFormat="false" ht="18" hidden="false" customHeight="true" outlineLevel="0" collapsed="false">
      <c r="A1701" s="25" t="s">
        <v>84</v>
      </c>
      <c r="B1701" s="26" t="s">
        <v>171</v>
      </c>
      <c r="C1701" s="27" t="s">
        <v>108</v>
      </c>
      <c r="D1701" s="28"/>
      <c r="E1701" s="28"/>
      <c r="F1701" s="29" t="n">
        <f aca="false">'📋 Matches'!E45</f>
        <v>0</v>
      </c>
      <c r="G1701" s="29" t="n">
        <f aca="false">'📋 Matches'!F45</f>
        <v>0</v>
      </c>
      <c r="H1701" s="30" t="s">
        <v>148</v>
      </c>
      <c r="I1701" s="30" t="s">
        <v>148</v>
      </c>
      <c r="J1701" s="30" t="s">
        <v>148</v>
      </c>
      <c r="K1701" s="30" t="s">
        <v>148</v>
      </c>
      <c r="L1701" s="30" t="s">
        <v>148</v>
      </c>
    </row>
    <row r="1702" customFormat="false" ht="18" hidden="false" customHeight="true" outlineLevel="0" collapsed="false">
      <c r="A1702" s="25" t="s">
        <v>84</v>
      </c>
      <c r="B1702" s="26" t="s">
        <v>171</v>
      </c>
      <c r="C1702" s="27" t="s">
        <v>109</v>
      </c>
      <c r="D1702" s="28"/>
      <c r="E1702" s="28"/>
      <c r="F1702" s="29" t="n">
        <f aca="false">'📋 Matches'!E46</f>
        <v>0</v>
      </c>
      <c r="G1702" s="29" t="n">
        <f aca="false">'📋 Matches'!F46</f>
        <v>0</v>
      </c>
      <c r="H1702" s="30" t="s">
        <v>148</v>
      </c>
      <c r="I1702" s="30" t="s">
        <v>148</v>
      </c>
      <c r="J1702" s="30" t="s">
        <v>148</v>
      </c>
      <c r="K1702" s="30" t="s">
        <v>148</v>
      </c>
      <c r="L1702" s="30" t="s">
        <v>148</v>
      </c>
    </row>
    <row r="1703" customFormat="false" ht="18" hidden="false" customHeight="true" outlineLevel="0" collapsed="false">
      <c r="A1703" s="25" t="s">
        <v>84</v>
      </c>
      <c r="B1703" s="26" t="s">
        <v>171</v>
      </c>
      <c r="C1703" s="27" t="s">
        <v>110</v>
      </c>
      <c r="D1703" s="28"/>
      <c r="E1703" s="28"/>
      <c r="F1703" s="29" t="n">
        <f aca="false">'📋 Matches'!E47</f>
        <v>0</v>
      </c>
      <c r="G1703" s="29" t="n">
        <f aca="false">'📋 Matches'!F47</f>
        <v>0</v>
      </c>
      <c r="H1703" s="30" t="s">
        <v>148</v>
      </c>
      <c r="I1703" s="30" t="s">
        <v>148</v>
      </c>
      <c r="J1703" s="30" t="s">
        <v>148</v>
      </c>
      <c r="K1703" s="30" t="s">
        <v>148</v>
      </c>
      <c r="L1703" s="30" t="s">
        <v>148</v>
      </c>
    </row>
    <row r="1704" customFormat="false" ht="18" hidden="false" customHeight="true" outlineLevel="0" collapsed="false">
      <c r="A1704" s="25" t="s">
        <v>84</v>
      </c>
      <c r="B1704" s="26" t="s">
        <v>171</v>
      </c>
      <c r="C1704" s="27" t="s">
        <v>111</v>
      </c>
      <c r="D1704" s="28"/>
      <c r="E1704" s="28"/>
      <c r="F1704" s="29" t="n">
        <f aca="false">'📋 Matches'!E48</f>
        <v>0</v>
      </c>
      <c r="G1704" s="29" t="n">
        <f aca="false">'📋 Matches'!F48</f>
        <v>0</v>
      </c>
      <c r="H1704" s="30" t="s">
        <v>148</v>
      </c>
      <c r="I1704" s="30" t="s">
        <v>148</v>
      </c>
      <c r="J1704" s="30" t="s">
        <v>148</v>
      </c>
      <c r="K1704" s="30" t="s">
        <v>148</v>
      </c>
      <c r="L1704" s="30" t="s">
        <v>148</v>
      </c>
    </row>
    <row r="1705" customFormat="false" ht="18" hidden="false" customHeight="true" outlineLevel="0" collapsed="false">
      <c r="A1705" s="25" t="s">
        <v>84</v>
      </c>
      <c r="B1705" s="26" t="s">
        <v>171</v>
      </c>
      <c r="C1705" s="27" t="s">
        <v>112</v>
      </c>
      <c r="D1705" s="28"/>
      <c r="E1705" s="28"/>
      <c r="F1705" s="29" t="n">
        <f aca="false">'📋 Matches'!E49</f>
        <v>0</v>
      </c>
      <c r="G1705" s="29" t="n">
        <f aca="false">'📋 Matches'!F49</f>
        <v>0</v>
      </c>
      <c r="H1705" s="30" t="s">
        <v>148</v>
      </c>
      <c r="I1705" s="30" t="s">
        <v>148</v>
      </c>
      <c r="J1705" s="30" t="s">
        <v>148</v>
      </c>
      <c r="K1705" s="30" t="s">
        <v>148</v>
      </c>
      <c r="L1705" s="30" t="s">
        <v>148</v>
      </c>
    </row>
    <row r="1706" customFormat="false" ht="18" hidden="false" customHeight="true" outlineLevel="0" collapsed="false">
      <c r="A1706" s="25" t="s">
        <v>114</v>
      </c>
      <c r="B1706" s="26" t="s">
        <v>171</v>
      </c>
      <c r="C1706" s="27" t="s">
        <v>115</v>
      </c>
      <c r="D1706" s="28"/>
      <c r="E1706" s="28"/>
      <c r="F1706" s="29" t="n">
        <f aca="false">'📋 Matches'!E50</f>
        <v>0</v>
      </c>
      <c r="G1706" s="29" t="n">
        <f aca="false">'📋 Matches'!F50</f>
        <v>0</v>
      </c>
      <c r="H1706" s="30" t="s">
        <v>148</v>
      </c>
      <c r="I1706" s="30" t="s">
        <v>148</v>
      </c>
      <c r="J1706" s="30" t="s">
        <v>148</v>
      </c>
      <c r="K1706" s="30" t="s">
        <v>148</v>
      </c>
      <c r="L1706" s="30" t="s">
        <v>148</v>
      </c>
    </row>
    <row r="1707" customFormat="false" ht="18" hidden="false" customHeight="true" outlineLevel="0" collapsed="false">
      <c r="A1707" s="25" t="s">
        <v>114</v>
      </c>
      <c r="B1707" s="26" t="s">
        <v>171</v>
      </c>
      <c r="C1707" s="27" t="s">
        <v>116</v>
      </c>
      <c r="D1707" s="28"/>
      <c r="E1707" s="28"/>
      <c r="F1707" s="29" t="n">
        <f aca="false">'📋 Matches'!E51</f>
        <v>0</v>
      </c>
      <c r="G1707" s="29" t="n">
        <f aca="false">'📋 Matches'!F51</f>
        <v>0</v>
      </c>
      <c r="H1707" s="30" t="s">
        <v>148</v>
      </c>
      <c r="I1707" s="30" t="s">
        <v>148</v>
      </c>
      <c r="J1707" s="30" t="s">
        <v>148</v>
      </c>
      <c r="K1707" s="30" t="s">
        <v>148</v>
      </c>
      <c r="L1707" s="30" t="s">
        <v>148</v>
      </c>
    </row>
    <row r="1708" customFormat="false" ht="18" hidden="false" customHeight="true" outlineLevel="0" collapsed="false">
      <c r="A1708" s="25" t="s">
        <v>114</v>
      </c>
      <c r="B1708" s="26" t="s">
        <v>171</v>
      </c>
      <c r="C1708" s="27" t="s">
        <v>117</v>
      </c>
      <c r="D1708" s="28"/>
      <c r="E1708" s="28"/>
      <c r="F1708" s="29" t="n">
        <f aca="false">'📋 Matches'!E52</f>
        <v>0</v>
      </c>
      <c r="G1708" s="29" t="n">
        <f aca="false">'📋 Matches'!F52</f>
        <v>0</v>
      </c>
      <c r="H1708" s="30" t="s">
        <v>148</v>
      </c>
      <c r="I1708" s="30" t="s">
        <v>148</v>
      </c>
      <c r="J1708" s="30" t="s">
        <v>148</v>
      </c>
      <c r="K1708" s="30" t="s">
        <v>148</v>
      </c>
      <c r="L1708" s="30" t="s">
        <v>148</v>
      </c>
    </row>
    <row r="1709" customFormat="false" ht="18" hidden="false" customHeight="true" outlineLevel="0" collapsed="false">
      <c r="A1709" s="25" t="s">
        <v>114</v>
      </c>
      <c r="B1709" s="26" t="s">
        <v>171</v>
      </c>
      <c r="C1709" s="27" t="s">
        <v>118</v>
      </c>
      <c r="D1709" s="28"/>
      <c r="E1709" s="28"/>
      <c r="F1709" s="29" t="n">
        <f aca="false">'📋 Matches'!E53</f>
        <v>0</v>
      </c>
      <c r="G1709" s="29" t="n">
        <f aca="false">'📋 Matches'!F53</f>
        <v>0</v>
      </c>
      <c r="H1709" s="30" t="s">
        <v>148</v>
      </c>
      <c r="I1709" s="30" t="s">
        <v>148</v>
      </c>
      <c r="J1709" s="30" t="s">
        <v>148</v>
      </c>
      <c r="K1709" s="30" t="s">
        <v>148</v>
      </c>
      <c r="L1709" s="30" t="s">
        <v>148</v>
      </c>
    </row>
    <row r="1710" customFormat="false" ht="18" hidden="false" customHeight="true" outlineLevel="0" collapsed="false">
      <c r="A1710" s="25" t="s">
        <v>114</v>
      </c>
      <c r="B1710" s="26" t="s">
        <v>171</v>
      </c>
      <c r="C1710" s="27" t="s">
        <v>119</v>
      </c>
      <c r="D1710" s="28"/>
      <c r="E1710" s="28"/>
      <c r="F1710" s="29" t="n">
        <f aca="false">'📋 Matches'!E54</f>
        <v>0</v>
      </c>
      <c r="G1710" s="29" t="n">
        <f aca="false">'📋 Matches'!F54</f>
        <v>0</v>
      </c>
      <c r="H1710" s="30" t="s">
        <v>148</v>
      </c>
      <c r="I1710" s="30" t="s">
        <v>148</v>
      </c>
      <c r="J1710" s="30" t="s">
        <v>148</v>
      </c>
      <c r="K1710" s="30" t="s">
        <v>148</v>
      </c>
      <c r="L1710" s="30" t="s">
        <v>148</v>
      </c>
    </row>
    <row r="1711" customFormat="false" ht="18" hidden="false" customHeight="true" outlineLevel="0" collapsed="false">
      <c r="A1711" s="25" t="s">
        <v>114</v>
      </c>
      <c r="B1711" s="26" t="s">
        <v>171</v>
      </c>
      <c r="C1711" s="27" t="s">
        <v>120</v>
      </c>
      <c r="D1711" s="28"/>
      <c r="E1711" s="28"/>
      <c r="F1711" s="29" t="n">
        <f aca="false">'📋 Matches'!E55</f>
        <v>0</v>
      </c>
      <c r="G1711" s="29" t="n">
        <f aca="false">'📋 Matches'!F55</f>
        <v>0</v>
      </c>
      <c r="H1711" s="30" t="s">
        <v>148</v>
      </c>
      <c r="I1711" s="30" t="s">
        <v>148</v>
      </c>
      <c r="J1711" s="30" t="s">
        <v>148</v>
      </c>
      <c r="K1711" s="30" t="s">
        <v>148</v>
      </c>
      <c r="L1711" s="30" t="s">
        <v>148</v>
      </c>
    </row>
    <row r="1712" customFormat="false" ht="18" hidden="false" customHeight="true" outlineLevel="0" collapsed="false">
      <c r="A1712" s="25" t="s">
        <v>114</v>
      </c>
      <c r="B1712" s="26" t="s">
        <v>171</v>
      </c>
      <c r="C1712" s="27" t="s">
        <v>121</v>
      </c>
      <c r="D1712" s="28"/>
      <c r="E1712" s="28"/>
      <c r="F1712" s="29" t="n">
        <f aca="false">'📋 Matches'!E56</f>
        <v>0</v>
      </c>
      <c r="G1712" s="29" t="n">
        <f aca="false">'📋 Matches'!F56</f>
        <v>0</v>
      </c>
      <c r="H1712" s="30" t="s">
        <v>148</v>
      </c>
      <c r="I1712" s="30" t="s">
        <v>148</v>
      </c>
      <c r="J1712" s="30" t="s">
        <v>148</v>
      </c>
      <c r="K1712" s="30" t="s">
        <v>148</v>
      </c>
      <c r="L1712" s="30" t="s">
        <v>148</v>
      </c>
    </row>
    <row r="1713" customFormat="false" ht="18" hidden="false" customHeight="true" outlineLevel="0" collapsed="false">
      <c r="A1713" s="25" t="s">
        <v>114</v>
      </c>
      <c r="B1713" s="26" t="s">
        <v>171</v>
      </c>
      <c r="C1713" s="27" t="s">
        <v>122</v>
      </c>
      <c r="D1713" s="28"/>
      <c r="E1713" s="28"/>
      <c r="F1713" s="29" t="n">
        <f aca="false">'📋 Matches'!E57</f>
        <v>0</v>
      </c>
      <c r="G1713" s="29" t="n">
        <f aca="false">'📋 Matches'!F57</f>
        <v>0</v>
      </c>
      <c r="H1713" s="30" t="s">
        <v>148</v>
      </c>
      <c r="I1713" s="30" t="s">
        <v>148</v>
      </c>
      <c r="J1713" s="30" t="s">
        <v>148</v>
      </c>
      <c r="K1713" s="30" t="s">
        <v>148</v>
      </c>
      <c r="L1713" s="30" t="s">
        <v>148</v>
      </c>
    </row>
    <row r="1714" customFormat="false" ht="18" hidden="false" customHeight="true" outlineLevel="0" collapsed="false">
      <c r="A1714" s="25" t="s">
        <v>114</v>
      </c>
      <c r="B1714" s="26" t="s">
        <v>171</v>
      </c>
      <c r="C1714" s="27" t="s">
        <v>123</v>
      </c>
      <c r="D1714" s="28"/>
      <c r="E1714" s="28"/>
      <c r="F1714" s="29" t="n">
        <f aca="false">'📋 Matches'!E58</f>
        <v>0</v>
      </c>
      <c r="G1714" s="29" t="n">
        <f aca="false">'📋 Matches'!F58</f>
        <v>0</v>
      </c>
      <c r="H1714" s="30" t="s">
        <v>148</v>
      </c>
      <c r="I1714" s="30" t="s">
        <v>148</v>
      </c>
      <c r="J1714" s="30" t="s">
        <v>148</v>
      </c>
      <c r="K1714" s="30" t="s">
        <v>148</v>
      </c>
      <c r="L1714" s="30" t="s">
        <v>148</v>
      </c>
    </row>
    <row r="1715" customFormat="false" ht="18" hidden="false" customHeight="true" outlineLevel="0" collapsed="false">
      <c r="A1715" s="25" t="s">
        <v>114</v>
      </c>
      <c r="B1715" s="26" t="s">
        <v>171</v>
      </c>
      <c r="C1715" s="27" t="s">
        <v>124</v>
      </c>
      <c r="D1715" s="28"/>
      <c r="E1715" s="28"/>
      <c r="F1715" s="29" t="n">
        <f aca="false">'📋 Matches'!E59</f>
        <v>0</v>
      </c>
      <c r="G1715" s="29" t="n">
        <f aca="false">'📋 Matches'!F59</f>
        <v>0</v>
      </c>
      <c r="H1715" s="30" t="s">
        <v>148</v>
      </c>
      <c r="I1715" s="30" t="s">
        <v>148</v>
      </c>
      <c r="J1715" s="30" t="s">
        <v>148</v>
      </c>
      <c r="K1715" s="30" t="s">
        <v>148</v>
      </c>
      <c r="L1715" s="30" t="s">
        <v>148</v>
      </c>
    </row>
    <row r="1716" customFormat="false" ht="18" hidden="false" customHeight="true" outlineLevel="0" collapsed="false">
      <c r="A1716" s="25" t="s">
        <v>114</v>
      </c>
      <c r="B1716" s="26" t="s">
        <v>171</v>
      </c>
      <c r="C1716" s="27" t="s">
        <v>125</v>
      </c>
      <c r="D1716" s="28"/>
      <c r="E1716" s="28"/>
      <c r="F1716" s="29" t="n">
        <f aca="false">'📋 Matches'!E60</f>
        <v>0</v>
      </c>
      <c r="G1716" s="29" t="n">
        <f aca="false">'📋 Matches'!F60</f>
        <v>0</v>
      </c>
      <c r="H1716" s="30" t="s">
        <v>148</v>
      </c>
      <c r="I1716" s="30" t="s">
        <v>148</v>
      </c>
      <c r="J1716" s="30" t="s">
        <v>148</v>
      </c>
      <c r="K1716" s="30" t="s">
        <v>148</v>
      </c>
      <c r="L1716" s="30" t="s">
        <v>148</v>
      </c>
    </row>
    <row r="1717" customFormat="false" ht="18" hidden="false" customHeight="true" outlineLevel="0" collapsed="false">
      <c r="A1717" s="25" t="s">
        <v>114</v>
      </c>
      <c r="B1717" s="26" t="s">
        <v>171</v>
      </c>
      <c r="C1717" s="27" t="s">
        <v>126</v>
      </c>
      <c r="D1717" s="28"/>
      <c r="E1717" s="28"/>
      <c r="F1717" s="29" t="n">
        <f aca="false">'📋 Matches'!E61</f>
        <v>0</v>
      </c>
      <c r="G1717" s="29" t="n">
        <f aca="false">'📋 Matches'!F61</f>
        <v>0</v>
      </c>
      <c r="H1717" s="30" t="s">
        <v>148</v>
      </c>
      <c r="I1717" s="30" t="s">
        <v>148</v>
      </c>
      <c r="J1717" s="30" t="s">
        <v>148</v>
      </c>
      <c r="K1717" s="30" t="s">
        <v>148</v>
      </c>
      <c r="L1717" s="30" t="s">
        <v>148</v>
      </c>
    </row>
    <row r="1718" customFormat="false" ht="18" hidden="false" customHeight="true" outlineLevel="0" collapsed="false">
      <c r="A1718" s="25" t="s">
        <v>114</v>
      </c>
      <c r="B1718" s="26" t="s">
        <v>171</v>
      </c>
      <c r="C1718" s="27" t="s">
        <v>127</v>
      </c>
      <c r="D1718" s="28"/>
      <c r="E1718" s="28"/>
      <c r="F1718" s="29" t="n">
        <f aca="false">'📋 Matches'!E62</f>
        <v>0</v>
      </c>
      <c r="G1718" s="29" t="n">
        <f aca="false">'📋 Matches'!F62</f>
        <v>0</v>
      </c>
      <c r="H1718" s="30" t="s">
        <v>148</v>
      </c>
      <c r="I1718" s="30" t="s">
        <v>148</v>
      </c>
      <c r="J1718" s="30" t="s">
        <v>148</v>
      </c>
      <c r="K1718" s="30" t="s">
        <v>148</v>
      </c>
      <c r="L1718" s="30" t="s">
        <v>148</v>
      </c>
    </row>
    <row r="1719" customFormat="false" ht="18" hidden="false" customHeight="true" outlineLevel="0" collapsed="false">
      <c r="A1719" s="25" t="s">
        <v>114</v>
      </c>
      <c r="B1719" s="26" t="s">
        <v>171</v>
      </c>
      <c r="C1719" s="27" t="s">
        <v>128</v>
      </c>
      <c r="D1719" s="28"/>
      <c r="E1719" s="28"/>
      <c r="F1719" s="29" t="n">
        <f aca="false">'📋 Matches'!E63</f>
        <v>0</v>
      </c>
      <c r="G1719" s="29" t="n">
        <f aca="false">'📋 Matches'!F63</f>
        <v>0</v>
      </c>
      <c r="H1719" s="30" t="s">
        <v>148</v>
      </c>
      <c r="I1719" s="30" t="s">
        <v>148</v>
      </c>
      <c r="J1719" s="30" t="s">
        <v>148</v>
      </c>
      <c r="K1719" s="30" t="s">
        <v>148</v>
      </c>
      <c r="L1719" s="30" t="s">
        <v>148</v>
      </c>
    </row>
    <row r="1720" customFormat="false" ht="18" hidden="false" customHeight="true" outlineLevel="0" collapsed="false">
      <c r="A1720" s="25" t="s">
        <v>114</v>
      </c>
      <c r="B1720" s="26" t="s">
        <v>171</v>
      </c>
      <c r="C1720" s="27" t="s">
        <v>129</v>
      </c>
      <c r="D1720" s="28"/>
      <c r="E1720" s="28"/>
      <c r="F1720" s="29" t="n">
        <f aca="false">'📋 Matches'!E64</f>
        <v>0</v>
      </c>
      <c r="G1720" s="29" t="n">
        <f aca="false">'📋 Matches'!F64</f>
        <v>0</v>
      </c>
      <c r="H1720" s="30" t="s">
        <v>148</v>
      </c>
      <c r="I1720" s="30" t="s">
        <v>148</v>
      </c>
      <c r="J1720" s="30" t="s">
        <v>148</v>
      </c>
      <c r="K1720" s="30" t="s">
        <v>148</v>
      </c>
      <c r="L1720" s="30" t="s">
        <v>148</v>
      </c>
    </row>
    <row r="1721" customFormat="false" ht="18" hidden="false" customHeight="true" outlineLevel="0" collapsed="false">
      <c r="A1721" s="25" t="s">
        <v>114</v>
      </c>
      <c r="B1721" s="26" t="s">
        <v>171</v>
      </c>
      <c r="C1721" s="27" t="s">
        <v>130</v>
      </c>
      <c r="D1721" s="28"/>
      <c r="E1721" s="28"/>
      <c r="F1721" s="29" t="n">
        <f aca="false">'📋 Matches'!E65</f>
        <v>0</v>
      </c>
      <c r="G1721" s="29" t="n">
        <f aca="false">'📋 Matches'!F65</f>
        <v>0</v>
      </c>
      <c r="H1721" s="30" t="s">
        <v>148</v>
      </c>
      <c r="I1721" s="30" t="s">
        <v>148</v>
      </c>
      <c r="J1721" s="30" t="s">
        <v>148</v>
      </c>
      <c r="K1721" s="30" t="s">
        <v>148</v>
      </c>
      <c r="L1721" s="30" t="s">
        <v>148</v>
      </c>
    </row>
    <row r="1722" customFormat="false" ht="18" hidden="false" customHeight="true" outlineLevel="0" collapsed="false">
      <c r="A1722" s="25" t="s">
        <v>114</v>
      </c>
      <c r="B1722" s="26" t="s">
        <v>171</v>
      </c>
      <c r="C1722" s="27" t="s">
        <v>131</v>
      </c>
      <c r="D1722" s="28"/>
      <c r="E1722" s="28"/>
      <c r="F1722" s="29" t="n">
        <f aca="false">'📋 Matches'!E66</f>
        <v>0</v>
      </c>
      <c r="G1722" s="29" t="n">
        <f aca="false">'📋 Matches'!F66</f>
        <v>0</v>
      </c>
      <c r="H1722" s="30" t="s">
        <v>148</v>
      </c>
      <c r="I1722" s="30" t="s">
        <v>148</v>
      </c>
      <c r="J1722" s="30" t="s">
        <v>148</v>
      </c>
      <c r="K1722" s="30" t="s">
        <v>148</v>
      </c>
      <c r="L1722" s="30" t="s">
        <v>148</v>
      </c>
    </row>
    <row r="1723" customFormat="false" ht="18" hidden="false" customHeight="true" outlineLevel="0" collapsed="false">
      <c r="A1723" s="25" t="s">
        <v>114</v>
      </c>
      <c r="B1723" s="26" t="s">
        <v>171</v>
      </c>
      <c r="C1723" s="27" t="s">
        <v>132</v>
      </c>
      <c r="D1723" s="28"/>
      <c r="E1723" s="28"/>
      <c r="F1723" s="29" t="n">
        <f aca="false">'📋 Matches'!E67</f>
        <v>0</v>
      </c>
      <c r="G1723" s="29" t="n">
        <f aca="false">'📋 Matches'!F67</f>
        <v>0</v>
      </c>
      <c r="H1723" s="30" t="s">
        <v>148</v>
      </c>
      <c r="I1723" s="30" t="s">
        <v>148</v>
      </c>
      <c r="J1723" s="30" t="s">
        <v>148</v>
      </c>
      <c r="K1723" s="30" t="s">
        <v>148</v>
      </c>
      <c r="L1723" s="30" t="s">
        <v>148</v>
      </c>
    </row>
    <row r="1724" customFormat="false" ht="18" hidden="false" customHeight="true" outlineLevel="0" collapsed="false">
      <c r="A1724" s="25" t="s">
        <v>114</v>
      </c>
      <c r="B1724" s="26" t="s">
        <v>171</v>
      </c>
      <c r="C1724" s="27" t="s">
        <v>133</v>
      </c>
      <c r="D1724" s="28"/>
      <c r="E1724" s="28"/>
      <c r="F1724" s="29" t="n">
        <f aca="false">'📋 Matches'!E68</f>
        <v>0</v>
      </c>
      <c r="G1724" s="29" t="n">
        <f aca="false">'📋 Matches'!F68</f>
        <v>0</v>
      </c>
      <c r="H1724" s="30" t="s">
        <v>148</v>
      </c>
      <c r="I1724" s="30" t="s">
        <v>148</v>
      </c>
      <c r="J1724" s="30" t="s">
        <v>148</v>
      </c>
      <c r="K1724" s="30" t="s">
        <v>148</v>
      </c>
      <c r="L1724" s="30" t="s">
        <v>148</v>
      </c>
    </row>
    <row r="1725" customFormat="false" ht="18" hidden="false" customHeight="true" outlineLevel="0" collapsed="false">
      <c r="A1725" s="25" t="s">
        <v>114</v>
      </c>
      <c r="B1725" s="26" t="s">
        <v>171</v>
      </c>
      <c r="C1725" s="27" t="s">
        <v>134</v>
      </c>
      <c r="D1725" s="28"/>
      <c r="E1725" s="28"/>
      <c r="F1725" s="29" t="n">
        <f aca="false">'📋 Matches'!E69</f>
        <v>0</v>
      </c>
      <c r="G1725" s="29" t="n">
        <f aca="false">'📋 Matches'!F69</f>
        <v>0</v>
      </c>
      <c r="H1725" s="30" t="s">
        <v>148</v>
      </c>
      <c r="I1725" s="30" t="s">
        <v>148</v>
      </c>
      <c r="J1725" s="30" t="s">
        <v>148</v>
      </c>
      <c r="K1725" s="30" t="s">
        <v>148</v>
      </c>
      <c r="L1725" s="30" t="s">
        <v>148</v>
      </c>
    </row>
    <row r="1726" customFormat="false" ht="18" hidden="false" customHeight="true" outlineLevel="0" collapsed="false">
      <c r="A1726" s="25" t="s">
        <v>114</v>
      </c>
      <c r="B1726" s="26" t="s">
        <v>171</v>
      </c>
      <c r="C1726" s="27" t="s">
        <v>135</v>
      </c>
      <c r="D1726" s="28"/>
      <c r="E1726" s="28"/>
      <c r="F1726" s="29" t="n">
        <f aca="false">'📋 Matches'!E70</f>
        <v>0</v>
      </c>
      <c r="G1726" s="29" t="n">
        <f aca="false">'📋 Matches'!F70</f>
        <v>0</v>
      </c>
      <c r="H1726" s="30" t="s">
        <v>148</v>
      </c>
      <c r="I1726" s="30" t="s">
        <v>148</v>
      </c>
      <c r="J1726" s="30" t="s">
        <v>148</v>
      </c>
      <c r="K1726" s="30" t="s">
        <v>148</v>
      </c>
      <c r="L1726" s="30" t="s">
        <v>148</v>
      </c>
    </row>
    <row r="1727" customFormat="false" ht="18" hidden="false" customHeight="true" outlineLevel="0" collapsed="false">
      <c r="A1727" s="25" t="s">
        <v>114</v>
      </c>
      <c r="B1727" s="26" t="s">
        <v>171</v>
      </c>
      <c r="C1727" s="27" t="s">
        <v>136</v>
      </c>
      <c r="D1727" s="28"/>
      <c r="E1727" s="28"/>
      <c r="F1727" s="29" t="n">
        <f aca="false">'📋 Matches'!E71</f>
        <v>0</v>
      </c>
      <c r="G1727" s="29" t="n">
        <f aca="false">'📋 Matches'!F71</f>
        <v>0</v>
      </c>
      <c r="H1727" s="30" t="s">
        <v>148</v>
      </c>
      <c r="I1727" s="30" t="s">
        <v>148</v>
      </c>
      <c r="J1727" s="30" t="s">
        <v>148</v>
      </c>
      <c r="K1727" s="30" t="s">
        <v>148</v>
      </c>
      <c r="L1727" s="30" t="s">
        <v>148</v>
      </c>
    </row>
    <row r="1728" customFormat="false" ht="18" hidden="false" customHeight="true" outlineLevel="0" collapsed="false">
      <c r="A1728" s="25" t="s">
        <v>114</v>
      </c>
      <c r="B1728" s="26" t="s">
        <v>171</v>
      </c>
      <c r="C1728" s="27" t="s">
        <v>137</v>
      </c>
      <c r="D1728" s="28"/>
      <c r="E1728" s="28"/>
      <c r="F1728" s="29" t="n">
        <f aca="false">'📋 Matches'!E72</f>
        <v>0</v>
      </c>
      <c r="G1728" s="29" t="n">
        <f aca="false">'📋 Matches'!F72</f>
        <v>0</v>
      </c>
      <c r="H1728" s="30" t="s">
        <v>148</v>
      </c>
      <c r="I1728" s="30" t="s">
        <v>148</v>
      </c>
      <c r="J1728" s="30" t="s">
        <v>148</v>
      </c>
      <c r="K1728" s="30" t="s">
        <v>148</v>
      </c>
      <c r="L1728" s="30" t="s">
        <v>148</v>
      </c>
    </row>
    <row r="1729" customFormat="false" ht="18" hidden="false" customHeight="true" outlineLevel="0" collapsed="false">
      <c r="A1729" s="25" t="s">
        <v>114</v>
      </c>
      <c r="B1729" s="26" t="s">
        <v>171</v>
      </c>
      <c r="C1729" s="27" t="s">
        <v>138</v>
      </c>
      <c r="D1729" s="28"/>
      <c r="E1729" s="28"/>
      <c r="F1729" s="29" t="n">
        <f aca="false">'📋 Matches'!E73</f>
        <v>0</v>
      </c>
      <c r="G1729" s="29" t="n">
        <f aca="false">'📋 Matches'!F73</f>
        <v>0</v>
      </c>
      <c r="H1729" s="30" t="s">
        <v>148</v>
      </c>
      <c r="I1729" s="30" t="s">
        <v>148</v>
      </c>
      <c r="J1729" s="30" t="s">
        <v>148</v>
      </c>
      <c r="K1729" s="30" t="s">
        <v>148</v>
      </c>
      <c r="L1729" s="30" t="s">
        <v>148</v>
      </c>
    </row>
    <row r="1730" customFormat="false" ht="18" hidden="false" customHeight="true" outlineLevel="0" collapsed="false">
      <c r="A1730" s="17" t="s">
        <v>9</v>
      </c>
      <c r="B1730" s="31" t="s">
        <v>172</v>
      </c>
      <c r="C1730" s="19" t="s">
        <v>10</v>
      </c>
      <c r="D1730" s="20" t="n">
        <v>2</v>
      </c>
      <c r="E1730" s="20" t="n">
        <v>1</v>
      </c>
      <c r="F1730" s="21" t="n">
        <f aca="false">'📋 Matches'!E2</f>
        <v>2</v>
      </c>
      <c r="G1730" s="21" t="n">
        <f aca="false">'📋 Matches'!F2</f>
        <v>0</v>
      </c>
      <c r="H1730" s="22" t="n">
        <f aca="false">IF(AND(ISNUMBER(F1730),ISNUMBER(G1730)),IF(SIGN(D1730-E1730)=SIGN(F1730-G1730),48,0),"")</f>
        <v>48</v>
      </c>
      <c r="I1730" s="22" t="n">
        <f aca="false">IF(AND(ISNUMBER(F1730),ISNUMBER(G1730)),IF(D1730=F1730,15,0),"")</f>
        <v>15</v>
      </c>
      <c r="J1730" s="22" t="n">
        <f aca="false">IF(AND(ISNUMBER(F1730),ISNUMBER(G1730)),IF(E1730=G1730,15,0),"")</f>
        <v>0</v>
      </c>
      <c r="K1730" s="22" t="n">
        <f aca="false">IF(AND(ISNUMBER(F1730),ISNUMBER(G1730)),IF(ABS(D1730-E1730)=ABS(F1730-G1730),12,0),"")</f>
        <v>0</v>
      </c>
      <c r="L1730" s="23" t="n">
        <f aca="false">IF(ISNUMBER(H1730),H1730+I1730+J1730+K1730,"")</f>
        <v>63</v>
      </c>
    </row>
    <row r="1731" customFormat="false" ht="18" hidden="false" customHeight="true" outlineLevel="0" collapsed="false">
      <c r="A1731" s="17" t="s">
        <v>9</v>
      </c>
      <c r="B1731" s="31" t="s">
        <v>172</v>
      </c>
      <c r="C1731" s="19" t="s">
        <v>14</v>
      </c>
      <c r="D1731" s="20" t="n">
        <v>1</v>
      </c>
      <c r="E1731" s="20" t="n">
        <v>1</v>
      </c>
      <c r="F1731" s="21" t="n">
        <f aca="false">'📋 Matches'!E3</f>
        <v>2</v>
      </c>
      <c r="G1731" s="21" t="n">
        <f aca="false">'📋 Matches'!F3</f>
        <v>1</v>
      </c>
      <c r="H1731" s="22" t="n">
        <f aca="false">IF(AND(ISNUMBER(F1731),ISNUMBER(G1731)),IF(SIGN(D1731-E1731)=SIGN(F1731-G1731),48,0),"")</f>
        <v>0</v>
      </c>
      <c r="I1731" s="22" t="n">
        <f aca="false">IF(AND(ISNUMBER(F1731),ISNUMBER(G1731)),IF(D1731=F1731,15,0),"")</f>
        <v>0</v>
      </c>
      <c r="J1731" s="22" t="n">
        <f aca="false">IF(AND(ISNUMBER(F1731),ISNUMBER(G1731)),IF(E1731=G1731,15,0),"")</f>
        <v>15</v>
      </c>
      <c r="K1731" s="22" t="n">
        <f aca="false">IF(AND(ISNUMBER(F1731),ISNUMBER(G1731)),IF(ABS(D1731-E1731)=ABS(F1731-G1731),12,0),"")</f>
        <v>0</v>
      </c>
      <c r="L1731" s="23" t="n">
        <f aca="false">IF(ISNUMBER(H1731),H1731+I1731+J1731+K1731,"")</f>
        <v>15</v>
      </c>
    </row>
    <row r="1732" customFormat="false" ht="18" hidden="false" customHeight="true" outlineLevel="0" collapsed="false">
      <c r="A1732" s="17" t="s">
        <v>9</v>
      </c>
      <c r="B1732" s="31" t="s">
        <v>172</v>
      </c>
      <c r="C1732" s="19" t="s">
        <v>17</v>
      </c>
      <c r="D1732" s="20" t="n">
        <v>2</v>
      </c>
      <c r="E1732" s="20" t="n">
        <v>0</v>
      </c>
      <c r="F1732" s="21" t="n">
        <f aca="false">'📋 Matches'!E4</f>
        <v>1</v>
      </c>
      <c r="G1732" s="21" t="n">
        <f aca="false">'📋 Matches'!F4</f>
        <v>1</v>
      </c>
      <c r="H1732" s="22" t="n">
        <f aca="false">IF(AND(ISNUMBER(F1732),ISNUMBER(G1732)),IF(SIGN(D1732-E1732)=SIGN(F1732-G1732),48,0),"")</f>
        <v>0</v>
      </c>
      <c r="I1732" s="22" t="n">
        <f aca="false">IF(AND(ISNUMBER(F1732),ISNUMBER(G1732)),IF(D1732=F1732,15,0),"")</f>
        <v>0</v>
      </c>
      <c r="J1732" s="22" t="n">
        <f aca="false">IF(AND(ISNUMBER(F1732),ISNUMBER(G1732)),IF(E1732=G1732,15,0),"")</f>
        <v>0</v>
      </c>
      <c r="K1732" s="22" t="n">
        <f aca="false">IF(AND(ISNUMBER(F1732),ISNUMBER(G1732)),IF(ABS(D1732-E1732)=ABS(F1732-G1732),12,0),"")</f>
        <v>0</v>
      </c>
      <c r="L1732" s="23" t="n">
        <f aca="false">IF(ISNUMBER(H1732),H1732+I1732+J1732+K1732,"")</f>
        <v>0</v>
      </c>
    </row>
    <row r="1733" customFormat="false" ht="18" hidden="false" customHeight="true" outlineLevel="0" collapsed="false">
      <c r="A1733" s="17" t="s">
        <v>9</v>
      </c>
      <c r="B1733" s="31" t="s">
        <v>172</v>
      </c>
      <c r="C1733" s="19" t="s">
        <v>20</v>
      </c>
      <c r="D1733" s="20" t="n">
        <v>2</v>
      </c>
      <c r="E1733" s="20" t="n">
        <v>1</v>
      </c>
      <c r="F1733" s="21" t="n">
        <f aca="false">'📋 Matches'!E5</f>
        <v>4</v>
      </c>
      <c r="G1733" s="21" t="n">
        <f aca="false">'📋 Matches'!F5</f>
        <v>1</v>
      </c>
      <c r="H1733" s="22" t="n">
        <f aca="false">IF(AND(ISNUMBER(F1733),ISNUMBER(G1733)),IF(SIGN(D1733-E1733)=SIGN(F1733-G1733),48,0),"")</f>
        <v>48</v>
      </c>
      <c r="I1733" s="22" t="n">
        <f aca="false">IF(AND(ISNUMBER(F1733),ISNUMBER(G1733)),IF(D1733=F1733,15,0),"")</f>
        <v>0</v>
      </c>
      <c r="J1733" s="22" t="n">
        <f aca="false">IF(AND(ISNUMBER(F1733),ISNUMBER(G1733)),IF(E1733=G1733,15,0),"")</f>
        <v>15</v>
      </c>
      <c r="K1733" s="22" t="n">
        <f aca="false">IF(AND(ISNUMBER(F1733),ISNUMBER(G1733)),IF(ABS(D1733-E1733)=ABS(F1733-G1733),12,0),"")</f>
        <v>0</v>
      </c>
      <c r="L1733" s="23" t="n">
        <f aca="false">IF(ISNUMBER(H1733),H1733+I1733+J1733+K1733,"")</f>
        <v>63</v>
      </c>
    </row>
    <row r="1734" customFormat="false" ht="18" hidden="false" customHeight="true" outlineLevel="0" collapsed="false">
      <c r="A1734" s="17" t="s">
        <v>9</v>
      </c>
      <c r="B1734" s="31" t="s">
        <v>172</v>
      </c>
      <c r="C1734" s="19" t="s">
        <v>23</v>
      </c>
      <c r="D1734" s="20" t="n">
        <v>1</v>
      </c>
      <c r="E1734" s="20" t="n">
        <v>2</v>
      </c>
      <c r="F1734" s="21" t="n">
        <f aca="false">'📋 Matches'!E6</f>
        <v>0</v>
      </c>
      <c r="G1734" s="21" t="n">
        <f aca="false">'📋 Matches'!F6</f>
        <v>0</v>
      </c>
      <c r="H1734" s="22" t="str">
        <f aca="false">IF(AND(ISNUMBER(F1734),ISNUMBER(G1734)),IF(SIGN(D1734-E1734)=SIGN(F1734-G1734),48,0),"")</f>
        <v/>
      </c>
      <c r="I1734" s="22" t="str">
        <f aca="false">IF(AND(ISNUMBER(F1734),ISNUMBER(G1734)),IF(D1734=F1734,15,0),"")</f>
        <v/>
      </c>
      <c r="J1734" s="22" t="str">
        <f aca="false">IF(AND(ISNUMBER(F1734),ISNUMBER(G1734)),IF(E1734=G1734,15,0),"")</f>
        <v/>
      </c>
      <c r="K1734" s="22" t="str">
        <f aca="false">IF(AND(ISNUMBER(F1734),ISNUMBER(G1734)),IF(ABS(D1734-E1734)=ABS(F1734-G1734),12,0),"")</f>
        <v/>
      </c>
      <c r="L1734" s="23" t="str">
        <f aca="false">IF(ISNUMBER(H1734),H1734+I1734+J1734+K1734,"")</f>
        <v/>
      </c>
    </row>
    <row r="1735" customFormat="false" ht="18" hidden="false" customHeight="true" outlineLevel="0" collapsed="false">
      <c r="A1735" s="17" t="s">
        <v>9</v>
      </c>
      <c r="B1735" s="31" t="s">
        <v>172</v>
      </c>
      <c r="C1735" s="19" t="s">
        <v>27</v>
      </c>
      <c r="D1735" s="20" t="n">
        <v>2</v>
      </c>
      <c r="E1735" s="20" t="n">
        <v>2</v>
      </c>
      <c r="F1735" s="21" t="n">
        <f aca="false">'📋 Matches'!E7</f>
        <v>0</v>
      </c>
      <c r="G1735" s="21" t="n">
        <f aca="false">'📋 Matches'!F7</f>
        <v>0</v>
      </c>
      <c r="H1735" s="22" t="str">
        <f aca="false">IF(AND(ISNUMBER(F1735),ISNUMBER(G1735)),IF(SIGN(D1735-E1735)=SIGN(F1735-G1735),48,0),"")</f>
        <v/>
      </c>
      <c r="I1735" s="22" t="str">
        <f aca="false">IF(AND(ISNUMBER(F1735),ISNUMBER(G1735)),IF(D1735=F1735,15,0),"")</f>
        <v/>
      </c>
      <c r="J1735" s="22" t="str">
        <f aca="false">IF(AND(ISNUMBER(F1735),ISNUMBER(G1735)),IF(E1735=G1735,15,0),"")</f>
        <v/>
      </c>
      <c r="K1735" s="22" t="str">
        <f aca="false">IF(AND(ISNUMBER(F1735),ISNUMBER(G1735)),IF(ABS(D1735-E1735)=ABS(F1735-G1735),12,0),"")</f>
        <v/>
      </c>
      <c r="L1735" s="23" t="str">
        <f aca="false">IF(ISNUMBER(H1735),H1735+I1735+J1735+K1735,"")</f>
        <v/>
      </c>
    </row>
    <row r="1736" customFormat="false" ht="18" hidden="false" customHeight="true" outlineLevel="0" collapsed="false">
      <c r="A1736" s="17" t="s">
        <v>9</v>
      </c>
      <c r="B1736" s="31" t="s">
        <v>172</v>
      </c>
      <c r="C1736" s="19" t="s">
        <v>30</v>
      </c>
      <c r="D1736" s="20" t="n">
        <v>1</v>
      </c>
      <c r="E1736" s="20" t="n">
        <v>3</v>
      </c>
      <c r="F1736" s="21" t="n">
        <f aca="false">'📋 Matches'!E8</f>
        <v>0</v>
      </c>
      <c r="G1736" s="21" t="n">
        <f aca="false">'📋 Matches'!F8</f>
        <v>0</v>
      </c>
      <c r="H1736" s="22" t="str">
        <f aca="false">IF(AND(ISNUMBER(F1736),ISNUMBER(G1736)),IF(SIGN(D1736-E1736)=SIGN(F1736-G1736),48,0),"")</f>
        <v/>
      </c>
      <c r="I1736" s="22" t="str">
        <f aca="false">IF(AND(ISNUMBER(F1736),ISNUMBER(G1736)),IF(D1736=F1736,15,0),"")</f>
        <v/>
      </c>
      <c r="J1736" s="22" t="str">
        <f aca="false">IF(AND(ISNUMBER(F1736),ISNUMBER(G1736)),IF(E1736=G1736,15,0),"")</f>
        <v/>
      </c>
      <c r="K1736" s="22" t="str">
        <f aca="false">IF(AND(ISNUMBER(F1736),ISNUMBER(G1736)),IF(ABS(D1736-E1736)=ABS(F1736-G1736),12,0),"")</f>
        <v/>
      </c>
      <c r="L1736" s="23" t="str">
        <f aca="false">IF(ISNUMBER(H1736),H1736+I1736+J1736+K1736,"")</f>
        <v/>
      </c>
    </row>
    <row r="1737" customFormat="false" ht="18" hidden="false" customHeight="true" outlineLevel="0" collapsed="false">
      <c r="A1737" s="17" t="s">
        <v>9</v>
      </c>
      <c r="B1737" s="31" t="s">
        <v>172</v>
      </c>
      <c r="C1737" s="19" t="s">
        <v>33</v>
      </c>
      <c r="D1737" s="20" t="n">
        <v>1</v>
      </c>
      <c r="E1737" s="20" t="n">
        <v>2</v>
      </c>
      <c r="F1737" s="21" t="n">
        <f aca="false">'📋 Matches'!E9</f>
        <v>0</v>
      </c>
      <c r="G1737" s="21" t="n">
        <f aca="false">'📋 Matches'!F9</f>
        <v>0</v>
      </c>
      <c r="H1737" s="22" t="str">
        <f aca="false">IF(AND(ISNUMBER(F1737),ISNUMBER(G1737)),IF(SIGN(D1737-E1737)=SIGN(F1737-G1737),48,0),"")</f>
        <v/>
      </c>
      <c r="I1737" s="22" t="str">
        <f aca="false">IF(AND(ISNUMBER(F1737),ISNUMBER(G1737)),IF(D1737=F1737,15,0),"")</f>
        <v/>
      </c>
      <c r="J1737" s="22" t="str">
        <f aca="false">IF(AND(ISNUMBER(F1737),ISNUMBER(G1737)),IF(E1737=G1737,15,0),"")</f>
        <v/>
      </c>
      <c r="K1737" s="22" t="str">
        <f aca="false">IF(AND(ISNUMBER(F1737),ISNUMBER(G1737)),IF(ABS(D1737-E1737)=ABS(F1737-G1737),12,0),"")</f>
        <v/>
      </c>
      <c r="L1737" s="23" t="str">
        <f aca="false">IF(ISNUMBER(H1737),H1737+I1737+J1737+K1737,"")</f>
        <v/>
      </c>
    </row>
    <row r="1738" customFormat="false" ht="18" hidden="false" customHeight="true" outlineLevel="0" collapsed="false">
      <c r="A1738" s="17" t="s">
        <v>9</v>
      </c>
      <c r="B1738" s="31" t="s">
        <v>172</v>
      </c>
      <c r="C1738" s="19" t="s">
        <v>36</v>
      </c>
      <c r="D1738" s="20" t="n">
        <v>3</v>
      </c>
      <c r="E1738" s="20" t="n">
        <v>1</v>
      </c>
      <c r="F1738" s="21" t="n">
        <f aca="false">'📋 Matches'!E10</f>
        <v>0</v>
      </c>
      <c r="G1738" s="21" t="n">
        <f aca="false">'📋 Matches'!F10</f>
        <v>0</v>
      </c>
      <c r="H1738" s="22" t="str">
        <f aca="false">IF(AND(ISNUMBER(F1738),ISNUMBER(G1738)),IF(SIGN(D1738-E1738)=SIGN(F1738-G1738),48,0),"")</f>
        <v/>
      </c>
      <c r="I1738" s="22" t="str">
        <f aca="false">IF(AND(ISNUMBER(F1738),ISNUMBER(G1738)),IF(D1738=F1738,15,0),"")</f>
        <v/>
      </c>
      <c r="J1738" s="22" t="str">
        <f aca="false">IF(AND(ISNUMBER(F1738),ISNUMBER(G1738)),IF(E1738=G1738,15,0),"")</f>
        <v/>
      </c>
      <c r="K1738" s="22" t="str">
        <f aca="false">IF(AND(ISNUMBER(F1738),ISNUMBER(G1738)),IF(ABS(D1738-E1738)=ABS(F1738-G1738),12,0),"")</f>
        <v/>
      </c>
      <c r="L1738" s="23" t="str">
        <f aca="false">IF(ISNUMBER(H1738),H1738+I1738+J1738+K1738,"")</f>
        <v/>
      </c>
    </row>
    <row r="1739" customFormat="false" ht="18" hidden="false" customHeight="true" outlineLevel="0" collapsed="false">
      <c r="A1739" s="17" t="s">
        <v>9</v>
      </c>
      <c r="B1739" s="31" t="s">
        <v>172</v>
      </c>
      <c r="C1739" s="19" t="s">
        <v>39</v>
      </c>
      <c r="D1739" s="20" t="n">
        <v>1</v>
      </c>
      <c r="E1739" s="20" t="n">
        <v>0</v>
      </c>
      <c r="F1739" s="21" t="n">
        <f aca="false">'📋 Matches'!E11</f>
        <v>0</v>
      </c>
      <c r="G1739" s="21" t="n">
        <f aca="false">'📋 Matches'!F11</f>
        <v>0</v>
      </c>
      <c r="H1739" s="22" t="str">
        <f aca="false">IF(AND(ISNUMBER(F1739),ISNUMBER(G1739)),IF(SIGN(D1739-E1739)=SIGN(F1739-G1739),48,0),"")</f>
        <v/>
      </c>
      <c r="I1739" s="22" t="str">
        <f aca="false">IF(AND(ISNUMBER(F1739),ISNUMBER(G1739)),IF(D1739=F1739,15,0),"")</f>
        <v/>
      </c>
      <c r="J1739" s="22" t="str">
        <f aca="false">IF(AND(ISNUMBER(F1739),ISNUMBER(G1739)),IF(E1739=G1739,15,0),"")</f>
        <v/>
      </c>
      <c r="K1739" s="22" t="str">
        <f aca="false">IF(AND(ISNUMBER(F1739),ISNUMBER(G1739)),IF(ABS(D1739-E1739)=ABS(F1739-G1739),12,0),"")</f>
        <v/>
      </c>
      <c r="L1739" s="23" t="str">
        <f aca="false">IF(ISNUMBER(H1739),H1739+I1739+J1739+K1739,"")</f>
        <v/>
      </c>
    </row>
    <row r="1740" customFormat="false" ht="18" hidden="false" customHeight="true" outlineLevel="0" collapsed="false">
      <c r="A1740" s="17" t="s">
        <v>9</v>
      </c>
      <c r="B1740" s="31" t="s">
        <v>172</v>
      </c>
      <c r="C1740" s="19" t="s">
        <v>42</v>
      </c>
      <c r="D1740" s="20" t="n">
        <v>1</v>
      </c>
      <c r="E1740" s="20" t="n">
        <v>3</v>
      </c>
      <c r="F1740" s="21" t="n">
        <f aca="false">'📋 Matches'!E12</f>
        <v>0</v>
      </c>
      <c r="G1740" s="21" t="n">
        <f aca="false">'📋 Matches'!F12</f>
        <v>0</v>
      </c>
      <c r="H1740" s="22" t="str">
        <f aca="false">IF(AND(ISNUMBER(F1740),ISNUMBER(G1740)),IF(SIGN(D1740-E1740)=SIGN(F1740-G1740),48,0),"")</f>
        <v/>
      </c>
      <c r="I1740" s="22" t="str">
        <f aca="false">IF(AND(ISNUMBER(F1740),ISNUMBER(G1740)),IF(D1740=F1740,15,0),"")</f>
        <v/>
      </c>
      <c r="J1740" s="22" t="str">
        <f aca="false">IF(AND(ISNUMBER(F1740),ISNUMBER(G1740)),IF(E1740=G1740,15,0),"")</f>
        <v/>
      </c>
      <c r="K1740" s="22" t="str">
        <f aca="false">IF(AND(ISNUMBER(F1740),ISNUMBER(G1740)),IF(ABS(D1740-E1740)=ABS(F1740-G1740),12,0),"")</f>
        <v/>
      </c>
      <c r="L1740" s="23" t="str">
        <f aca="false">IF(ISNUMBER(H1740),H1740+I1740+J1740+K1740,"")</f>
        <v/>
      </c>
    </row>
    <row r="1741" customFormat="false" ht="18" hidden="false" customHeight="true" outlineLevel="0" collapsed="false">
      <c r="A1741" s="17" t="s">
        <v>9</v>
      </c>
      <c r="B1741" s="31" t="s">
        <v>172</v>
      </c>
      <c r="C1741" s="19" t="s">
        <v>45</v>
      </c>
      <c r="D1741" s="20" t="n">
        <v>2</v>
      </c>
      <c r="E1741" s="20" t="n">
        <v>0</v>
      </c>
      <c r="F1741" s="21" t="n">
        <f aca="false">'📋 Matches'!E13</f>
        <v>0</v>
      </c>
      <c r="G1741" s="21" t="n">
        <f aca="false">'📋 Matches'!F13</f>
        <v>0</v>
      </c>
      <c r="H1741" s="22" t="str">
        <f aca="false">IF(AND(ISNUMBER(F1741),ISNUMBER(G1741)),IF(SIGN(D1741-E1741)=SIGN(F1741-G1741),48,0),"")</f>
        <v/>
      </c>
      <c r="I1741" s="22" t="str">
        <f aca="false">IF(AND(ISNUMBER(F1741),ISNUMBER(G1741)),IF(D1741=F1741,15,0),"")</f>
        <v/>
      </c>
      <c r="J1741" s="22" t="str">
        <f aca="false">IF(AND(ISNUMBER(F1741),ISNUMBER(G1741)),IF(E1741=G1741,15,0),"")</f>
        <v/>
      </c>
      <c r="K1741" s="22" t="str">
        <f aca="false">IF(AND(ISNUMBER(F1741),ISNUMBER(G1741)),IF(ABS(D1741-E1741)=ABS(F1741-G1741),12,0),"")</f>
        <v/>
      </c>
      <c r="L1741" s="23" t="str">
        <f aca="false">IF(ISNUMBER(H1741),H1741+I1741+J1741+K1741,"")</f>
        <v/>
      </c>
    </row>
    <row r="1742" customFormat="false" ht="18" hidden="false" customHeight="true" outlineLevel="0" collapsed="false">
      <c r="A1742" s="17" t="s">
        <v>9</v>
      </c>
      <c r="B1742" s="31" t="s">
        <v>172</v>
      </c>
      <c r="C1742" s="19" t="s">
        <v>48</v>
      </c>
      <c r="D1742" s="20" t="n">
        <v>5</v>
      </c>
      <c r="E1742" s="20" t="n">
        <v>1</v>
      </c>
      <c r="F1742" s="21" t="n">
        <f aca="false">'📋 Matches'!E14</f>
        <v>0</v>
      </c>
      <c r="G1742" s="21" t="n">
        <f aca="false">'📋 Matches'!F14</f>
        <v>0</v>
      </c>
      <c r="H1742" s="22" t="str">
        <f aca="false">IF(AND(ISNUMBER(F1742),ISNUMBER(G1742)),IF(SIGN(D1742-E1742)=SIGN(F1742-G1742),48,0),"")</f>
        <v/>
      </c>
      <c r="I1742" s="22" t="str">
        <f aca="false">IF(AND(ISNUMBER(F1742),ISNUMBER(G1742)),IF(D1742=F1742,15,0),"")</f>
        <v/>
      </c>
      <c r="J1742" s="22" t="str">
        <f aca="false">IF(AND(ISNUMBER(F1742),ISNUMBER(G1742)),IF(E1742=G1742,15,0),"")</f>
        <v/>
      </c>
      <c r="K1742" s="22" t="str">
        <f aca="false">IF(AND(ISNUMBER(F1742),ISNUMBER(G1742)),IF(ABS(D1742-E1742)=ABS(F1742-G1742),12,0),"")</f>
        <v/>
      </c>
      <c r="L1742" s="23" t="str">
        <f aca="false">IF(ISNUMBER(H1742),H1742+I1742+J1742+K1742,"")</f>
        <v/>
      </c>
    </row>
    <row r="1743" customFormat="false" ht="18" hidden="false" customHeight="true" outlineLevel="0" collapsed="false">
      <c r="A1743" s="17" t="s">
        <v>9</v>
      </c>
      <c r="B1743" s="31" t="s">
        <v>172</v>
      </c>
      <c r="C1743" s="19" t="s">
        <v>51</v>
      </c>
      <c r="D1743" s="20" t="n">
        <v>1</v>
      </c>
      <c r="E1743" s="20" t="n">
        <v>1</v>
      </c>
      <c r="F1743" s="21" t="n">
        <f aca="false">'📋 Matches'!E15</f>
        <v>0</v>
      </c>
      <c r="G1743" s="21" t="n">
        <f aca="false">'📋 Matches'!F15</f>
        <v>0</v>
      </c>
      <c r="H1743" s="22" t="str">
        <f aca="false">IF(AND(ISNUMBER(F1743),ISNUMBER(G1743)),IF(SIGN(D1743-E1743)=SIGN(F1743-G1743),48,0),"")</f>
        <v/>
      </c>
      <c r="I1743" s="22" t="str">
        <f aca="false">IF(AND(ISNUMBER(F1743),ISNUMBER(G1743)),IF(D1743=F1743,15,0),"")</f>
        <v/>
      </c>
      <c r="J1743" s="22" t="str">
        <f aca="false">IF(AND(ISNUMBER(F1743),ISNUMBER(G1743)),IF(E1743=G1743,15,0),"")</f>
        <v/>
      </c>
      <c r="K1743" s="22" t="str">
        <f aca="false">IF(AND(ISNUMBER(F1743),ISNUMBER(G1743)),IF(ABS(D1743-E1743)=ABS(F1743-G1743),12,0),"")</f>
        <v/>
      </c>
      <c r="L1743" s="23" t="str">
        <f aca="false">IF(ISNUMBER(H1743),H1743+I1743+J1743+K1743,"")</f>
        <v/>
      </c>
    </row>
    <row r="1744" customFormat="false" ht="18" hidden="false" customHeight="true" outlineLevel="0" collapsed="false">
      <c r="A1744" s="17" t="s">
        <v>9</v>
      </c>
      <c r="B1744" s="31" t="s">
        <v>172</v>
      </c>
      <c r="C1744" s="19" t="s">
        <v>54</v>
      </c>
      <c r="D1744" s="20" t="n">
        <v>1</v>
      </c>
      <c r="E1744" s="20" t="n">
        <v>2</v>
      </c>
      <c r="F1744" s="21" t="n">
        <f aca="false">'📋 Matches'!E16</f>
        <v>0</v>
      </c>
      <c r="G1744" s="21" t="n">
        <f aca="false">'📋 Matches'!F16</f>
        <v>0</v>
      </c>
      <c r="H1744" s="22" t="str">
        <f aca="false">IF(AND(ISNUMBER(F1744),ISNUMBER(G1744)),IF(SIGN(D1744-E1744)=SIGN(F1744-G1744),48,0),"")</f>
        <v/>
      </c>
      <c r="I1744" s="22" t="str">
        <f aca="false">IF(AND(ISNUMBER(F1744),ISNUMBER(G1744)),IF(D1744=F1744,15,0),"")</f>
        <v/>
      </c>
      <c r="J1744" s="22" t="str">
        <f aca="false">IF(AND(ISNUMBER(F1744),ISNUMBER(G1744)),IF(E1744=G1744,15,0),"")</f>
        <v/>
      </c>
      <c r="K1744" s="22" t="str">
        <f aca="false">IF(AND(ISNUMBER(F1744),ISNUMBER(G1744)),IF(ABS(D1744-E1744)=ABS(F1744-G1744),12,0),"")</f>
        <v/>
      </c>
      <c r="L1744" s="23" t="str">
        <f aca="false">IF(ISNUMBER(H1744),H1744+I1744+J1744+K1744,"")</f>
        <v/>
      </c>
    </row>
    <row r="1745" customFormat="false" ht="18" hidden="false" customHeight="true" outlineLevel="0" collapsed="false">
      <c r="A1745" s="17" t="s">
        <v>9</v>
      </c>
      <c r="B1745" s="31" t="s">
        <v>172</v>
      </c>
      <c r="C1745" s="19" t="s">
        <v>57</v>
      </c>
      <c r="D1745" s="20" t="n">
        <v>0</v>
      </c>
      <c r="E1745" s="20" t="n">
        <v>0</v>
      </c>
      <c r="F1745" s="21" t="n">
        <f aca="false">'📋 Matches'!E17</f>
        <v>0</v>
      </c>
      <c r="G1745" s="21" t="n">
        <f aca="false">'📋 Matches'!F17</f>
        <v>0</v>
      </c>
      <c r="H1745" s="22" t="str">
        <f aca="false">IF(AND(ISNUMBER(F1745),ISNUMBER(G1745)),IF(SIGN(D1745-E1745)=SIGN(F1745-G1745),48,0),"")</f>
        <v/>
      </c>
      <c r="I1745" s="22" t="str">
        <f aca="false">IF(AND(ISNUMBER(F1745),ISNUMBER(G1745)),IF(D1745=F1745,15,0),"")</f>
        <v/>
      </c>
      <c r="J1745" s="22" t="str">
        <f aca="false">IF(AND(ISNUMBER(F1745),ISNUMBER(G1745)),IF(E1745=G1745,15,0),"")</f>
        <v/>
      </c>
      <c r="K1745" s="22" t="str">
        <f aca="false">IF(AND(ISNUMBER(F1745),ISNUMBER(G1745)),IF(ABS(D1745-E1745)=ABS(F1745-G1745),12,0),"")</f>
        <v/>
      </c>
      <c r="L1745" s="23" t="str">
        <f aca="false">IF(ISNUMBER(H1745),H1745+I1745+J1745+K1745,"")</f>
        <v/>
      </c>
    </row>
    <row r="1746" customFormat="false" ht="18" hidden="false" customHeight="true" outlineLevel="0" collapsed="false">
      <c r="A1746" s="17" t="s">
        <v>9</v>
      </c>
      <c r="B1746" s="31" t="s">
        <v>172</v>
      </c>
      <c r="C1746" s="19" t="s">
        <v>60</v>
      </c>
      <c r="D1746" s="20" t="n">
        <v>3</v>
      </c>
      <c r="E1746" s="20" t="n">
        <v>2</v>
      </c>
      <c r="F1746" s="21" t="n">
        <f aca="false">'📋 Matches'!E18</f>
        <v>0</v>
      </c>
      <c r="G1746" s="21" t="n">
        <f aca="false">'📋 Matches'!F18</f>
        <v>0</v>
      </c>
      <c r="H1746" s="22" t="str">
        <f aca="false">IF(AND(ISNUMBER(F1746),ISNUMBER(G1746)),IF(SIGN(D1746-E1746)=SIGN(F1746-G1746),48,0),"")</f>
        <v/>
      </c>
      <c r="I1746" s="22" t="str">
        <f aca="false">IF(AND(ISNUMBER(F1746),ISNUMBER(G1746)),IF(D1746=F1746,15,0),"")</f>
        <v/>
      </c>
      <c r="J1746" s="22" t="str">
        <f aca="false">IF(AND(ISNUMBER(F1746),ISNUMBER(G1746)),IF(E1746=G1746,15,0),"")</f>
        <v/>
      </c>
      <c r="K1746" s="22" t="str">
        <f aca="false">IF(AND(ISNUMBER(F1746),ISNUMBER(G1746)),IF(ABS(D1746-E1746)=ABS(F1746-G1746),12,0),"")</f>
        <v/>
      </c>
      <c r="L1746" s="23" t="str">
        <f aca="false">IF(ISNUMBER(H1746),H1746+I1746+J1746+K1746,"")</f>
        <v/>
      </c>
    </row>
    <row r="1747" customFormat="false" ht="18" hidden="false" customHeight="true" outlineLevel="0" collapsed="false">
      <c r="A1747" s="17" t="s">
        <v>9</v>
      </c>
      <c r="B1747" s="31" t="s">
        <v>172</v>
      </c>
      <c r="C1747" s="19" t="s">
        <v>63</v>
      </c>
      <c r="D1747" s="20" t="n">
        <v>1</v>
      </c>
      <c r="E1747" s="20" t="n">
        <v>3</v>
      </c>
      <c r="F1747" s="21" t="n">
        <f aca="false">'📋 Matches'!E19</f>
        <v>0</v>
      </c>
      <c r="G1747" s="21" t="n">
        <f aca="false">'📋 Matches'!F19</f>
        <v>0</v>
      </c>
      <c r="H1747" s="22" t="str">
        <f aca="false">IF(AND(ISNUMBER(F1747),ISNUMBER(G1747)),IF(SIGN(D1747-E1747)=SIGN(F1747-G1747),48,0),"")</f>
        <v/>
      </c>
      <c r="I1747" s="22" t="str">
        <f aca="false">IF(AND(ISNUMBER(F1747),ISNUMBER(G1747)),IF(D1747=F1747,15,0),"")</f>
        <v/>
      </c>
      <c r="J1747" s="22" t="str">
        <f aca="false">IF(AND(ISNUMBER(F1747),ISNUMBER(G1747)),IF(E1747=G1747,15,0),"")</f>
        <v/>
      </c>
      <c r="K1747" s="22" t="str">
        <f aca="false">IF(AND(ISNUMBER(F1747),ISNUMBER(G1747)),IF(ABS(D1747-E1747)=ABS(F1747-G1747),12,0),"")</f>
        <v/>
      </c>
      <c r="L1747" s="23" t="str">
        <f aca="false">IF(ISNUMBER(H1747),H1747+I1747+J1747+K1747,"")</f>
        <v/>
      </c>
    </row>
    <row r="1748" customFormat="false" ht="18" hidden="false" customHeight="true" outlineLevel="0" collapsed="false">
      <c r="A1748" s="17" t="s">
        <v>9</v>
      </c>
      <c r="B1748" s="31" t="s">
        <v>172</v>
      </c>
      <c r="C1748" s="19" t="s">
        <v>66</v>
      </c>
      <c r="D1748" s="20" t="n">
        <v>3</v>
      </c>
      <c r="E1748" s="20" t="n">
        <v>0</v>
      </c>
      <c r="F1748" s="21" t="n">
        <f aca="false">'📋 Matches'!E20</f>
        <v>0</v>
      </c>
      <c r="G1748" s="21" t="n">
        <f aca="false">'📋 Matches'!F20</f>
        <v>0</v>
      </c>
      <c r="H1748" s="22" t="str">
        <f aca="false">IF(AND(ISNUMBER(F1748),ISNUMBER(G1748)),IF(SIGN(D1748-E1748)=SIGN(F1748-G1748),48,0),"")</f>
        <v/>
      </c>
      <c r="I1748" s="22" t="str">
        <f aca="false">IF(AND(ISNUMBER(F1748),ISNUMBER(G1748)),IF(D1748=F1748,15,0),"")</f>
        <v/>
      </c>
      <c r="J1748" s="22" t="str">
        <f aca="false">IF(AND(ISNUMBER(F1748),ISNUMBER(G1748)),IF(E1748=G1748,15,0),"")</f>
        <v/>
      </c>
      <c r="K1748" s="22" t="str">
        <f aca="false">IF(AND(ISNUMBER(F1748),ISNUMBER(G1748)),IF(ABS(D1748-E1748)=ABS(F1748-G1748),12,0),"")</f>
        <v/>
      </c>
      <c r="L1748" s="23" t="str">
        <f aca="false">IF(ISNUMBER(H1748),H1748+I1748+J1748+K1748,"")</f>
        <v/>
      </c>
    </row>
    <row r="1749" customFormat="false" ht="18" hidden="false" customHeight="true" outlineLevel="0" collapsed="false">
      <c r="A1749" s="17" t="s">
        <v>9</v>
      </c>
      <c r="B1749" s="31" t="s">
        <v>172</v>
      </c>
      <c r="C1749" s="19" t="s">
        <v>69</v>
      </c>
      <c r="D1749" s="20" t="n">
        <v>1</v>
      </c>
      <c r="E1749" s="20" t="n">
        <v>2</v>
      </c>
      <c r="F1749" s="21" t="n">
        <f aca="false">'📋 Matches'!E21</f>
        <v>0</v>
      </c>
      <c r="G1749" s="21" t="n">
        <f aca="false">'📋 Matches'!F21</f>
        <v>0</v>
      </c>
      <c r="H1749" s="22" t="str">
        <f aca="false">IF(AND(ISNUMBER(F1749),ISNUMBER(G1749)),IF(SIGN(D1749-E1749)=SIGN(F1749-G1749),48,0),"")</f>
        <v/>
      </c>
      <c r="I1749" s="22" t="str">
        <f aca="false">IF(AND(ISNUMBER(F1749),ISNUMBER(G1749)),IF(D1749=F1749,15,0),"")</f>
        <v/>
      </c>
      <c r="J1749" s="22" t="str">
        <f aca="false">IF(AND(ISNUMBER(F1749),ISNUMBER(G1749)),IF(E1749=G1749,15,0),"")</f>
        <v/>
      </c>
      <c r="K1749" s="22" t="str">
        <f aca="false">IF(AND(ISNUMBER(F1749),ISNUMBER(G1749)),IF(ABS(D1749-E1749)=ABS(F1749-G1749),12,0),"")</f>
        <v/>
      </c>
      <c r="L1749" s="23" t="str">
        <f aca="false">IF(ISNUMBER(H1749),H1749+I1749+J1749+K1749,"")</f>
        <v/>
      </c>
    </row>
    <row r="1750" customFormat="false" ht="18" hidden="false" customHeight="true" outlineLevel="0" collapsed="false">
      <c r="A1750" s="17" t="s">
        <v>9</v>
      </c>
      <c r="B1750" s="31" t="s">
        <v>172</v>
      </c>
      <c r="C1750" s="19" t="s">
        <v>72</v>
      </c>
      <c r="D1750" s="20" t="n">
        <v>3</v>
      </c>
      <c r="E1750" s="20" t="n">
        <v>1</v>
      </c>
      <c r="F1750" s="21" t="n">
        <f aca="false">'📋 Matches'!E22</f>
        <v>0</v>
      </c>
      <c r="G1750" s="21" t="n">
        <f aca="false">'📋 Matches'!F22</f>
        <v>0</v>
      </c>
      <c r="H1750" s="22" t="str">
        <f aca="false">IF(AND(ISNUMBER(F1750),ISNUMBER(G1750)),IF(SIGN(D1750-E1750)=SIGN(F1750-G1750),48,0),"")</f>
        <v/>
      </c>
      <c r="I1750" s="22" t="str">
        <f aca="false">IF(AND(ISNUMBER(F1750),ISNUMBER(G1750)),IF(D1750=F1750,15,0),"")</f>
        <v/>
      </c>
      <c r="J1750" s="22" t="str">
        <f aca="false">IF(AND(ISNUMBER(F1750),ISNUMBER(G1750)),IF(E1750=G1750,15,0),"")</f>
        <v/>
      </c>
      <c r="K1750" s="22" t="str">
        <f aca="false">IF(AND(ISNUMBER(F1750),ISNUMBER(G1750)),IF(ABS(D1750-E1750)=ABS(F1750-G1750),12,0),"")</f>
        <v/>
      </c>
      <c r="L1750" s="23" t="str">
        <f aca="false">IF(ISNUMBER(H1750),H1750+I1750+J1750+K1750,"")</f>
        <v/>
      </c>
    </row>
    <row r="1751" customFormat="false" ht="18" hidden="false" customHeight="true" outlineLevel="0" collapsed="false">
      <c r="A1751" s="17" t="s">
        <v>9</v>
      </c>
      <c r="B1751" s="31" t="s">
        <v>172</v>
      </c>
      <c r="C1751" s="19" t="s">
        <v>75</v>
      </c>
      <c r="D1751" s="20" t="n">
        <v>2</v>
      </c>
      <c r="E1751" s="20" t="n">
        <v>1</v>
      </c>
      <c r="F1751" s="21" t="n">
        <f aca="false">'📋 Matches'!E23</f>
        <v>0</v>
      </c>
      <c r="G1751" s="21" t="n">
        <f aca="false">'📋 Matches'!F23</f>
        <v>0</v>
      </c>
      <c r="H1751" s="22" t="str">
        <f aca="false">IF(AND(ISNUMBER(F1751),ISNUMBER(G1751)),IF(SIGN(D1751-E1751)=SIGN(F1751-G1751),48,0),"")</f>
        <v/>
      </c>
      <c r="I1751" s="22" t="str">
        <f aca="false">IF(AND(ISNUMBER(F1751),ISNUMBER(G1751)),IF(D1751=F1751,15,0),"")</f>
        <v/>
      </c>
      <c r="J1751" s="22" t="str">
        <f aca="false">IF(AND(ISNUMBER(F1751),ISNUMBER(G1751)),IF(E1751=G1751,15,0),"")</f>
        <v/>
      </c>
      <c r="K1751" s="22" t="str">
        <f aca="false">IF(AND(ISNUMBER(F1751),ISNUMBER(G1751)),IF(ABS(D1751-E1751)=ABS(F1751-G1751),12,0),"")</f>
        <v/>
      </c>
      <c r="L1751" s="23" t="str">
        <f aca="false">IF(ISNUMBER(H1751),H1751+I1751+J1751+K1751,"")</f>
        <v/>
      </c>
    </row>
    <row r="1752" customFormat="false" ht="18" hidden="false" customHeight="true" outlineLevel="0" collapsed="false">
      <c r="A1752" s="17" t="s">
        <v>9</v>
      </c>
      <c r="B1752" s="31" t="s">
        <v>172</v>
      </c>
      <c r="C1752" s="19" t="s">
        <v>78</v>
      </c>
      <c r="D1752" s="20" t="n">
        <v>2</v>
      </c>
      <c r="E1752" s="20" t="n">
        <v>1</v>
      </c>
      <c r="F1752" s="21" t="n">
        <f aca="false">'📋 Matches'!E24</f>
        <v>0</v>
      </c>
      <c r="G1752" s="21" t="n">
        <f aca="false">'📋 Matches'!F24</f>
        <v>0</v>
      </c>
      <c r="H1752" s="22" t="str">
        <f aca="false">IF(AND(ISNUMBER(F1752),ISNUMBER(G1752)),IF(SIGN(D1752-E1752)=SIGN(F1752-G1752),48,0),"")</f>
        <v/>
      </c>
      <c r="I1752" s="22" t="str">
        <f aca="false">IF(AND(ISNUMBER(F1752),ISNUMBER(G1752)),IF(D1752=F1752,15,0),"")</f>
        <v/>
      </c>
      <c r="J1752" s="22" t="str">
        <f aca="false">IF(AND(ISNUMBER(F1752),ISNUMBER(G1752)),IF(E1752=G1752,15,0),"")</f>
        <v/>
      </c>
      <c r="K1752" s="22" t="str">
        <f aca="false">IF(AND(ISNUMBER(F1752),ISNUMBER(G1752)),IF(ABS(D1752-E1752)=ABS(F1752-G1752),12,0),"")</f>
        <v/>
      </c>
      <c r="L1752" s="23" t="str">
        <f aca="false">IF(ISNUMBER(H1752),H1752+I1752+J1752+K1752,"")</f>
        <v/>
      </c>
    </row>
    <row r="1753" customFormat="false" ht="18" hidden="false" customHeight="true" outlineLevel="0" collapsed="false">
      <c r="A1753" s="17" t="s">
        <v>9</v>
      </c>
      <c r="B1753" s="31" t="s">
        <v>172</v>
      </c>
      <c r="C1753" s="19" t="s">
        <v>81</v>
      </c>
      <c r="D1753" s="20" t="n">
        <v>0</v>
      </c>
      <c r="E1753" s="20" t="n">
        <v>1</v>
      </c>
      <c r="F1753" s="21" t="n">
        <f aca="false">'📋 Matches'!E25</f>
        <v>0</v>
      </c>
      <c r="G1753" s="21" t="n">
        <f aca="false">'📋 Matches'!F25</f>
        <v>0</v>
      </c>
      <c r="H1753" s="22" t="str">
        <f aca="false">IF(AND(ISNUMBER(F1753),ISNUMBER(G1753)),IF(SIGN(D1753-E1753)=SIGN(F1753-G1753),48,0),"")</f>
        <v/>
      </c>
      <c r="I1753" s="22" t="str">
        <f aca="false">IF(AND(ISNUMBER(F1753),ISNUMBER(G1753)),IF(D1753=F1753,15,0),"")</f>
        <v/>
      </c>
      <c r="J1753" s="22" t="str">
        <f aca="false">IF(AND(ISNUMBER(F1753),ISNUMBER(G1753)),IF(E1753=G1753,15,0),"")</f>
        <v/>
      </c>
      <c r="K1753" s="22" t="str">
        <f aca="false">IF(AND(ISNUMBER(F1753),ISNUMBER(G1753)),IF(ABS(D1753-E1753)=ABS(F1753-G1753),12,0),"")</f>
        <v/>
      </c>
      <c r="L1753" s="23" t="str">
        <f aca="false">IF(ISNUMBER(H1753),H1753+I1753+J1753+K1753,"")</f>
        <v/>
      </c>
    </row>
    <row r="1754" customFormat="false" ht="18" hidden="false" customHeight="true" outlineLevel="0" collapsed="false">
      <c r="A1754" s="17" t="s">
        <v>84</v>
      </c>
      <c r="B1754" s="31" t="s">
        <v>172</v>
      </c>
      <c r="C1754" s="19" t="s">
        <v>85</v>
      </c>
      <c r="D1754" s="20"/>
      <c r="E1754" s="20"/>
      <c r="F1754" s="21" t="n">
        <f aca="false">'📋 Matches'!E26</f>
        <v>0</v>
      </c>
      <c r="G1754" s="21" t="n">
        <f aca="false">'📋 Matches'!F26</f>
        <v>0</v>
      </c>
      <c r="H1754" s="24" t="s">
        <v>148</v>
      </c>
      <c r="I1754" s="24" t="s">
        <v>148</v>
      </c>
      <c r="J1754" s="24" t="s">
        <v>148</v>
      </c>
      <c r="K1754" s="24" t="s">
        <v>148</v>
      </c>
      <c r="L1754" s="24" t="s">
        <v>148</v>
      </c>
    </row>
    <row r="1755" customFormat="false" ht="18" hidden="false" customHeight="true" outlineLevel="0" collapsed="false">
      <c r="A1755" s="17" t="s">
        <v>84</v>
      </c>
      <c r="B1755" s="31" t="s">
        <v>172</v>
      </c>
      <c r="C1755" s="19" t="s">
        <v>87</v>
      </c>
      <c r="D1755" s="20"/>
      <c r="E1755" s="20"/>
      <c r="F1755" s="21" t="n">
        <f aca="false">'📋 Matches'!E27</f>
        <v>0</v>
      </c>
      <c r="G1755" s="21" t="n">
        <f aca="false">'📋 Matches'!F27</f>
        <v>0</v>
      </c>
      <c r="H1755" s="24" t="s">
        <v>148</v>
      </c>
      <c r="I1755" s="24" t="s">
        <v>148</v>
      </c>
      <c r="J1755" s="24" t="s">
        <v>148</v>
      </c>
      <c r="K1755" s="24" t="s">
        <v>148</v>
      </c>
      <c r="L1755" s="24" t="s">
        <v>148</v>
      </c>
    </row>
    <row r="1756" customFormat="false" ht="18" hidden="false" customHeight="true" outlineLevel="0" collapsed="false">
      <c r="A1756" s="17" t="s">
        <v>84</v>
      </c>
      <c r="B1756" s="31" t="s">
        <v>172</v>
      </c>
      <c r="C1756" s="19" t="s">
        <v>89</v>
      </c>
      <c r="D1756" s="20"/>
      <c r="E1756" s="20"/>
      <c r="F1756" s="21" t="n">
        <f aca="false">'📋 Matches'!E28</f>
        <v>0</v>
      </c>
      <c r="G1756" s="21" t="n">
        <f aca="false">'📋 Matches'!F28</f>
        <v>0</v>
      </c>
      <c r="H1756" s="24" t="s">
        <v>148</v>
      </c>
      <c r="I1756" s="24" t="s">
        <v>148</v>
      </c>
      <c r="J1756" s="24" t="s">
        <v>148</v>
      </c>
      <c r="K1756" s="24" t="s">
        <v>148</v>
      </c>
      <c r="L1756" s="24" t="s">
        <v>148</v>
      </c>
    </row>
    <row r="1757" customFormat="false" ht="18" hidden="false" customHeight="true" outlineLevel="0" collapsed="false">
      <c r="A1757" s="17" t="s">
        <v>84</v>
      </c>
      <c r="B1757" s="31" t="s">
        <v>172</v>
      </c>
      <c r="C1757" s="19" t="s">
        <v>90</v>
      </c>
      <c r="D1757" s="20"/>
      <c r="E1757" s="20"/>
      <c r="F1757" s="21" t="n">
        <f aca="false">'📋 Matches'!E29</f>
        <v>0</v>
      </c>
      <c r="G1757" s="21" t="n">
        <f aca="false">'📋 Matches'!F29</f>
        <v>0</v>
      </c>
      <c r="H1757" s="24" t="s">
        <v>148</v>
      </c>
      <c r="I1757" s="24" t="s">
        <v>148</v>
      </c>
      <c r="J1757" s="24" t="s">
        <v>148</v>
      </c>
      <c r="K1757" s="24" t="s">
        <v>148</v>
      </c>
      <c r="L1757" s="24" t="s">
        <v>148</v>
      </c>
    </row>
    <row r="1758" customFormat="false" ht="18" hidden="false" customHeight="true" outlineLevel="0" collapsed="false">
      <c r="A1758" s="17" t="s">
        <v>84</v>
      </c>
      <c r="B1758" s="31" t="s">
        <v>172</v>
      </c>
      <c r="C1758" s="19" t="s">
        <v>91</v>
      </c>
      <c r="D1758" s="20"/>
      <c r="E1758" s="20"/>
      <c r="F1758" s="21" t="n">
        <f aca="false">'📋 Matches'!E30</f>
        <v>0</v>
      </c>
      <c r="G1758" s="21" t="n">
        <f aca="false">'📋 Matches'!F30</f>
        <v>0</v>
      </c>
      <c r="H1758" s="24" t="s">
        <v>148</v>
      </c>
      <c r="I1758" s="24" t="s">
        <v>148</v>
      </c>
      <c r="J1758" s="24" t="s">
        <v>148</v>
      </c>
      <c r="K1758" s="24" t="s">
        <v>148</v>
      </c>
      <c r="L1758" s="24" t="s">
        <v>148</v>
      </c>
    </row>
    <row r="1759" customFormat="false" ht="18" hidden="false" customHeight="true" outlineLevel="0" collapsed="false">
      <c r="A1759" s="17" t="s">
        <v>84</v>
      </c>
      <c r="B1759" s="31" t="s">
        <v>172</v>
      </c>
      <c r="C1759" s="19" t="s">
        <v>92</v>
      </c>
      <c r="D1759" s="20"/>
      <c r="E1759" s="20"/>
      <c r="F1759" s="21" t="n">
        <f aca="false">'📋 Matches'!E31</f>
        <v>0</v>
      </c>
      <c r="G1759" s="21" t="n">
        <f aca="false">'📋 Matches'!F31</f>
        <v>0</v>
      </c>
      <c r="H1759" s="24" t="s">
        <v>148</v>
      </c>
      <c r="I1759" s="24" t="s">
        <v>148</v>
      </c>
      <c r="J1759" s="24" t="s">
        <v>148</v>
      </c>
      <c r="K1759" s="24" t="s">
        <v>148</v>
      </c>
      <c r="L1759" s="24" t="s">
        <v>148</v>
      </c>
    </row>
    <row r="1760" customFormat="false" ht="18" hidden="false" customHeight="true" outlineLevel="0" collapsed="false">
      <c r="A1760" s="17" t="s">
        <v>84</v>
      </c>
      <c r="B1760" s="31" t="s">
        <v>172</v>
      </c>
      <c r="C1760" s="19" t="s">
        <v>93</v>
      </c>
      <c r="D1760" s="20"/>
      <c r="E1760" s="20"/>
      <c r="F1760" s="21" t="n">
        <f aca="false">'📋 Matches'!E32</f>
        <v>0</v>
      </c>
      <c r="G1760" s="21" t="n">
        <f aca="false">'📋 Matches'!F32</f>
        <v>0</v>
      </c>
      <c r="H1760" s="24" t="s">
        <v>148</v>
      </c>
      <c r="I1760" s="24" t="s">
        <v>148</v>
      </c>
      <c r="J1760" s="24" t="s">
        <v>148</v>
      </c>
      <c r="K1760" s="24" t="s">
        <v>148</v>
      </c>
      <c r="L1760" s="24" t="s">
        <v>148</v>
      </c>
    </row>
    <row r="1761" customFormat="false" ht="18" hidden="false" customHeight="true" outlineLevel="0" collapsed="false">
      <c r="A1761" s="17" t="s">
        <v>84</v>
      </c>
      <c r="B1761" s="31" t="s">
        <v>172</v>
      </c>
      <c r="C1761" s="19" t="s">
        <v>94</v>
      </c>
      <c r="D1761" s="20"/>
      <c r="E1761" s="20"/>
      <c r="F1761" s="21" t="n">
        <f aca="false">'📋 Matches'!E33</f>
        <v>0</v>
      </c>
      <c r="G1761" s="21" t="n">
        <f aca="false">'📋 Matches'!F33</f>
        <v>0</v>
      </c>
      <c r="H1761" s="24" t="s">
        <v>148</v>
      </c>
      <c r="I1761" s="24" t="s">
        <v>148</v>
      </c>
      <c r="J1761" s="24" t="s">
        <v>148</v>
      </c>
      <c r="K1761" s="24" t="s">
        <v>148</v>
      </c>
      <c r="L1761" s="24" t="s">
        <v>148</v>
      </c>
    </row>
    <row r="1762" customFormat="false" ht="18" hidden="false" customHeight="true" outlineLevel="0" collapsed="false">
      <c r="A1762" s="17" t="s">
        <v>84</v>
      </c>
      <c r="B1762" s="31" t="s">
        <v>172</v>
      </c>
      <c r="C1762" s="19" t="s">
        <v>96</v>
      </c>
      <c r="D1762" s="20"/>
      <c r="E1762" s="20"/>
      <c r="F1762" s="21" t="n">
        <f aca="false">'📋 Matches'!E34</f>
        <v>0</v>
      </c>
      <c r="G1762" s="21" t="n">
        <f aca="false">'📋 Matches'!F34</f>
        <v>0</v>
      </c>
      <c r="H1762" s="24" t="s">
        <v>148</v>
      </c>
      <c r="I1762" s="24" t="s">
        <v>148</v>
      </c>
      <c r="J1762" s="24" t="s">
        <v>148</v>
      </c>
      <c r="K1762" s="24" t="s">
        <v>148</v>
      </c>
      <c r="L1762" s="24" t="s">
        <v>148</v>
      </c>
    </row>
    <row r="1763" customFormat="false" ht="18" hidden="false" customHeight="true" outlineLevel="0" collapsed="false">
      <c r="A1763" s="17" t="s">
        <v>84</v>
      </c>
      <c r="B1763" s="31" t="s">
        <v>172</v>
      </c>
      <c r="C1763" s="19" t="s">
        <v>97</v>
      </c>
      <c r="D1763" s="20"/>
      <c r="E1763" s="20"/>
      <c r="F1763" s="21" t="n">
        <f aca="false">'📋 Matches'!E35</f>
        <v>0</v>
      </c>
      <c r="G1763" s="21" t="n">
        <f aca="false">'📋 Matches'!F35</f>
        <v>0</v>
      </c>
      <c r="H1763" s="24" t="s">
        <v>148</v>
      </c>
      <c r="I1763" s="24" t="s">
        <v>148</v>
      </c>
      <c r="J1763" s="24" t="s">
        <v>148</v>
      </c>
      <c r="K1763" s="24" t="s">
        <v>148</v>
      </c>
      <c r="L1763" s="24" t="s">
        <v>148</v>
      </c>
    </row>
    <row r="1764" customFormat="false" ht="18" hidden="false" customHeight="true" outlineLevel="0" collapsed="false">
      <c r="A1764" s="17" t="s">
        <v>84</v>
      </c>
      <c r="B1764" s="31" t="s">
        <v>172</v>
      </c>
      <c r="C1764" s="19" t="s">
        <v>98</v>
      </c>
      <c r="D1764" s="20"/>
      <c r="E1764" s="20"/>
      <c r="F1764" s="21" t="n">
        <f aca="false">'📋 Matches'!E36</f>
        <v>0</v>
      </c>
      <c r="G1764" s="21" t="n">
        <f aca="false">'📋 Matches'!F36</f>
        <v>0</v>
      </c>
      <c r="H1764" s="24" t="s">
        <v>148</v>
      </c>
      <c r="I1764" s="24" t="s">
        <v>148</v>
      </c>
      <c r="J1764" s="24" t="s">
        <v>148</v>
      </c>
      <c r="K1764" s="24" t="s">
        <v>148</v>
      </c>
      <c r="L1764" s="24" t="s">
        <v>148</v>
      </c>
    </row>
    <row r="1765" customFormat="false" ht="18" hidden="false" customHeight="true" outlineLevel="0" collapsed="false">
      <c r="A1765" s="17" t="s">
        <v>84</v>
      </c>
      <c r="B1765" s="31" t="s">
        <v>172</v>
      </c>
      <c r="C1765" s="19" t="s">
        <v>100</v>
      </c>
      <c r="D1765" s="20"/>
      <c r="E1765" s="20"/>
      <c r="F1765" s="21" t="n">
        <f aca="false">'📋 Matches'!E37</f>
        <v>0</v>
      </c>
      <c r="G1765" s="21" t="n">
        <f aca="false">'📋 Matches'!F37</f>
        <v>0</v>
      </c>
      <c r="H1765" s="24" t="s">
        <v>148</v>
      </c>
      <c r="I1765" s="24" t="s">
        <v>148</v>
      </c>
      <c r="J1765" s="24" t="s">
        <v>148</v>
      </c>
      <c r="K1765" s="24" t="s">
        <v>148</v>
      </c>
      <c r="L1765" s="24" t="s">
        <v>148</v>
      </c>
    </row>
    <row r="1766" customFormat="false" ht="18" hidden="false" customHeight="true" outlineLevel="0" collapsed="false">
      <c r="A1766" s="17" t="s">
        <v>84</v>
      </c>
      <c r="B1766" s="31" t="s">
        <v>172</v>
      </c>
      <c r="C1766" s="19" t="s">
        <v>101</v>
      </c>
      <c r="D1766" s="20"/>
      <c r="E1766" s="20"/>
      <c r="F1766" s="21" t="n">
        <f aca="false">'📋 Matches'!E38</f>
        <v>0</v>
      </c>
      <c r="G1766" s="21" t="n">
        <f aca="false">'📋 Matches'!F38</f>
        <v>0</v>
      </c>
      <c r="H1766" s="24" t="s">
        <v>148</v>
      </c>
      <c r="I1766" s="24" t="s">
        <v>148</v>
      </c>
      <c r="J1766" s="24" t="s">
        <v>148</v>
      </c>
      <c r="K1766" s="24" t="s">
        <v>148</v>
      </c>
      <c r="L1766" s="24" t="s">
        <v>148</v>
      </c>
    </row>
    <row r="1767" customFormat="false" ht="18" hidden="false" customHeight="true" outlineLevel="0" collapsed="false">
      <c r="A1767" s="17" t="s">
        <v>84</v>
      </c>
      <c r="B1767" s="31" t="s">
        <v>172</v>
      </c>
      <c r="C1767" s="19" t="s">
        <v>102</v>
      </c>
      <c r="D1767" s="20"/>
      <c r="E1767" s="20"/>
      <c r="F1767" s="21" t="n">
        <f aca="false">'📋 Matches'!E39</f>
        <v>0</v>
      </c>
      <c r="G1767" s="21" t="n">
        <f aca="false">'📋 Matches'!F39</f>
        <v>0</v>
      </c>
      <c r="H1767" s="24" t="s">
        <v>148</v>
      </c>
      <c r="I1767" s="24" t="s">
        <v>148</v>
      </c>
      <c r="J1767" s="24" t="s">
        <v>148</v>
      </c>
      <c r="K1767" s="24" t="s">
        <v>148</v>
      </c>
      <c r="L1767" s="24" t="s">
        <v>148</v>
      </c>
    </row>
    <row r="1768" customFormat="false" ht="18" hidden="false" customHeight="true" outlineLevel="0" collapsed="false">
      <c r="A1768" s="17" t="s">
        <v>84</v>
      </c>
      <c r="B1768" s="31" t="s">
        <v>172</v>
      </c>
      <c r="C1768" s="19" t="s">
        <v>103</v>
      </c>
      <c r="D1768" s="20"/>
      <c r="E1768" s="20"/>
      <c r="F1768" s="21" t="n">
        <f aca="false">'📋 Matches'!E40</f>
        <v>0</v>
      </c>
      <c r="G1768" s="21" t="n">
        <f aca="false">'📋 Matches'!F40</f>
        <v>0</v>
      </c>
      <c r="H1768" s="24" t="s">
        <v>148</v>
      </c>
      <c r="I1768" s="24" t="s">
        <v>148</v>
      </c>
      <c r="J1768" s="24" t="s">
        <v>148</v>
      </c>
      <c r="K1768" s="24" t="s">
        <v>148</v>
      </c>
      <c r="L1768" s="24" t="s">
        <v>148</v>
      </c>
    </row>
    <row r="1769" customFormat="false" ht="18" hidden="false" customHeight="true" outlineLevel="0" collapsed="false">
      <c r="A1769" s="17" t="s">
        <v>84</v>
      </c>
      <c r="B1769" s="31" t="s">
        <v>172</v>
      </c>
      <c r="C1769" s="19" t="s">
        <v>104</v>
      </c>
      <c r="D1769" s="20"/>
      <c r="E1769" s="20"/>
      <c r="F1769" s="21" t="n">
        <f aca="false">'📋 Matches'!E41</f>
        <v>0</v>
      </c>
      <c r="G1769" s="21" t="n">
        <f aca="false">'📋 Matches'!F41</f>
        <v>0</v>
      </c>
      <c r="H1769" s="24" t="s">
        <v>148</v>
      </c>
      <c r="I1769" s="24" t="s">
        <v>148</v>
      </c>
      <c r="J1769" s="24" t="s">
        <v>148</v>
      </c>
      <c r="K1769" s="24" t="s">
        <v>148</v>
      </c>
      <c r="L1769" s="24" t="s">
        <v>148</v>
      </c>
    </row>
    <row r="1770" customFormat="false" ht="18" hidden="false" customHeight="true" outlineLevel="0" collapsed="false">
      <c r="A1770" s="17" t="s">
        <v>84</v>
      </c>
      <c r="B1770" s="31" t="s">
        <v>172</v>
      </c>
      <c r="C1770" s="19" t="s">
        <v>105</v>
      </c>
      <c r="D1770" s="20"/>
      <c r="E1770" s="20"/>
      <c r="F1770" s="21" t="n">
        <f aca="false">'📋 Matches'!E42</f>
        <v>0</v>
      </c>
      <c r="G1770" s="21" t="n">
        <f aca="false">'📋 Matches'!F42</f>
        <v>0</v>
      </c>
      <c r="H1770" s="24" t="s">
        <v>148</v>
      </c>
      <c r="I1770" s="24" t="s">
        <v>148</v>
      </c>
      <c r="J1770" s="24" t="s">
        <v>148</v>
      </c>
      <c r="K1770" s="24" t="s">
        <v>148</v>
      </c>
      <c r="L1770" s="24" t="s">
        <v>148</v>
      </c>
    </row>
    <row r="1771" customFormat="false" ht="18" hidden="false" customHeight="true" outlineLevel="0" collapsed="false">
      <c r="A1771" s="17" t="s">
        <v>84</v>
      </c>
      <c r="B1771" s="31" t="s">
        <v>172</v>
      </c>
      <c r="C1771" s="19" t="s">
        <v>106</v>
      </c>
      <c r="D1771" s="20"/>
      <c r="E1771" s="20"/>
      <c r="F1771" s="21" t="n">
        <f aca="false">'📋 Matches'!E43</f>
        <v>0</v>
      </c>
      <c r="G1771" s="21" t="n">
        <f aca="false">'📋 Matches'!F43</f>
        <v>0</v>
      </c>
      <c r="H1771" s="24" t="s">
        <v>148</v>
      </c>
      <c r="I1771" s="24" t="s">
        <v>148</v>
      </c>
      <c r="J1771" s="24" t="s">
        <v>148</v>
      </c>
      <c r="K1771" s="24" t="s">
        <v>148</v>
      </c>
      <c r="L1771" s="24" t="s">
        <v>148</v>
      </c>
    </row>
    <row r="1772" customFormat="false" ht="18" hidden="false" customHeight="true" outlineLevel="0" collapsed="false">
      <c r="A1772" s="17" t="s">
        <v>84</v>
      </c>
      <c r="B1772" s="31" t="s">
        <v>172</v>
      </c>
      <c r="C1772" s="19" t="s">
        <v>107</v>
      </c>
      <c r="D1772" s="20"/>
      <c r="E1772" s="20"/>
      <c r="F1772" s="21" t="n">
        <f aca="false">'📋 Matches'!E44</f>
        <v>0</v>
      </c>
      <c r="G1772" s="21" t="n">
        <f aca="false">'📋 Matches'!F44</f>
        <v>0</v>
      </c>
      <c r="H1772" s="24" t="s">
        <v>148</v>
      </c>
      <c r="I1772" s="24" t="s">
        <v>148</v>
      </c>
      <c r="J1772" s="24" t="s">
        <v>148</v>
      </c>
      <c r="K1772" s="24" t="s">
        <v>148</v>
      </c>
      <c r="L1772" s="24" t="s">
        <v>148</v>
      </c>
    </row>
    <row r="1773" customFormat="false" ht="18" hidden="false" customHeight="true" outlineLevel="0" collapsed="false">
      <c r="A1773" s="17" t="s">
        <v>84</v>
      </c>
      <c r="B1773" s="31" t="s">
        <v>172</v>
      </c>
      <c r="C1773" s="19" t="s">
        <v>108</v>
      </c>
      <c r="D1773" s="20"/>
      <c r="E1773" s="20"/>
      <c r="F1773" s="21" t="n">
        <f aca="false">'📋 Matches'!E45</f>
        <v>0</v>
      </c>
      <c r="G1773" s="21" t="n">
        <f aca="false">'📋 Matches'!F45</f>
        <v>0</v>
      </c>
      <c r="H1773" s="24" t="s">
        <v>148</v>
      </c>
      <c r="I1773" s="24" t="s">
        <v>148</v>
      </c>
      <c r="J1773" s="24" t="s">
        <v>148</v>
      </c>
      <c r="K1773" s="24" t="s">
        <v>148</v>
      </c>
      <c r="L1773" s="24" t="s">
        <v>148</v>
      </c>
    </row>
    <row r="1774" customFormat="false" ht="18" hidden="false" customHeight="true" outlineLevel="0" collapsed="false">
      <c r="A1774" s="17" t="s">
        <v>84</v>
      </c>
      <c r="B1774" s="31" t="s">
        <v>172</v>
      </c>
      <c r="C1774" s="19" t="s">
        <v>109</v>
      </c>
      <c r="D1774" s="20"/>
      <c r="E1774" s="20"/>
      <c r="F1774" s="21" t="n">
        <f aca="false">'📋 Matches'!E46</f>
        <v>0</v>
      </c>
      <c r="G1774" s="21" t="n">
        <f aca="false">'📋 Matches'!F46</f>
        <v>0</v>
      </c>
      <c r="H1774" s="24" t="s">
        <v>148</v>
      </c>
      <c r="I1774" s="24" t="s">
        <v>148</v>
      </c>
      <c r="J1774" s="24" t="s">
        <v>148</v>
      </c>
      <c r="K1774" s="24" t="s">
        <v>148</v>
      </c>
      <c r="L1774" s="24" t="s">
        <v>148</v>
      </c>
    </row>
    <row r="1775" customFormat="false" ht="18" hidden="false" customHeight="true" outlineLevel="0" collapsed="false">
      <c r="A1775" s="17" t="s">
        <v>84</v>
      </c>
      <c r="B1775" s="31" t="s">
        <v>172</v>
      </c>
      <c r="C1775" s="19" t="s">
        <v>110</v>
      </c>
      <c r="D1775" s="20"/>
      <c r="E1775" s="20"/>
      <c r="F1775" s="21" t="n">
        <f aca="false">'📋 Matches'!E47</f>
        <v>0</v>
      </c>
      <c r="G1775" s="21" t="n">
        <f aca="false">'📋 Matches'!F47</f>
        <v>0</v>
      </c>
      <c r="H1775" s="24" t="s">
        <v>148</v>
      </c>
      <c r="I1775" s="24" t="s">
        <v>148</v>
      </c>
      <c r="J1775" s="24" t="s">
        <v>148</v>
      </c>
      <c r="K1775" s="24" t="s">
        <v>148</v>
      </c>
      <c r="L1775" s="24" t="s">
        <v>148</v>
      </c>
    </row>
    <row r="1776" customFormat="false" ht="18" hidden="false" customHeight="true" outlineLevel="0" collapsed="false">
      <c r="A1776" s="17" t="s">
        <v>84</v>
      </c>
      <c r="B1776" s="31" t="s">
        <v>172</v>
      </c>
      <c r="C1776" s="19" t="s">
        <v>111</v>
      </c>
      <c r="D1776" s="20"/>
      <c r="E1776" s="20"/>
      <c r="F1776" s="21" t="n">
        <f aca="false">'📋 Matches'!E48</f>
        <v>0</v>
      </c>
      <c r="G1776" s="21" t="n">
        <f aca="false">'📋 Matches'!F48</f>
        <v>0</v>
      </c>
      <c r="H1776" s="24" t="s">
        <v>148</v>
      </c>
      <c r="I1776" s="24" t="s">
        <v>148</v>
      </c>
      <c r="J1776" s="24" t="s">
        <v>148</v>
      </c>
      <c r="K1776" s="24" t="s">
        <v>148</v>
      </c>
      <c r="L1776" s="24" t="s">
        <v>148</v>
      </c>
    </row>
    <row r="1777" customFormat="false" ht="18" hidden="false" customHeight="true" outlineLevel="0" collapsed="false">
      <c r="A1777" s="17" t="s">
        <v>84</v>
      </c>
      <c r="B1777" s="31" t="s">
        <v>172</v>
      </c>
      <c r="C1777" s="19" t="s">
        <v>112</v>
      </c>
      <c r="D1777" s="20"/>
      <c r="E1777" s="20"/>
      <c r="F1777" s="21" t="n">
        <f aca="false">'📋 Matches'!E49</f>
        <v>0</v>
      </c>
      <c r="G1777" s="21" t="n">
        <f aca="false">'📋 Matches'!F49</f>
        <v>0</v>
      </c>
      <c r="H1777" s="24" t="s">
        <v>148</v>
      </c>
      <c r="I1777" s="24" t="s">
        <v>148</v>
      </c>
      <c r="J1777" s="24" t="s">
        <v>148</v>
      </c>
      <c r="K1777" s="24" t="s">
        <v>148</v>
      </c>
      <c r="L1777" s="24" t="s">
        <v>148</v>
      </c>
    </row>
    <row r="1778" customFormat="false" ht="18" hidden="false" customHeight="true" outlineLevel="0" collapsed="false">
      <c r="A1778" s="17" t="s">
        <v>114</v>
      </c>
      <c r="B1778" s="31" t="s">
        <v>172</v>
      </c>
      <c r="C1778" s="19" t="s">
        <v>115</v>
      </c>
      <c r="D1778" s="20"/>
      <c r="E1778" s="20"/>
      <c r="F1778" s="21" t="n">
        <f aca="false">'📋 Matches'!E50</f>
        <v>0</v>
      </c>
      <c r="G1778" s="21" t="n">
        <f aca="false">'📋 Matches'!F50</f>
        <v>0</v>
      </c>
      <c r="H1778" s="24" t="s">
        <v>148</v>
      </c>
      <c r="I1778" s="24" t="s">
        <v>148</v>
      </c>
      <c r="J1778" s="24" t="s">
        <v>148</v>
      </c>
      <c r="K1778" s="24" t="s">
        <v>148</v>
      </c>
      <c r="L1778" s="24" t="s">
        <v>148</v>
      </c>
    </row>
    <row r="1779" customFormat="false" ht="18" hidden="false" customHeight="true" outlineLevel="0" collapsed="false">
      <c r="A1779" s="17" t="s">
        <v>114</v>
      </c>
      <c r="B1779" s="31" t="s">
        <v>172</v>
      </c>
      <c r="C1779" s="19" t="s">
        <v>116</v>
      </c>
      <c r="D1779" s="20"/>
      <c r="E1779" s="20"/>
      <c r="F1779" s="21" t="n">
        <f aca="false">'📋 Matches'!E51</f>
        <v>0</v>
      </c>
      <c r="G1779" s="21" t="n">
        <f aca="false">'📋 Matches'!F51</f>
        <v>0</v>
      </c>
      <c r="H1779" s="24" t="s">
        <v>148</v>
      </c>
      <c r="I1779" s="24" t="s">
        <v>148</v>
      </c>
      <c r="J1779" s="24" t="s">
        <v>148</v>
      </c>
      <c r="K1779" s="24" t="s">
        <v>148</v>
      </c>
      <c r="L1779" s="24" t="s">
        <v>148</v>
      </c>
    </row>
    <row r="1780" customFormat="false" ht="18" hidden="false" customHeight="true" outlineLevel="0" collapsed="false">
      <c r="A1780" s="17" t="s">
        <v>114</v>
      </c>
      <c r="B1780" s="31" t="s">
        <v>172</v>
      </c>
      <c r="C1780" s="19" t="s">
        <v>117</v>
      </c>
      <c r="D1780" s="20"/>
      <c r="E1780" s="20"/>
      <c r="F1780" s="21" t="n">
        <f aca="false">'📋 Matches'!E52</f>
        <v>0</v>
      </c>
      <c r="G1780" s="21" t="n">
        <f aca="false">'📋 Matches'!F52</f>
        <v>0</v>
      </c>
      <c r="H1780" s="24" t="s">
        <v>148</v>
      </c>
      <c r="I1780" s="24" t="s">
        <v>148</v>
      </c>
      <c r="J1780" s="24" t="s">
        <v>148</v>
      </c>
      <c r="K1780" s="24" t="s">
        <v>148</v>
      </c>
      <c r="L1780" s="24" t="s">
        <v>148</v>
      </c>
    </row>
    <row r="1781" customFormat="false" ht="18" hidden="false" customHeight="true" outlineLevel="0" collapsed="false">
      <c r="A1781" s="17" t="s">
        <v>114</v>
      </c>
      <c r="B1781" s="31" t="s">
        <v>172</v>
      </c>
      <c r="C1781" s="19" t="s">
        <v>118</v>
      </c>
      <c r="D1781" s="20"/>
      <c r="E1781" s="20"/>
      <c r="F1781" s="21" t="n">
        <f aca="false">'📋 Matches'!E53</f>
        <v>0</v>
      </c>
      <c r="G1781" s="21" t="n">
        <f aca="false">'📋 Matches'!F53</f>
        <v>0</v>
      </c>
      <c r="H1781" s="24" t="s">
        <v>148</v>
      </c>
      <c r="I1781" s="24" t="s">
        <v>148</v>
      </c>
      <c r="J1781" s="24" t="s">
        <v>148</v>
      </c>
      <c r="K1781" s="24" t="s">
        <v>148</v>
      </c>
      <c r="L1781" s="24" t="s">
        <v>148</v>
      </c>
    </row>
    <row r="1782" customFormat="false" ht="18" hidden="false" customHeight="true" outlineLevel="0" collapsed="false">
      <c r="A1782" s="17" t="s">
        <v>114</v>
      </c>
      <c r="B1782" s="31" t="s">
        <v>172</v>
      </c>
      <c r="C1782" s="19" t="s">
        <v>119</v>
      </c>
      <c r="D1782" s="20"/>
      <c r="E1782" s="20"/>
      <c r="F1782" s="21" t="n">
        <f aca="false">'📋 Matches'!E54</f>
        <v>0</v>
      </c>
      <c r="G1782" s="21" t="n">
        <f aca="false">'📋 Matches'!F54</f>
        <v>0</v>
      </c>
      <c r="H1782" s="24" t="s">
        <v>148</v>
      </c>
      <c r="I1782" s="24" t="s">
        <v>148</v>
      </c>
      <c r="J1782" s="24" t="s">
        <v>148</v>
      </c>
      <c r="K1782" s="24" t="s">
        <v>148</v>
      </c>
      <c r="L1782" s="24" t="s">
        <v>148</v>
      </c>
    </row>
    <row r="1783" customFormat="false" ht="18" hidden="false" customHeight="true" outlineLevel="0" collapsed="false">
      <c r="A1783" s="17" t="s">
        <v>114</v>
      </c>
      <c r="B1783" s="31" t="s">
        <v>172</v>
      </c>
      <c r="C1783" s="19" t="s">
        <v>120</v>
      </c>
      <c r="D1783" s="20"/>
      <c r="E1783" s="20"/>
      <c r="F1783" s="21" t="n">
        <f aca="false">'📋 Matches'!E55</f>
        <v>0</v>
      </c>
      <c r="G1783" s="21" t="n">
        <f aca="false">'📋 Matches'!F55</f>
        <v>0</v>
      </c>
      <c r="H1783" s="24" t="s">
        <v>148</v>
      </c>
      <c r="I1783" s="24" t="s">
        <v>148</v>
      </c>
      <c r="J1783" s="24" t="s">
        <v>148</v>
      </c>
      <c r="K1783" s="24" t="s">
        <v>148</v>
      </c>
      <c r="L1783" s="24" t="s">
        <v>148</v>
      </c>
    </row>
    <row r="1784" customFormat="false" ht="18" hidden="false" customHeight="true" outlineLevel="0" collapsed="false">
      <c r="A1784" s="17" t="s">
        <v>114</v>
      </c>
      <c r="B1784" s="31" t="s">
        <v>172</v>
      </c>
      <c r="C1784" s="19" t="s">
        <v>121</v>
      </c>
      <c r="D1784" s="20"/>
      <c r="E1784" s="20"/>
      <c r="F1784" s="21" t="n">
        <f aca="false">'📋 Matches'!E56</f>
        <v>0</v>
      </c>
      <c r="G1784" s="21" t="n">
        <f aca="false">'📋 Matches'!F56</f>
        <v>0</v>
      </c>
      <c r="H1784" s="24" t="s">
        <v>148</v>
      </c>
      <c r="I1784" s="24" t="s">
        <v>148</v>
      </c>
      <c r="J1784" s="24" t="s">
        <v>148</v>
      </c>
      <c r="K1784" s="24" t="s">
        <v>148</v>
      </c>
      <c r="L1784" s="24" t="s">
        <v>148</v>
      </c>
    </row>
    <row r="1785" customFormat="false" ht="18" hidden="false" customHeight="true" outlineLevel="0" collapsed="false">
      <c r="A1785" s="17" t="s">
        <v>114</v>
      </c>
      <c r="B1785" s="31" t="s">
        <v>172</v>
      </c>
      <c r="C1785" s="19" t="s">
        <v>122</v>
      </c>
      <c r="D1785" s="20"/>
      <c r="E1785" s="20"/>
      <c r="F1785" s="21" t="n">
        <f aca="false">'📋 Matches'!E57</f>
        <v>0</v>
      </c>
      <c r="G1785" s="21" t="n">
        <f aca="false">'📋 Matches'!F57</f>
        <v>0</v>
      </c>
      <c r="H1785" s="24" t="s">
        <v>148</v>
      </c>
      <c r="I1785" s="24" t="s">
        <v>148</v>
      </c>
      <c r="J1785" s="24" t="s">
        <v>148</v>
      </c>
      <c r="K1785" s="24" t="s">
        <v>148</v>
      </c>
      <c r="L1785" s="24" t="s">
        <v>148</v>
      </c>
    </row>
    <row r="1786" customFormat="false" ht="18" hidden="false" customHeight="true" outlineLevel="0" collapsed="false">
      <c r="A1786" s="17" t="s">
        <v>114</v>
      </c>
      <c r="B1786" s="31" t="s">
        <v>172</v>
      </c>
      <c r="C1786" s="19" t="s">
        <v>123</v>
      </c>
      <c r="D1786" s="20"/>
      <c r="E1786" s="20"/>
      <c r="F1786" s="21" t="n">
        <f aca="false">'📋 Matches'!E58</f>
        <v>0</v>
      </c>
      <c r="G1786" s="21" t="n">
        <f aca="false">'📋 Matches'!F58</f>
        <v>0</v>
      </c>
      <c r="H1786" s="24" t="s">
        <v>148</v>
      </c>
      <c r="I1786" s="24" t="s">
        <v>148</v>
      </c>
      <c r="J1786" s="24" t="s">
        <v>148</v>
      </c>
      <c r="K1786" s="24" t="s">
        <v>148</v>
      </c>
      <c r="L1786" s="24" t="s">
        <v>148</v>
      </c>
    </row>
    <row r="1787" customFormat="false" ht="18" hidden="false" customHeight="true" outlineLevel="0" collapsed="false">
      <c r="A1787" s="17" t="s">
        <v>114</v>
      </c>
      <c r="B1787" s="31" t="s">
        <v>172</v>
      </c>
      <c r="C1787" s="19" t="s">
        <v>124</v>
      </c>
      <c r="D1787" s="20"/>
      <c r="E1787" s="20"/>
      <c r="F1787" s="21" t="n">
        <f aca="false">'📋 Matches'!E59</f>
        <v>0</v>
      </c>
      <c r="G1787" s="21" t="n">
        <f aca="false">'📋 Matches'!F59</f>
        <v>0</v>
      </c>
      <c r="H1787" s="24" t="s">
        <v>148</v>
      </c>
      <c r="I1787" s="24" t="s">
        <v>148</v>
      </c>
      <c r="J1787" s="24" t="s">
        <v>148</v>
      </c>
      <c r="K1787" s="24" t="s">
        <v>148</v>
      </c>
      <c r="L1787" s="24" t="s">
        <v>148</v>
      </c>
    </row>
    <row r="1788" customFormat="false" ht="18" hidden="false" customHeight="true" outlineLevel="0" collapsed="false">
      <c r="A1788" s="17" t="s">
        <v>114</v>
      </c>
      <c r="B1788" s="31" t="s">
        <v>172</v>
      </c>
      <c r="C1788" s="19" t="s">
        <v>125</v>
      </c>
      <c r="D1788" s="20"/>
      <c r="E1788" s="20"/>
      <c r="F1788" s="21" t="n">
        <f aca="false">'📋 Matches'!E60</f>
        <v>0</v>
      </c>
      <c r="G1788" s="21" t="n">
        <f aca="false">'📋 Matches'!F60</f>
        <v>0</v>
      </c>
      <c r="H1788" s="24" t="s">
        <v>148</v>
      </c>
      <c r="I1788" s="24" t="s">
        <v>148</v>
      </c>
      <c r="J1788" s="24" t="s">
        <v>148</v>
      </c>
      <c r="K1788" s="24" t="s">
        <v>148</v>
      </c>
      <c r="L1788" s="24" t="s">
        <v>148</v>
      </c>
    </row>
    <row r="1789" customFormat="false" ht="18" hidden="false" customHeight="true" outlineLevel="0" collapsed="false">
      <c r="A1789" s="17" t="s">
        <v>114</v>
      </c>
      <c r="B1789" s="31" t="s">
        <v>172</v>
      </c>
      <c r="C1789" s="19" t="s">
        <v>126</v>
      </c>
      <c r="D1789" s="20"/>
      <c r="E1789" s="20"/>
      <c r="F1789" s="21" t="n">
        <f aca="false">'📋 Matches'!E61</f>
        <v>0</v>
      </c>
      <c r="G1789" s="21" t="n">
        <f aca="false">'📋 Matches'!F61</f>
        <v>0</v>
      </c>
      <c r="H1789" s="24" t="s">
        <v>148</v>
      </c>
      <c r="I1789" s="24" t="s">
        <v>148</v>
      </c>
      <c r="J1789" s="24" t="s">
        <v>148</v>
      </c>
      <c r="K1789" s="24" t="s">
        <v>148</v>
      </c>
      <c r="L1789" s="24" t="s">
        <v>148</v>
      </c>
    </row>
    <row r="1790" customFormat="false" ht="18" hidden="false" customHeight="true" outlineLevel="0" collapsed="false">
      <c r="A1790" s="17" t="s">
        <v>114</v>
      </c>
      <c r="B1790" s="31" t="s">
        <v>172</v>
      </c>
      <c r="C1790" s="19" t="s">
        <v>127</v>
      </c>
      <c r="D1790" s="20"/>
      <c r="E1790" s="20"/>
      <c r="F1790" s="21" t="n">
        <f aca="false">'📋 Matches'!E62</f>
        <v>0</v>
      </c>
      <c r="G1790" s="21" t="n">
        <f aca="false">'📋 Matches'!F62</f>
        <v>0</v>
      </c>
      <c r="H1790" s="24" t="s">
        <v>148</v>
      </c>
      <c r="I1790" s="24" t="s">
        <v>148</v>
      </c>
      <c r="J1790" s="24" t="s">
        <v>148</v>
      </c>
      <c r="K1790" s="24" t="s">
        <v>148</v>
      </c>
      <c r="L1790" s="24" t="s">
        <v>148</v>
      </c>
    </row>
    <row r="1791" customFormat="false" ht="18" hidden="false" customHeight="true" outlineLevel="0" collapsed="false">
      <c r="A1791" s="17" t="s">
        <v>114</v>
      </c>
      <c r="B1791" s="31" t="s">
        <v>172</v>
      </c>
      <c r="C1791" s="19" t="s">
        <v>128</v>
      </c>
      <c r="D1791" s="20"/>
      <c r="E1791" s="20"/>
      <c r="F1791" s="21" t="n">
        <f aca="false">'📋 Matches'!E63</f>
        <v>0</v>
      </c>
      <c r="G1791" s="21" t="n">
        <f aca="false">'📋 Matches'!F63</f>
        <v>0</v>
      </c>
      <c r="H1791" s="24" t="s">
        <v>148</v>
      </c>
      <c r="I1791" s="24" t="s">
        <v>148</v>
      </c>
      <c r="J1791" s="24" t="s">
        <v>148</v>
      </c>
      <c r="K1791" s="24" t="s">
        <v>148</v>
      </c>
      <c r="L1791" s="24" t="s">
        <v>148</v>
      </c>
    </row>
    <row r="1792" customFormat="false" ht="18" hidden="false" customHeight="true" outlineLevel="0" collapsed="false">
      <c r="A1792" s="17" t="s">
        <v>114</v>
      </c>
      <c r="B1792" s="31" t="s">
        <v>172</v>
      </c>
      <c r="C1792" s="19" t="s">
        <v>129</v>
      </c>
      <c r="D1792" s="20"/>
      <c r="E1792" s="20"/>
      <c r="F1792" s="21" t="n">
        <f aca="false">'📋 Matches'!E64</f>
        <v>0</v>
      </c>
      <c r="G1792" s="21" t="n">
        <f aca="false">'📋 Matches'!F64</f>
        <v>0</v>
      </c>
      <c r="H1792" s="24" t="s">
        <v>148</v>
      </c>
      <c r="I1792" s="24" t="s">
        <v>148</v>
      </c>
      <c r="J1792" s="24" t="s">
        <v>148</v>
      </c>
      <c r="K1792" s="24" t="s">
        <v>148</v>
      </c>
      <c r="L1792" s="24" t="s">
        <v>148</v>
      </c>
    </row>
    <row r="1793" customFormat="false" ht="18" hidden="false" customHeight="true" outlineLevel="0" collapsed="false">
      <c r="A1793" s="17" t="s">
        <v>114</v>
      </c>
      <c r="B1793" s="31" t="s">
        <v>172</v>
      </c>
      <c r="C1793" s="19" t="s">
        <v>130</v>
      </c>
      <c r="D1793" s="20"/>
      <c r="E1793" s="20"/>
      <c r="F1793" s="21" t="n">
        <f aca="false">'📋 Matches'!E65</f>
        <v>0</v>
      </c>
      <c r="G1793" s="21" t="n">
        <f aca="false">'📋 Matches'!F65</f>
        <v>0</v>
      </c>
      <c r="H1793" s="24" t="s">
        <v>148</v>
      </c>
      <c r="I1793" s="24" t="s">
        <v>148</v>
      </c>
      <c r="J1793" s="24" t="s">
        <v>148</v>
      </c>
      <c r="K1793" s="24" t="s">
        <v>148</v>
      </c>
      <c r="L1793" s="24" t="s">
        <v>148</v>
      </c>
    </row>
    <row r="1794" customFormat="false" ht="18" hidden="false" customHeight="true" outlineLevel="0" collapsed="false">
      <c r="A1794" s="17" t="s">
        <v>114</v>
      </c>
      <c r="B1794" s="31" t="s">
        <v>172</v>
      </c>
      <c r="C1794" s="19" t="s">
        <v>131</v>
      </c>
      <c r="D1794" s="20"/>
      <c r="E1794" s="20"/>
      <c r="F1794" s="21" t="n">
        <f aca="false">'📋 Matches'!E66</f>
        <v>0</v>
      </c>
      <c r="G1794" s="21" t="n">
        <f aca="false">'📋 Matches'!F66</f>
        <v>0</v>
      </c>
      <c r="H1794" s="24" t="s">
        <v>148</v>
      </c>
      <c r="I1794" s="24" t="s">
        <v>148</v>
      </c>
      <c r="J1794" s="24" t="s">
        <v>148</v>
      </c>
      <c r="K1794" s="24" t="s">
        <v>148</v>
      </c>
      <c r="L1794" s="24" t="s">
        <v>148</v>
      </c>
    </row>
    <row r="1795" customFormat="false" ht="18" hidden="false" customHeight="true" outlineLevel="0" collapsed="false">
      <c r="A1795" s="17" t="s">
        <v>114</v>
      </c>
      <c r="B1795" s="31" t="s">
        <v>172</v>
      </c>
      <c r="C1795" s="19" t="s">
        <v>132</v>
      </c>
      <c r="D1795" s="20"/>
      <c r="E1795" s="20"/>
      <c r="F1795" s="21" t="n">
        <f aca="false">'📋 Matches'!E67</f>
        <v>0</v>
      </c>
      <c r="G1795" s="21" t="n">
        <f aca="false">'📋 Matches'!F67</f>
        <v>0</v>
      </c>
      <c r="H1795" s="24" t="s">
        <v>148</v>
      </c>
      <c r="I1795" s="24" t="s">
        <v>148</v>
      </c>
      <c r="J1795" s="24" t="s">
        <v>148</v>
      </c>
      <c r="K1795" s="24" t="s">
        <v>148</v>
      </c>
      <c r="L1795" s="24" t="s">
        <v>148</v>
      </c>
    </row>
    <row r="1796" customFormat="false" ht="18" hidden="false" customHeight="true" outlineLevel="0" collapsed="false">
      <c r="A1796" s="17" t="s">
        <v>114</v>
      </c>
      <c r="B1796" s="31" t="s">
        <v>172</v>
      </c>
      <c r="C1796" s="19" t="s">
        <v>133</v>
      </c>
      <c r="D1796" s="20"/>
      <c r="E1796" s="20"/>
      <c r="F1796" s="21" t="n">
        <f aca="false">'📋 Matches'!E68</f>
        <v>0</v>
      </c>
      <c r="G1796" s="21" t="n">
        <f aca="false">'📋 Matches'!F68</f>
        <v>0</v>
      </c>
      <c r="H1796" s="24" t="s">
        <v>148</v>
      </c>
      <c r="I1796" s="24" t="s">
        <v>148</v>
      </c>
      <c r="J1796" s="24" t="s">
        <v>148</v>
      </c>
      <c r="K1796" s="24" t="s">
        <v>148</v>
      </c>
      <c r="L1796" s="24" t="s">
        <v>148</v>
      </c>
    </row>
    <row r="1797" customFormat="false" ht="18" hidden="false" customHeight="true" outlineLevel="0" collapsed="false">
      <c r="A1797" s="17" t="s">
        <v>114</v>
      </c>
      <c r="B1797" s="31" t="s">
        <v>172</v>
      </c>
      <c r="C1797" s="19" t="s">
        <v>134</v>
      </c>
      <c r="D1797" s="20"/>
      <c r="E1797" s="20"/>
      <c r="F1797" s="21" t="n">
        <f aca="false">'📋 Matches'!E69</f>
        <v>0</v>
      </c>
      <c r="G1797" s="21" t="n">
        <f aca="false">'📋 Matches'!F69</f>
        <v>0</v>
      </c>
      <c r="H1797" s="24" t="s">
        <v>148</v>
      </c>
      <c r="I1797" s="24" t="s">
        <v>148</v>
      </c>
      <c r="J1797" s="24" t="s">
        <v>148</v>
      </c>
      <c r="K1797" s="24" t="s">
        <v>148</v>
      </c>
      <c r="L1797" s="24" t="s">
        <v>148</v>
      </c>
    </row>
    <row r="1798" customFormat="false" ht="18" hidden="false" customHeight="true" outlineLevel="0" collapsed="false">
      <c r="A1798" s="17" t="s">
        <v>114</v>
      </c>
      <c r="B1798" s="31" t="s">
        <v>172</v>
      </c>
      <c r="C1798" s="19" t="s">
        <v>135</v>
      </c>
      <c r="D1798" s="20"/>
      <c r="E1798" s="20"/>
      <c r="F1798" s="21" t="n">
        <f aca="false">'📋 Matches'!E70</f>
        <v>0</v>
      </c>
      <c r="G1798" s="21" t="n">
        <f aca="false">'📋 Matches'!F70</f>
        <v>0</v>
      </c>
      <c r="H1798" s="24" t="s">
        <v>148</v>
      </c>
      <c r="I1798" s="24" t="s">
        <v>148</v>
      </c>
      <c r="J1798" s="24" t="s">
        <v>148</v>
      </c>
      <c r="K1798" s="24" t="s">
        <v>148</v>
      </c>
      <c r="L1798" s="24" t="s">
        <v>148</v>
      </c>
    </row>
    <row r="1799" customFormat="false" ht="18" hidden="false" customHeight="true" outlineLevel="0" collapsed="false">
      <c r="A1799" s="17" t="s">
        <v>114</v>
      </c>
      <c r="B1799" s="31" t="s">
        <v>172</v>
      </c>
      <c r="C1799" s="19" t="s">
        <v>136</v>
      </c>
      <c r="D1799" s="20"/>
      <c r="E1799" s="20"/>
      <c r="F1799" s="21" t="n">
        <f aca="false">'📋 Matches'!E71</f>
        <v>0</v>
      </c>
      <c r="G1799" s="21" t="n">
        <f aca="false">'📋 Matches'!F71</f>
        <v>0</v>
      </c>
      <c r="H1799" s="24" t="s">
        <v>148</v>
      </c>
      <c r="I1799" s="24" t="s">
        <v>148</v>
      </c>
      <c r="J1799" s="24" t="s">
        <v>148</v>
      </c>
      <c r="K1799" s="24" t="s">
        <v>148</v>
      </c>
      <c r="L1799" s="24" t="s">
        <v>148</v>
      </c>
    </row>
    <row r="1800" customFormat="false" ht="18" hidden="false" customHeight="true" outlineLevel="0" collapsed="false">
      <c r="A1800" s="17" t="s">
        <v>114</v>
      </c>
      <c r="B1800" s="31" t="s">
        <v>172</v>
      </c>
      <c r="C1800" s="19" t="s">
        <v>137</v>
      </c>
      <c r="D1800" s="20"/>
      <c r="E1800" s="20"/>
      <c r="F1800" s="21" t="n">
        <f aca="false">'📋 Matches'!E72</f>
        <v>0</v>
      </c>
      <c r="G1800" s="21" t="n">
        <f aca="false">'📋 Matches'!F72</f>
        <v>0</v>
      </c>
      <c r="H1800" s="24" t="s">
        <v>148</v>
      </c>
      <c r="I1800" s="24" t="s">
        <v>148</v>
      </c>
      <c r="J1800" s="24" t="s">
        <v>148</v>
      </c>
      <c r="K1800" s="24" t="s">
        <v>148</v>
      </c>
      <c r="L1800" s="24" t="s">
        <v>148</v>
      </c>
    </row>
    <row r="1801" customFormat="false" ht="18" hidden="false" customHeight="true" outlineLevel="0" collapsed="false">
      <c r="A1801" s="17" t="s">
        <v>114</v>
      </c>
      <c r="B1801" s="31" t="s">
        <v>172</v>
      </c>
      <c r="C1801" s="19" t="s">
        <v>138</v>
      </c>
      <c r="D1801" s="20"/>
      <c r="E1801" s="20"/>
      <c r="F1801" s="21" t="n">
        <f aca="false">'📋 Matches'!E73</f>
        <v>0</v>
      </c>
      <c r="G1801" s="21" t="n">
        <f aca="false">'📋 Matches'!F73</f>
        <v>0</v>
      </c>
      <c r="H1801" s="24" t="s">
        <v>148</v>
      </c>
      <c r="I1801" s="24" t="s">
        <v>148</v>
      </c>
      <c r="J1801" s="24" t="s">
        <v>148</v>
      </c>
      <c r="K1801" s="24" t="s">
        <v>148</v>
      </c>
      <c r="L1801" s="24" t="s">
        <v>148</v>
      </c>
    </row>
    <row r="1802" customFormat="false" ht="18" hidden="false" customHeight="true" outlineLevel="0" collapsed="false">
      <c r="A1802" s="25" t="s">
        <v>9</v>
      </c>
      <c r="B1802" s="26" t="s">
        <v>173</v>
      </c>
      <c r="C1802" s="27" t="s">
        <v>10</v>
      </c>
      <c r="D1802" s="28" t="n">
        <v>3</v>
      </c>
      <c r="E1802" s="28" t="n">
        <v>1</v>
      </c>
      <c r="F1802" s="29" t="n">
        <f aca="false">'📋 Matches'!E2</f>
        <v>2</v>
      </c>
      <c r="G1802" s="29" t="n">
        <f aca="false">'📋 Matches'!F2</f>
        <v>0</v>
      </c>
      <c r="H1802" s="22" t="n">
        <f aca="false">IF(AND(ISNUMBER(F1802),ISNUMBER(G1802)),IF(SIGN(D1802-E1802)=SIGN(F1802-G1802),48,0),"")</f>
        <v>48</v>
      </c>
      <c r="I1802" s="22" t="n">
        <f aca="false">IF(AND(ISNUMBER(F1802),ISNUMBER(G1802)),IF(D1802=F1802,15,0),"")</f>
        <v>0</v>
      </c>
      <c r="J1802" s="22" t="n">
        <f aca="false">IF(AND(ISNUMBER(F1802),ISNUMBER(G1802)),IF(E1802=G1802,15,0),"")</f>
        <v>0</v>
      </c>
      <c r="K1802" s="22" t="n">
        <f aca="false">IF(AND(ISNUMBER(F1802),ISNUMBER(G1802)),IF(ABS(D1802-E1802)=ABS(F1802-G1802),12,0),"")</f>
        <v>12</v>
      </c>
      <c r="L1802" s="23" t="n">
        <f aca="false">IF(ISNUMBER(H1802),H1802+I1802+J1802+K1802,"")</f>
        <v>60</v>
      </c>
    </row>
    <row r="1803" customFormat="false" ht="18" hidden="false" customHeight="true" outlineLevel="0" collapsed="false">
      <c r="A1803" s="25" t="s">
        <v>9</v>
      </c>
      <c r="B1803" s="26" t="s">
        <v>173</v>
      </c>
      <c r="C1803" s="27" t="s">
        <v>14</v>
      </c>
      <c r="D1803" s="28" t="n">
        <v>1</v>
      </c>
      <c r="E1803" s="28" t="n">
        <v>2</v>
      </c>
      <c r="F1803" s="29" t="n">
        <f aca="false">'📋 Matches'!E3</f>
        <v>2</v>
      </c>
      <c r="G1803" s="29" t="n">
        <f aca="false">'📋 Matches'!F3</f>
        <v>1</v>
      </c>
      <c r="H1803" s="22" t="n">
        <f aca="false">IF(AND(ISNUMBER(F1803),ISNUMBER(G1803)),IF(SIGN(D1803-E1803)=SIGN(F1803-G1803),48,0),"")</f>
        <v>0</v>
      </c>
      <c r="I1803" s="22" t="n">
        <f aca="false">IF(AND(ISNUMBER(F1803),ISNUMBER(G1803)),IF(D1803=F1803,15,0),"")</f>
        <v>0</v>
      </c>
      <c r="J1803" s="22" t="n">
        <f aca="false">IF(AND(ISNUMBER(F1803),ISNUMBER(G1803)),IF(E1803=G1803,15,0),"")</f>
        <v>0</v>
      </c>
      <c r="K1803" s="22" t="n">
        <f aca="false">IF(AND(ISNUMBER(F1803),ISNUMBER(G1803)),IF(ABS(D1803-E1803)=ABS(F1803-G1803),12,0),"")</f>
        <v>12</v>
      </c>
      <c r="L1803" s="23" t="n">
        <f aca="false">IF(ISNUMBER(H1803),H1803+I1803+J1803+K1803,"")</f>
        <v>12</v>
      </c>
    </row>
    <row r="1804" customFormat="false" ht="18" hidden="false" customHeight="true" outlineLevel="0" collapsed="false">
      <c r="A1804" s="25" t="s">
        <v>9</v>
      </c>
      <c r="B1804" s="26" t="s">
        <v>173</v>
      </c>
      <c r="C1804" s="27" t="s">
        <v>17</v>
      </c>
      <c r="D1804" s="28" t="n">
        <v>2</v>
      </c>
      <c r="E1804" s="28" t="n">
        <v>1</v>
      </c>
      <c r="F1804" s="29" t="n">
        <f aca="false">'📋 Matches'!E4</f>
        <v>1</v>
      </c>
      <c r="G1804" s="29" t="n">
        <f aca="false">'📋 Matches'!F4</f>
        <v>1</v>
      </c>
      <c r="H1804" s="22" t="n">
        <f aca="false">IF(AND(ISNUMBER(F1804),ISNUMBER(G1804)),IF(SIGN(D1804-E1804)=SIGN(F1804-G1804),48,0),"")</f>
        <v>0</v>
      </c>
      <c r="I1804" s="22" t="n">
        <f aca="false">IF(AND(ISNUMBER(F1804),ISNUMBER(G1804)),IF(D1804=F1804,15,0),"")</f>
        <v>0</v>
      </c>
      <c r="J1804" s="22" t="n">
        <f aca="false">IF(AND(ISNUMBER(F1804),ISNUMBER(G1804)),IF(E1804=G1804,15,0),"")</f>
        <v>15</v>
      </c>
      <c r="K1804" s="22" t="n">
        <f aca="false">IF(AND(ISNUMBER(F1804),ISNUMBER(G1804)),IF(ABS(D1804-E1804)=ABS(F1804-G1804),12,0),"")</f>
        <v>0</v>
      </c>
      <c r="L1804" s="23" t="n">
        <f aca="false">IF(ISNUMBER(H1804),H1804+I1804+J1804+K1804,"")</f>
        <v>15</v>
      </c>
    </row>
    <row r="1805" customFormat="false" ht="18" hidden="false" customHeight="true" outlineLevel="0" collapsed="false">
      <c r="A1805" s="25" t="s">
        <v>9</v>
      </c>
      <c r="B1805" s="26" t="s">
        <v>173</v>
      </c>
      <c r="C1805" s="27" t="s">
        <v>20</v>
      </c>
      <c r="D1805" s="28" t="n">
        <v>1</v>
      </c>
      <c r="E1805" s="28" t="n">
        <v>2</v>
      </c>
      <c r="F1805" s="29" t="n">
        <f aca="false">'📋 Matches'!E5</f>
        <v>4</v>
      </c>
      <c r="G1805" s="29" t="n">
        <f aca="false">'📋 Matches'!F5</f>
        <v>1</v>
      </c>
      <c r="H1805" s="22" t="n">
        <f aca="false">IF(AND(ISNUMBER(F1805),ISNUMBER(G1805)),IF(SIGN(D1805-E1805)=SIGN(F1805-G1805),48,0),"")</f>
        <v>0</v>
      </c>
      <c r="I1805" s="22" t="n">
        <f aca="false">IF(AND(ISNUMBER(F1805),ISNUMBER(G1805)),IF(D1805=F1805,15,0),"")</f>
        <v>0</v>
      </c>
      <c r="J1805" s="22" t="n">
        <f aca="false">IF(AND(ISNUMBER(F1805),ISNUMBER(G1805)),IF(E1805=G1805,15,0),"")</f>
        <v>0</v>
      </c>
      <c r="K1805" s="22" t="n">
        <f aca="false">IF(AND(ISNUMBER(F1805),ISNUMBER(G1805)),IF(ABS(D1805-E1805)=ABS(F1805-G1805),12,0),"")</f>
        <v>0</v>
      </c>
      <c r="L1805" s="23" t="n">
        <f aca="false">IF(ISNUMBER(H1805),H1805+I1805+J1805+K1805,"")</f>
        <v>0</v>
      </c>
    </row>
    <row r="1806" customFormat="false" ht="18" hidden="false" customHeight="true" outlineLevel="0" collapsed="false">
      <c r="A1806" s="25" t="s">
        <v>9</v>
      </c>
      <c r="B1806" s="26" t="s">
        <v>173</v>
      </c>
      <c r="C1806" s="27" t="s">
        <v>23</v>
      </c>
      <c r="D1806" s="28" t="n">
        <v>0</v>
      </c>
      <c r="E1806" s="28" t="n">
        <v>2</v>
      </c>
      <c r="F1806" s="29" t="n">
        <f aca="false">'📋 Matches'!E6</f>
        <v>0</v>
      </c>
      <c r="G1806" s="29" t="n">
        <f aca="false">'📋 Matches'!F6</f>
        <v>0</v>
      </c>
      <c r="H1806" s="22" t="str">
        <f aca="false">IF(AND(ISNUMBER(F1806),ISNUMBER(G1806)),IF(SIGN(D1806-E1806)=SIGN(F1806-G1806),48,0),"")</f>
        <v/>
      </c>
      <c r="I1806" s="22" t="str">
        <f aca="false">IF(AND(ISNUMBER(F1806),ISNUMBER(G1806)),IF(D1806=F1806,15,0),"")</f>
        <v/>
      </c>
      <c r="J1806" s="22" t="str">
        <f aca="false">IF(AND(ISNUMBER(F1806),ISNUMBER(G1806)),IF(E1806=G1806,15,0),"")</f>
        <v/>
      </c>
      <c r="K1806" s="22" t="str">
        <f aca="false">IF(AND(ISNUMBER(F1806),ISNUMBER(G1806)),IF(ABS(D1806-E1806)=ABS(F1806-G1806),12,0),"")</f>
        <v/>
      </c>
      <c r="L1806" s="23" t="str">
        <f aca="false">IF(ISNUMBER(H1806),H1806+I1806+J1806+K1806,"")</f>
        <v/>
      </c>
    </row>
    <row r="1807" customFormat="false" ht="18" hidden="false" customHeight="true" outlineLevel="0" collapsed="false">
      <c r="A1807" s="25" t="s">
        <v>9</v>
      </c>
      <c r="B1807" s="26" t="s">
        <v>173</v>
      </c>
      <c r="C1807" s="27" t="s">
        <v>27</v>
      </c>
      <c r="D1807" s="28" t="n">
        <v>3</v>
      </c>
      <c r="E1807" s="28" t="n">
        <v>2</v>
      </c>
      <c r="F1807" s="29" t="n">
        <f aca="false">'📋 Matches'!E7</f>
        <v>0</v>
      </c>
      <c r="G1807" s="29" t="n">
        <f aca="false">'📋 Matches'!F7</f>
        <v>0</v>
      </c>
      <c r="H1807" s="22" t="str">
        <f aca="false">IF(AND(ISNUMBER(F1807),ISNUMBER(G1807)),IF(SIGN(D1807-E1807)=SIGN(F1807-G1807),48,0),"")</f>
        <v/>
      </c>
      <c r="I1807" s="22" t="str">
        <f aca="false">IF(AND(ISNUMBER(F1807),ISNUMBER(G1807)),IF(D1807=F1807,15,0),"")</f>
        <v/>
      </c>
      <c r="J1807" s="22" t="str">
        <f aca="false">IF(AND(ISNUMBER(F1807),ISNUMBER(G1807)),IF(E1807=G1807,15,0),"")</f>
        <v/>
      </c>
      <c r="K1807" s="22" t="str">
        <f aca="false">IF(AND(ISNUMBER(F1807),ISNUMBER(G1807)),IF(ABS(D1807-E1807)=ABS(F1807-G1807),12,0),"")</f>
        <v/>
      </c>
      <c r="L1807" s="23" t="str">
        <f aca="false">IF(ISNUMBER(H1807),H1807+I1807+J1807+K1807,"")</f>
        <v/>
      </c>
    </row>
    <row r="1808" customFormat="false" ht="18" hidden="false" customHeight="true" outlineLevel="0" collapsed="false">
      <c r="A1808" s="25" t="s">
        <v>9</v>
      </c>
      <c r="B1808" s="26" t="s">
        <v>173</v>
      </c>
      <c r="C1808" s="27" t="s">
        <v>30</v>
      </c>
      <c r="D1808" s="28" t="n">
        <v>1</v>
      </c>
      <c r="E1808" s="28" t="n">
        <v>3</v>
      </c>
      <c r="F1808" s="29" t="n">
        <f aca="false">'📋 Matches'!E8</f>
        <v>0</v>
      </c>
      <c r="G1808" s="29" t="n">
        <f aca="false">'📋 Matches'!F8</f>
        <v>0</v>
      </c>
      <c r="H1808" s="22" t="str">
        <f aca="false">IF(AND(ISNUMBER(F1808),ISNUMBER(G1808)),IF(SIGN(D1808-E1808)=SIGN(F1808-G1808),48,0),"")</f>
        <v/>
      </c>
      <c r="I1808" s="22" t="str">
        <f aca="false">IF(AND(ISNUMBER(F1808),ISNUMBER(G1808)),IF(D1808=F1808,15,0),"")</f>
        <v/>
      </c>
      <c r="J1808" s="22" t="str">
        <f aca="false">IF(AND(ISNUMBER(F1808),ISNUMBER(G1808)),IF(E1808=G1808,15,0),"")</f>
        <v/>
      </c>
      <c r="K1808" s="22" t="str">
        <f aca="false">IF(AND(ISNUMBER(F1808),ISNUMBER(G1808)),IF(ABS(D1808-E1808)=ABS(F1808-G1808),12,0),"")</f>
        <v/>
      </c>
      <c r="L1808" s="23" t="str">
        <f aca="false">IF(ISNUMBER(H1808),H1808+I1808+J1808+K1808,"")</f>
        <v/>
      </c>
    </row>
    <row r="1809" customFormat="false" ht="18" hidden="false" customHeight="true" outlineLevel="0" collapsed="false">
      <c r="A1809" s="25" t="s">
        <v>9</v>
      </c>
      <c r="B1809" s="26" t="s">
        <v>173</v>
      </c>
      <c r="C1809" s="27" t="s">
        <v>33</v>
      </c>
      <c r="D1809" s="28" t="n">
        <v>1</v>
      </c>
      <c r="E1809" s="28" t="n">
        <v>2</v>
      </c>
      <c r="F1809" s="29" t="n">
        <f aca="false">'📋 Matches'!E9</f>
        <v>0</v>
      </c>
      <c r="G1809" s="29" t="n">
        <f aca="false">'📋 Matches'!F9</f>
        <v>0</v>
      </c>
      <c r="H1809" s="22" t="str">
        <f aca="false">IF(AND(ISNUMBER(F1809),ISNUMBER(G1809)),IF(SIGN(D1809-E1809)=SIGN(F1809-G1809),48,0),"")</f>
        <v/>
      </c>
      <c r="I1809" s="22" t="str">
        <f aca="false">IF(AND(ISNUMBER(F1809),ISNUMBER(G1809)),IF(D1809=F1809,15,0),"")</f>
        <v/>
      </c>
      <c r="J1809" s="22" t="str">
        <f aca="false">IF(AND(ISNUMBER(F1809),ISNUMBER(G1809)),IF(E1809=G1809,15,0),"")</f>
        <v/>
      </c>
      <c r="K1809" s="22" t="str">
        <f aca="false">IF(AND(ISNUMBER(F1809),ISNUMBER(G1809)),IF(ABS(D1809-E1809)=ABS(F1809-G1809),12,0),"")</f>
        <v/>
      </c>
      <c r="L1809" s="23" t="str">
        <f aca="false">IF(ISNUMBER(H1809),H1809+I1809+J1809+K1809,"")</f>
        <v/>
      </c>
    </row>
    <row r="1810" customFormat="false" ht="18" hidden="false" customHeight="true" outlineLevel="0" collapsed="false">
      <c r="A1810" s="25" t="s">
        <v>9</v>
      </c>
      <c r="B1810" s="26" t="s">
        <v>173</v>
      </c>
      <c r="C1810" s="27" t="s">
        <v>36</v>
      </c>
      <c r="D1810" s="28" t="n">
        <v>4</v>
      </c>
      <c r="E1810" s="28" t="n">
        <v>0</v>
      </c>
      <c r="F1810" s="29" t="n">
        <f aca="false">'📋 Matches'!E10</f>
        <v>0</v>
      </c>
      <c r="G1810" s="29" t="n">
        <f aca="false">'📋 Matches'!F10</f>
        <v>0</v>
      </c>
      <c r="H1810" s="22" t="str">
        <f aca="false">IF(AND(ISNUMBER(F1810),ISNUMBER(G1810)),IF(SIGN(D1810-E1810)=SIGN(F1810-G1810),48,0),"")</f>
        <v/>
      </c>
      <c r="I1810" s="22" t="str">
        <f aca="false">IF(AND(ISNUMBER(F1810),ISNUMBER(G1810)),IF(D1810=F1810,15,0),"")</f>
        <v/>
      </c>
      <c r="J1810" s="22" t="str">
        <f aca="false">IF(AND(ISNUMBER(F1810),ISNUMBER(G1810)),IF(E1810=G1810,15,0),"")</f>
        <v/>
      </c>
      <c r="K1810" s="22" t="str">
        <f aca="false">IF(AND(ISNUMBER(F1810),ISNUMBER(G1810)),IF(ABS(D1810-E1810)=ABS(F1810-G1810),12,0),"")</f>
        <v/>
      </c>
      <c r="L1810" s="23" t="str">
        <f aca="false">IF(ISNUMBER(H1810),H1810+I1810+J1810+K1810,"")</f>
        <v/>
      </c>
    </row>
    <row r="1811" customFormat="false" ht="18" hidden="false" customHeight="true" outlineLevel="0" collapsed="false">
      <c r="A1811" s="25" t="s">
        <v>9</v>
      </c>
      <c r="B1811" s="26" t="s">
        <v>173</v>
      </c>
      <c r="C1811" s="27" t="s">
        <v>39</v>
      </c>
      <c r="D1811" s="28" t="n">
        <v>3</v>
      </c>
      <c r="E1811" s="28" t="n">
        <v>1</v>
      </c>
      <c r="F1811" s="29" t="n">
        <f aca="false">'📋 Matches'!E11</f>
        <v>0</v>
      </c>
      <c r="G1811" s="29" t="n">
        <f aca="false">'📋 Matches'!F11</f>
        <v>0</v>
      </c>
      <c r="H1811" s="22" t="str">
        <f aca="false">IF(AND(ISNUMBER(F1811),ISNUMBER(G1811)),IF(SIGN(D1811-E1811)=SIGN(F1811-G1811),48,0),"")</f>
        <v/>
      </c>
      <c r="I1811" s="22" t="str">
        <f aca="false">IF(AND(ISNUMBER(F1811),ISNUMBER(G1811)),IF(D1811=F1811,15,0),"")</f>
        <v/>
      </c>
      <c r="J1811" s="22" t="str">
        <f aca="false">IF(AND(ISNUMBER(F1811),ISNUMBER(G1811)),IF(E1811=G1811,15,0),"")</f>
        <v/>
      </c>
      <c r="K1811" s="22" t="str">
        <f aca="false">IF(AND(ISNUMBER(F1811),ISNUMBER(G1811)),IF(ABS(D1811-E1811)=ABS(F1811-G1811),12,0),"")</f>
        <v/>
      </c>
      <c r="L1811" s="23" t="str">
        <f aca="false">IF(ISNUMBER(H1811),H1811+I1811+J1811+K1811,"")</f>
        <v/>
      </c>
    </row>
    <row r="1812" customFormat="false" ht="18" hidden="false" customHeight="true" outlineLevel="0" collapsed="false">
      <c r="A1812" s="25" t="s">
        <v>9</v>
      </c>
      <c r="B1812" s="26" t="s">
        <v>173</v>
      </c>
      <c r="C1812" s="27" t="s">
        <v>42</v>
      </c>
      <c r="D1812" s="28" t="n">
        <v>2</v>
      </c>
      <c r="E1812" s="28" t="n">
        <v>1</v>
      </c>
      <c r="F1812" s="29" t="n">
        <f aca="false">'📋 Matches'!E12</f>
        <v>0</v>
      </c>
      <c r="G1812" s="29" t="n">
        <f aca="false">'📋 Matches'!F12</f>
        <v>0</v>
      </c>
      <c r="H1812" s="22" t="str">
        <f aca="false">IF(AND(ISNUMBER(F1812),ISNUMBER(G1812)),IF(SIGN(D1812-E1812)=SIGN(F1812-G1812),48,0),"")</f>
        <v/>
      </c>
      <c r="I1812" s="22" t="str">
        <f aca="false">IF(AND(ISNUMBER(F1812),ISNUMBER(G1812)),IF(D1812=F1812,15,0),"")</f>
        <v/>
      </c>
      <c r="J1812" s="22" t="str">
        <f aca="false">IF(AND(ISNUMBER(F1812),ISNUMBER(G1812)),IF(E1812=G1812,15,0),"")</f>
        <v/>
      </c>
      <c r="K1812" s="22" t="str">
        <f aca="false">IF(AND(ISNUMBER(F1812),ISNUMBER(G1812)),IF(ABS(D1812-E1812)=ABS(F1812-G1812),12,0),"")</f>
        <v/>
      </c>
      <c r="L1812" s="23" t="str">
        <f aca="false">IF(ISNUMBER(H1812),H1812+I1812+J1812+K1812,"")</f>
        <v/>
      </c>
    </row>
    <row r="1813" customFormat="false" ht="18" hidden="false" customHeight="true" outlineLevel="0" collapsed="false">
      <c r="A1813" s="25" t="s">
        <v>9</v>
      </c>
      <c r="B1813" s="26" t="s">
        <v>173</v>
      </c>
      <c r="C1813" s="27" t="s">
        <v>45</v>
      </c>
      <c r="D1813" s="28" t="n">
        <v>2</v>
      </c>
      <c r="E1813" s="28" t="n">
        <v>2</v>
      </c>
      <c r="F1813" s="29" t="n">
        <f aca="false">'📋 Matches'!E13</f>
        <v>0</v>
      </c>
      <c r="G1813" s="29" t="n">
        <f aca="false">'📋 Matches'!F13</f>
        <v>0</v>
      </c>
      <c r="H1813" s="22" t="str">
        <f aca="false">IF(AND(ISNUMBER(F1813),ISNUMBER(G1813)),IF(SIGN(D1813-E1813)=SIGN(F1813-G1813),48,0),"")</f>
        <v/>
      </c>
      <c r="I1813" s="22" t="str">
        <f aca="false">IF(AND(ISNUMBER(F1813),ISNUMBER(G1813)),IF(D1813=F1813,15,0),"")</f>
        <v/>
      </c>
      <c r="J1813" s="22" t="str">
        <f aca="false">IF(AND(ISNUMBER(F1813),ISNUMBER(G1813)),IF(E1813=G1813,15,0),"")</f>
        <v/>
      </c>
      <c r="K1813" s="22" t="str">
        <f aca="false">IF(AND(ISNUMBER(F1813),ISNUMBER(G1813)),IF(ABS(D1813-E1813)=ABS(F1813-G1813),12,0),"")</f>
        <v/>
      </c>
      <c r="L1813" s="23" t="str">
        <f aca="false">IF(ISNUMBER(H1813),H1813+I1813+J1813+K1813,"")</f>
        <v/>
      </c>
    </row>
    <row r="1814" customFormat="false" ht="18" hidden="false" customHeight="true" outlineLevel="0" collapsed="false">
      <c r="A1814" s="25" t="s">
        <v>9</v>
      </c>
      <c r="B1814" s="26" t="s">
        <v>173</v>
      </c>
      <c r="C1814" s="27" t="s">
        <v>48</v>
      </c>
      <c r="D1814" s="28" t="n">
        <v>4</v>
      </c>
      <c r="E1814" s="28" t="n">
        <v>0</v>
      </c>
      <c r="F1814" s="29" t="n">
        <f aca="false">'📋 Matches'!E14</f>
        <v>0</v>
      </c>
      <c r="G1814" s="29" t="n">
        <f aca="false">'📋 Matches'!F14</f>
        <v>0</v>
      </c>
      <c r="H1814" s="22" t="str">
        <f aca="false">IF(AND(ISNUMBER(F1814),ISNUMBER(G1814)),IF(SIGN(D1814-E1814)=SIGN(F1814-G1814),48,0),"")</f>
        <v/>
      </c>
      <c r="I1814" s="22" t="str">
        <f aca="false">IF(AND(ISNUMBER(F1814),ISNUMBER(G1814)),IF(D1814=F1814,15,0),"")</f>
        <v/>
      </c>
      <c r="J1814" s="22" t="str">
        <f aca="false">IF(AND(ISNUMBER(F1814),ISNUMBER(G1814)),IF(E1814=G1814,15,0),"")</f>
        <v/>
      </c>
      <c r="K1814" s="22" t="str">
        <f aca="false">IF(AND(ISNUMBER(F1814),ISNUMBER(G1814)),IF(ABS(D1814-E1814)=ABS(F1814-G1814),12,0),"")</f>
        <v/>
      </c>
      <c r="L1814" s="23" t="str">
        <f aca="false">IF(ISNUMBER(H1814),H1814+I1814+J1814+K1814,"")</f>
        <v/>
      </c>
    </row>
    <row r="1815" customFormat="false" ht="18" hidden="false" customHeight="true" outlineLevel="0" collapsed="false">
      <c r="A1815" s="25" t="s">
        <v>9</v>
      </c>
      <c r="B1815" s="26" t="s">
        <v>173</v>
      </c>
      <c r="C1815" s="27" t="s">
        <v>51</v>
      </c>
      <c r="D1815" s="28" t="n">
        <v>2</v>
      </c>
      <c r="E1815" s="28" t="n">
        <v>1</v>
      </c>
      <c r="F1815" s="29" t="n">
        <f aca="false">'📋 Matches'!E15</f>
        <v>0</v>
      </c>
      <c r="G1815" s="29" t="n">
        <f aca="false">'📋 Matches'!F15</f>
        <v>0</v>
      </c>
      <c r="H1815" s="22" t="str">
        <f aca="false">IF(AND(ISNUMBER(F1815),ISNUMBER(G1815)),IF(SIGN(D1815-E1815)=SIGN(F1815-G1815),48,0),"")</f>
        <v/>
      </c>
      <c r="I1815" s="22" t="str">
        <f aca="false">IF(AND(ISNUMBER(F1815),ISNUMBER(G1815)),IF(D1815=F1815,15,0),"")</f>
        <v/>
      </c>
      <c r="J1815" s="22" t="str">
        <f aca="false">IF(AND(ISNUMBER(F1815),ISNUMBER(G1815)),IF(E1815=G1815,15,0),"")</f>
        <v/>
      </c>
      <c r="K1815" s="22" t="str">
        <f aca="false">IF(AND(ISNUMBER(F1815),ISNUMBER(G1815)),IF(ABS(D1815-E1815)=ABS(F1815-G1815),12,0),"")</f>
        <v/>
      </c>
      <c r="L1815" s="23" t="str">
        <f aca="false">IF(ISNUMBER(H1815),H1815+I1815+J1815+K1815,"")</f>
        <v/>
      </c>
    </row>
    <row r="1816" customFormat="false" ht="18" hidden="false" customHeight="true" outlineLevel="0" collapsed="false">
      <c r="A1816" s="25" t="s">
        <v>9</v>
      </c>
      <c r="B1816" s="26" t="s">
        <v>173</v>
      </c>
      <c r="C1816" s="27" t="s">
        <v>54</v>
      </c>
      <c r="D1816" s="28" t="n">
        <v>1</v>
      </c>
      <c r="E1816" s="28" t="n">
        <v>3</v>
      </c>
      <c r="F1816" s="29" t="n">
        <f aca="false">'📋 Matches'!E16</f>
        <v>0</v>
      </c>
      <c r="G1816" s="29" t="n">
        <f aca="false">'📋 Matches'!F16</f>
        <v>0</v>
      </c>
      <c r="H1816" s="22" t="str">
        <f aca="false">IF(AND(ISNUMBER(F1816),ISNUMBER(G1816)),IF(SIGN(D1816-E1816)=SIGN(F1816-G1816),48,0),"")</f>
        <v/>
      </c>
      <c r="I1816" s="22" t="str">
        <f aca="false">IF(AND(ISNUMBER(F1816),ISNUMBER(G1816)),IF(D1816=F1816,15,0),"")</f>
        <v/>
      </c>
      <c r="J1816" s="22" t="str">
        <f aca="false">IF(AND(ISNUMBER(F1816),ISNUMBER(G1816)),IF(E1816=G1816,15,0),"")</f>
        <v/>
      </c>
      <c r="K1816" s="22" t="str">
        <f aca="false">IF(AND(ISNUMBER(F1816),ISNUMBER(G1816)),IF(ABS(D1816-E1816)=ABS(F1816-G1816),12,0),"")</f>
        <v/>
      </c>
      <c r="L1816" s="23" t="str">
        <f aca="false">IF(ISNUMBER(H1816),H1816+I1816+J1816+K1816,"")</f>
        <v/>
      </c>
    </row>
    <row r="1817" customFormat="false" ht="18" hidden="false" customHeight="true" outlineLevel="0" collapsed="false">
      <c r="A1817" s="25" t="s">
        <v>9</v>
      </c>
      <c r="B1817" s="26" t="s">
        <v>173</v>
      </c>
      <c r="C1817" s="27" t="s">
        <v>57</v>
      </c>
      <c r="D1817" s="28" t="n">
        <v>3</v>
      </c>
      <c r="E1817" s="28" t="n">
        <v>1</v>
      </c>
      <c r="F1817" s="29" t="n">
        <f aca="false">'📋 Matches'!E17</f>
        <v>0</v>
      </c>
      <c r="G1817" s="29" t="n">
        <f aca="false">'📋 Matches'!F17</f>
        <v>0</v>
      </c>
      <c r="H1817" s="22" t="str">
        <f aca="false">IF(AND(ISNUMBER(F1817),ISNUMBER(G1817)),IF(SIGN(D1817-E1817)=SIGN(F1817-G1817),48,0),"")</f>
        <v/>
      </c>
      <c r="I1817" s="22" t="str">
        <f aca="false">IF(AND(ISNUMBER(F1817),ISNUMBER(G1817)),IF(D1817=F1817,15,0),"")</f>
        <v/>
      </c>
      <c r="J1817" s="22" t="str">
        <f aca="false">IF(AND(ISNUMBER(F1817),ISNUMBER(G1817)),IF(E1817=G1817,15,0),"")</f>
        <v/>
      </c>
      <c r="K1817" s="22" t="str">
        <f aca="false">IF(AND(ISNUMBER(F1817),ISNUMBER(G1817)),IF(ABS(D1817-E1817)=ABS(F1817-G1817),12,0),"")</f>
        <v/>
      </c>
      <c r="L1817" s="23" t="str">
        <f aca="false">IF(ISNUMBER(H1817),H1817+I1817+J1817+K1817,"")</f>
        <v/>
      </c>
    </row>
    <row r="1818" customFormat="false" ht="18" hidden="false" customHeight="true" outlineLevel="0" collapsed="false">
      <c r="A1818" s="25" t="s">
        <v>9</v>
      </c>
      <c r="B1818" s="26" t="s">
        <v>173</v>
      </c>
      <c r="C1818" s="27" t="s">
        <v>60</v>
      </c>
      <c r="D1818" s="28" t="n">
        <v>2</v>
      </c>
      <c r="E1818" s="28" t="n">
        <v>1</v>
      </c>
      <c r="F1818" s="29" t="n">
        <f aca="false">'📋 Matches'!E18</f>
        <v>0</v>
      </c>
      <c r="G1818" s="29" t="n">
        <f aca="false">'📋 Matches'!F18</f>
        <v>0</v>
      </c>
      <c r="H1818" s="22" t="str">
        <f aca="false">IF(AND(ISNUMBER(F1818),ISNUMBER(G1818)),IF(SIGN(D1818-E1818)=SIGN(F1818-G1818),48,0),"")</f>
        <v/>
      </c>
      <c r="I1818" s="22" t="str">
        <f aca="false">IF(AND(ISNUMBER(F1818),ISNUMBER(G1818)),IF(D1818=F1818,15,0),"")</f>
        <v/>
      </c>
      <c r="J1818" s="22" t="str">
        <f aca="false">IF(AND(ISNUMBER(F1818),ISNUMBER(G1818)),IF(E1818=G1818,15,0),"")</f>
        <v/>
      </c>
      <c r="K1818" s="22" t="str">
        <f aca="false">IF(AND(ISNUMBER(F1818),ISNUMBER(G1818)),IF(ABS(D1818-E1818)=ABS(F1818-G1818),12,0),"")</f>
        <v/>
      </c>
      <c r="L1818" s="23" t="str">
        <f aca="false">IF(ISNUMBER(H1818),H1818+I1818+J1818+K1818,"")</f>
        <v/>
      </c>
    </row>
    <row r="1819" customFormat="false" ht="18" hidden="false" customHeight="true" outlineLevel="0" collapsed="false">
      <c r="A1819" s="25" t="s">
        <v>9</v>
      </c>
      <c r="B1819" s="26" t="s">
        <v>173</v>
      </c>
      <c r="C1819" s="27" t="s">
        <v>63</v>
      </c>
      <c r="D1819" s="28" t="n">
        <v>1</v>
      </c>
      <c r="E1819" s="28" t="n">
        <v>3</v>
      </c>
      <c r="F1819" s="29" t="n">
        <f aca="false">'📋 Matches'!E19</f>
        <v>0</v>
      </c>
      <c r="G1819" s="29" t="n">
        <f aca="false">'📋 Matches'!F19</f>
        <v>0</v>
      </c>
      <c r="H1819" s="22" t="str">
        <f aca="false">IF(AND(ISNUMBER(F1819),ISNUMBER(G1819)),IF(SIGN(D1819-E1819)=SIGN(F1819-G1819),48,0),"")</f>
        <v/>
      </c>
      <c r="I1819" s="22" t="str">
        <f aca="false">IF(AND(ISNUMBER(F1819),ISNUMBER(G1819)),IF(D1819=F1819,15,0),"")</f>
        <v/>
      </c>
      <c r="J1819" s="22" t="str">
        <f aca="false">IF(AND(ISNUMBER(F1819),ISNUMBER(G1819)),IF(E1819=G1819,15,0),"")</f>
        <v/>
      </c>
      <c r="K1819" s="22" t="str">
        <f aca="false">IF(AND(ISNUMBER(F1819),ISNUMBER(G1819)),IF(ABS(D1819-E1819)=ABS(F1819-G1819),12,0),"")</f>
        <v/>
      </c>
      <c r="L1819" s="23" t="str">
        <f aca="false">IF(ISNUMBER(H1819),H1819+I1819+J1819+K1819,"")</f>
        <v/>
      </c>
    </row>
    <row r="1820" customFormat="false" ht="18" hidden="false" customHeight="true" outlineLevel="0" collapsed="false">
      <c r="A1820" s="25" t="s">
        <v>9</v>
      </c>
      <c r="B1820" s="26" t="s">
        <v>173</v>
      </c>
      <c r="C1820" s="27" t="s">
        <v>66</v>
      </c>
      <c r="D1820" s="28" t="n">
        <v>2</v>
      </c>
      <c r="E1820" s="28" t="n">
        <v>1</v>
      </c>
      <c r="F1820" s="29" t="n">
        <f aca="false">'📋 Matches'!E20</f>
        <v>0</v>
      </c>
      <c r="G1820" s="29" t="n">
        <f aca="false">'📋 Matches'!F20</f>
        <v>0</v>
      </c>
      <c r="H1820" s="22" t="str">
        <f aca="false">IF(AND(ISNUMBER(F1820),ISNUMBER(G1820)),IF(SIGN(D1820-E1820)=SIGN(F1820-G1820),48,0),"")</f>
        <v/>
      </c>
      <c r="I1820" s="22" t="str">
        <f aca="false">IF(AND(ISNUMBER(F1820),ISNUMBER(G1820)),IF(D1820=F1820,15,0),"")</f>
        <v/>
      </c>
      <c r="J1820" s="22" t="str">
        <f aca="false">IF(AND(ISNUMBER(F1820),ISNUMBER(G1820)),IF(E1820=G1820,15,0),"")</f>
        <v/>
      </c>
      <c r="K1820" s="22" t="str">
        <f aca="false">IF(AND(ISNUMBER(F1820),ISNUMBER(G1820)),IF(ABS(D1820-E1820)=ABS(F1820-G1820),12,0),"")</f>
        <v/>
      </c>
      <c r="L1820" s="23" t="str">
        <f aca="false">IF(ISNUMBER(H1820),H1820+I1820+J1820+K1820,"")</f>
        <v/>
      </c>
    </row>
    <row r="1821" customFormat="false" ht="18" hidden="false" customHeight="true" outlineLevel="0" collapsed="false">
      <c r="A1821" s="25" t="s">
        <v>9</v>
      </c>
      <c r="B1821" s="26" t="s">
        <v>173</v>
      </c>
      <c r="C1821" s="27" t="s">
        <v>69</v>
      </c>
      <c r="D1821" s="28" t="n">
        <v>0</v>
      </c>
      <c r="E1821" s="28" t="n">
        <v>1</v>
      </c>
      <c r="F1821" s="29" t="n">
        <f aca="false">'📋 Matches'!E21</f>
        <v>0</v>
      </c>
      <c r="G1821" s="29" t="n">
        <f aca="false">'📋 Matches'!F21</f>
        <v>0</v>
      </c>
      <c r="H1821" s="22" t="str">
        <f aca="false">IF(AND(ISNUMBER(F1821),ISNUMBER(G1821)),IF(SIGN(D1821-E1821)=SIGN(F1821-G1821),48,0),"")</f>
        <v/>
      </c>
      <c r="I1821" s="22" t="str">
        <f aca="false">IF(AND(ISNUMBER(F1821),ISNUMBER(G1821)),IF(D1821=F1821,15,0),"")</f>
        <v/>
      </c>
      <c r="J1821" s="22" t="str">
        <f aca="false">IF(AND(ISNUMBER(F1821),ISNUMBER(G1821)),IF(E1821=G1821,15,0),"")</f>
        <v/>
      </c>
      <c r="K1821" s="22" t="str">
        <f aca="false">IF(AND(ISNUMBER(F1821),ISNUMBER(G1821)),IF(ABS(D1821-E1821)=ABS(F1821-G1821),12,0),"")</f>
        <v/>
      </c>
      <c r="L1821" s="23" t="str">
        <f aca="false">IF(ISNUMBER(H1821),H1821+I1821+J1821+K1821,"")</f>
        <v/>
      </c>
    </row>
    <row r="1822" customFormat="false" ht="18" hidden="false" customHeight="true" outlineLevel="0" collapsed="false">
      <c r="A1822" s="25" t="s">
        <v>9</v>
      </c>
      <c r="B1822" s="26" t="s">
        <v>173</v>
      </c>
      <c r="C1822" s="27" t="s">
        <v>72</v>
      </c>
      <c r="D1822" s="28" t="n">
        <v>2</v>
      </c>
      <c r="E1822" s="28" t="n">
        <v>0</v>
      </c>
      <c r="F1822" s="29" t="n">
        <f aca="false">'📋 Matches'!E22</f>
        <v>0</v>
      </c>
      <c r="G1822" s="29" t="n">
        <f aca="false">'📋 Matches'!F22</f>
        <v>0</v>
      </c>
      <c r="H1822" s="22" t="str">
        <f aca="false">IF(AND(ISNUMBER(F1822),ISNUMBER(G1822)),IF(SIGN(D1822-E1822)=SIGN(F1822-G1822),48,0),"")</f>
        <v/>
      </c>
      <c r="I1822" s="22" t="str">
        <f aca="false">IF(AND(ISNUMBER(F1822),ISNUMBER(G1822)),IF(D1822=F1822,15,0),"")</f>
        <v/>
      </c>
      <c r="J1822" s="22" t="str">
        <f aca="false">IF(AND(ISNUMBER(F1822),ISNUMBER(G1822)),IF(E1822=G1822,15,0),"")</f>
        <v/>
      </c>
      <c r="K1822" s="22" t="str">
        <f aca="false">IF(AND(ISNUMBER(F1822),ISNUMBER(G1822)),IF(ABS(D1822-E1822)=ABS(F1822-G1822),12,0),"")</f>
        <v/>
      </c>
      <c r="L1822" s="23" t="str">
        <f aca="false">IF(ISNUMBER(H1822),H1822+I1822+J1822+K1822,"")</f>
        <v/>
      </c>
    </row>
    <row r="1823" customFormat="false" ht="18" hidden="false" customHeight="true" outlineLevel="0" collapsed="false">
      <c r="A1823" s="25" t="s">
        <v>9</v>
      </c>
      <c r="B1823" s="26" t="s">
        <v>173</v>
      </c>
      <c r="C1823" s="27" t="s">
        <v>75</v>
      </c>
      <c r="D1823" s="28" t="n">
        <v>2</v>
      </c>
      <c r="E1823" s="28" t="n">
        <v>1</v>
      </c>
      <c r="F1823" s="29" t="n">
        <f aca="false">'📋 Matches'!E23</f>
        <v>0</v>
      </c>
      <c r="G1823" s="29" t="n">
        <f aca="false">'📋 Matches'!F23</f>
        <v>0</v>
      </c>
      <c r="H1823" s="22" t="str">
        <f aca="false">IF(AND(ISNUMBER(F1823),ISNUMBER(G1823)),IF(SIGN(D1823-E1823)=SIGN(F1823-G1823),48,0),"")</f>
        <v/>
      </c>
      <c r="I1823" s="22" t="str">
        <f aca="false">IF(AND(ISNUMBER(F1823),ISNUMBER(G1823)),IF(D1823=F1823,15,0),"")</f>
        <v/>
      </c>
      <c r="J1823" s="22" t="str">
        <f aca="false">IF(AND(ISNUMBER(F1823),ISNUMBER(G1823)),IF(E1823=G1823,15,0),"")</f>
        <v/>
      </c>
      <c r="K1823" s="22" t="str">
        <f aca="false">IF(AND(ISNUMBER(F1823),ISNUMBER(G1823)),IF(ABS(D1823-E1823)=ABS(F1823-G1823),12,0),"")</f>
        <v/>
      </c>
      <c r="L1823" s="23" t="str">
        <f aca="false">IF(ISNUMBER(H1823),H1823+I1823+J1823+K1823,"")</f>
        <v/>
      </c>
    </row>
    <row r="1824" customFormat="false" ht="18" hidden="false" customHeight="true" outlineLevel="0" collapsed="false">
      <c r="A1824" s="25" t="s">
        <v>9</v>
      </c>
      <c r="B1824" s="26" t="s">
        <v>173</v>
      </c>
      <c r="C1824" s="27" t="s">
        <v>78</v>
      </c>
      <c r="D1824" s="28" t="n">
        <v>2</v>
      </c>
      <c r="E1824" s="28" t="n">
        <v>0</v>
      </c>
      <c r="F1824" s="29" t="n">
        <f aca="false">'📋 Matches'!E24</f>
        <v>0</v>
      </c>
      <c r="G1824" s="29" t="n">
        <f aca="false">'📋 Matches'!F24</f>
        <v>0</v>
      </c>
      <c r="H1824" s="22" t="str">
        <f aca="false">IF(AND(ISNUMBER(F1824),ISNUMBER(G1824)),IF(SIGN(D1824-E1824)=SIGN(F1824-G1824),48,0),"")</f>
        <v/>
      </c>
      <c r="I1824" s="22" t="str">
        <f aca="false">IF(AND(ISNUMBER(F1824),ISNUMBER(G1824)),IF(D1824=F1824,15,0),"")</f>
        <v/>
      </c>
      <c r="J1824" s="22" t="str">
        <f aca="false">IF(AND(ISNUMBER(F1824),ISNUMBER(G1824)),IF(E1824=G1824,15,0),"")</f>
        <v/>
      </c>
      <c r="K1824" s="22" t="str">
        <f aca="false">IF(AND(ISNUMBER(F1824),ISNUMBER(G1824)),IF(ABS(D1824-E1824)=ABS(F1824-G1824),12,0),"")</f>
        <v/>
      </c>
      <c r="L1824" s="23" t="str">
        <f aca="false">IF(ISNUMBER(H1824),H1824+I1824+J1824+K1824,"")</f>
        <v/>
      </c>
    </row>
    <row r="1825" customFormat="false" ht="18" hidden="false" customHeight="true" outlineLevel="0" collapsed="false">
      <c r="A1825" s="25" t="s">
        <v>9</v>
      </c>
      <c r="B1825" s="26" t="s">
        <v>173</v>
      </c>
      <c r="C1825" s="27" t="s">
        <v>81</v>
      </c>
      <c r="D1825" s="28" t="n">
        <v>1</v>
      </c>
      <c r="E1825" s="28" t="n">
        <v>1</v>
      </c>
      <c r="F1825" s="29" t="n">
        <f aca="false">'📋 Matches'!E25</f>
        <v>0</v>
      </c>
      <c r="G1825" s="29" t="n">
        <f aca="false">'📋 Matches'!F25</f>
        <v>0</v>
      </c>
      <c r="H1825" s="22" t="str">
        <f aca="false">IF(AND(ISNUMBER(F1825),ISNUMBER(G1825)),IF(SIGN(D1825-E1825)=SIGN(F1825-G1825),48,0),"")</f>
        <v/>
      </c>
      <c r="I1825" s="22" t="str">
        <f aca="false">IF(AND(ISNUMBER(F1825),ISNUMBER(G1825)),IF(D1825=F1825,15,0),"")</f>
        <v/>
      </c>
      <c r="J1825" s="22" t="str">
        <f aca="false">IF(AND(ISNUMBER(F1825),ISNUMBER(G1825)),IF(E1825=G1825,15,0),"")</f>
        <v/>
      </c>
      <c r="K1825" s="22" t="str">
        <f aca="false">IF(AND(ISNUMBER(F1825),ISNUMBER(G1825)),IF(ABS(D1825-E1825)=ABS(F1825-G1825),12,0),"")</f>
        <v/>
      </c>
      <c r="L1825" s="23" t="str">
        <f aca="false">IF(ISNUMBER(H1825),H1825+I1825+J1825+K1825,"")</f>
        <v/>
      </c>
    </row>
    <row r="1826" customFormat="false" ht="18" hidden="false" customHeight="true" outlineLevel="0" collapsed="false">
      <c r="A1826" s="25" t="s">
        <v>84</v>
      </c>
      <c r="B1826" s="26" t="s">
        <v>173</v>
      </c>
      <c r="C1826" s="27" t="s">
        <v>85</v>
      </c>
      <c r="D1826" s="28"/>
      <c r="E1826" s="28"/>
      <c r="F1826" s="29" t="n">
        <f aca="false">'📋 Matches'!E26</f>
        <v>0</v>
      </c>
      <c r="G1826" s="29" t="n">
        <f aca="false">'📋 Matches'!F26</f>
        <v>0</v>
      </c>
      <c r="H1826" s="30" t="s">
        <v>148</v>
      </c>
      <c r="I1826" s="30" t="s">
        <v>148</v>
      </c>
      <c r="J1826" s="30" t="s">
        <v>148</v>
      </c>
      <c r="K1826" s="30" t="s">
        <v>148</v>
      </c>
      <c r="L1826" s="30" t="s">
        <v>148</v>
      </c>
    </row>
    <row r="1827" customFormat="false" ht="18" hidden="false" customHeight="true" outlineLevel="0" collapsed="false">
      <c r="A1827" s="25" t="s">
        <v>84</v>
      </c>
      <c r="B1827" s="26" t="s">
        <v>173</v>
      </c>
      <c r="C1827" s="27" t="s">
        <v>87</v>
      </c>
      <c r="D1827" s="28"/>
      <c r="E1827" s="28"/>
      <c r="F1827" s="29" t="n">
        <f aca="false">'📋 Matches'!E27</f>
        <v>0</v>
      </c>
      <c r="G1827" s="29" t="n">
        <f aca="false">'📋 Matches'!F27</f>
        <v>0</v>
      </c>
      <c r="H1827" s="30" t="s">
        <v>148</v>
      </c>
      <c r="I1827" s="30" t="s">
        <v>148</v>
      </c>
      <c r="J1827" s="30" t="s">
        <v>148</v>
      </c>
      <c r="K1827" s="30" t="s">
        <v>148</v>
      </c>
      <c r="L1827" s="30" t="s">
        <v>148</v>
      </c>
    </row>
    <row r="1828" customFormat="false" ht="18" hidden="false" customHeight="true" outlineLevel="0" collapsed="false">
      <c r="A1828" s="25" t="s">
        <v>84</v>
      </c>
      <c r="B1828" s="26" t="s">
        <v>173</v>
      </c>
      <c r="C1828" s="27" t="s">
        <v>89</v>
      </c>
      <c r="D1828" s="28"/>
      <c r="E1828" s="28"/>
      <c r="F1828" s="29" t="n">
        <f aca="false">'📋 Matches'!E28</f>
        <v>0</v>
      </c>
      <c r="G1828" s="29" t="n">
        <f aca="false">'📋 Matches'!F28</f>
        <v>0</v>
      </c>
      <c r="H1828" s="30" t="s">
        <v>148</v>
      </c>
      <c r="I1828" s="30" t="s">
        <v>148</v>
      </c>
      <c r="J1828" s="30" t="s">
        <v>148</v>
      </c>
      <c r="K1828" s="30" t="s">
        <v>148</v>
      </c>
      <c r="L1828" s="30" t="s">
        <v>148</v>
      </c>
    </row>
    <row r="1829" customFormat="false" ht="18" hidden="false" customHeight="true" outlineLevel="0" collapsed="false">
      <c r="A1829" s="25" t="s">
        <v>84</v>
      </c>
      <c r="B1829" s="26" t="s">
        <v>173</v>
      </c>
      <c r="C1829" s="27" t="s">
        <v>90</v>
      </c>
      <c r="D1829" s="28"/>
      <c r="E1829" s="28"/>
      <c r="F1829" s="29" t="n">
        <f aca="false">'📋 Matches'!E29</f>
        <v>0</v>
      </c>
      <c r="G1829" s="29" t="n">
        <f aca="false">'📋 Matches'!F29</f>
        <v>0</v>
      </c>
      <c r="H1829" s="30" t="s">
        <v>148</v>
      </c>
      <c r="I1829" s="30" t="s">
        <v>148</v>
      </c>
      <c r="J1829" s="30" t="s">
        <v>148</v>
      </c>
      <c r="K1829" s="30" t="s">
        <v>148</v>
      </c>
      <c r="L1829" s="30" t="s">
        <v>148</v>
      </c>
    </row>
    <row r="1830" customFormat="false" ht="18" hidden="false" customHeight="true" outlineLevel="0" collapsed="false">
      <c r="A1830" s="25" t="s">
        <v>84</v>
      </c>
      <c r="B1830" s="26" t="s">
        <v>173</v>
      </c>
      <c r="C1830" s="27" t="s">
        <v>91</v>
      </c>
      <c r="D1830" s="28"/>
      <c r="E1830" s="28"/>
      <c r="F1830" s="29" t="n">
        <f aca="false">'📋 Matches'!E30</f>
        <v>0</v>
      </c>
      <c r="G1830" s="29" t="n">
        <f aca="false">'📋 Matches'!F30</f>
        <v>0</v>
      </c>
      <c r="H1830" s="30" t="s">
        <v>148</v>
      </c>
      <c r="I1830" s="30" t="s">
        <v>148</v>
      </c>
      <c r="J1830" s="30" t="s">
        <v>148</v>
      </c>
      <c r="K1830" s="30" t="s">
        <v>148</v>
      </c>
      <c r="L1830" s="30" t="s">
        <v>148</v>
      </c>
    </row>
    <row r="1831" customFormat="false" ht="18" hidden="false" customHeight="true" outlineLevel="0" collapsed="false">
      <c r="A1831" s="25" t="s">
        <v>84</v>
      </c>
      <c r="B1831" s="26" t="s">
        <v>173</v>
      </c>
      <c r="C1831" s="27" t="s">
        <v>92</v>
      </c>
      <c r="D1831" s="28"/>
      <c r="E1831" s="28"/>
      <c r="F1831" s="29" t="n">
        <f aca="false">'📋 Matches'!E31</f>
        <v>0</v>
      </c>
      <c r="G1831" s="29" t="n">
        <f aca="false">'📋 Matches'!F31</f>
        <v>0</v>
      </c>
      <c r="H1831" s="30" t="s">
        <v>148</v>
      </c>
      <c r="I1831" s="30" t="s">
        <v>148</v>
      </c>
      <c r="J1831" s="30" t="s">
        <v>148</v>
      </c>
      <c r="K1831" s="30" t="s">
        <v>148</v>
      </c>
      <c r="L1831" s="30" t="s">
        <v>148</v>
      </c>
    </row>
    <row r="1832" customFormat="false" ht="18" hidden="false" customHeight="true" outlineLevel="0" collapsed="false">
      <c r="A1832" s="25" t="s">
        <v>84</v>
      </c>
      <c r="B1832" s="26" t="s">
        <v>173</v>
      </c>
      <c r="C1832" s="27" t="s">
        <v>93</v>
      </c>
      <c r="D1832" s="28"/>
      <c r="E1832" s="28"/>
      <c r="F1832" s="29" t="n">
        <f aca="false">'📋 Matches'!E32</f>
        <v>0</v>
      </c>
      <c r="G1832" s="29" t="n">
        <f aca="false">'📋 Matches'!F32</f>
        <v>0</v>
      </c>
      <c r="H1832" s="30" t="s">
        <v>148</v>
      </c>
      <c r="I1832" s="30" t="s">
        <v>148</v>
      </c>
      <c r="J1832" s="30" t="s">
        <v>148</v>
      </c>
      <c r="K1832" s="30" t="s">
        <v>148</v>
      </c>
      <c r="L1832" s="30" t="s">
        <v>148</v>
      </c>
    </row>
    <row r="1833" customFormat="false" ht="18" hidden="false" customHeight="true" outlineLevel="0" collapsed="false">
      <c r="A1833" s="25" t="s">
        <v>84</v>
      </c>
      <c r="B1833" s="26" t="s">
        <v>173</v>
      </c>
      <c r="C1833" s="27" t="s">
        <v>94</v>
      </c>
      <c r="D1833" s="28"/>
      <c r="E1833" s="28"/>
      <c r="F1833" s="29" t="n">
        <f aca="false">'📋 Matches'!E33</f>
        <v>0</v>
      </c>
      <c r="G1833" s="29" t="n">
        <f aca="false">'📋 Matches'!F33</f>
        <v>0</v>
      </c>
      <c r="H1833" s="30" t="s">
        <v>148</v>
      </c>
      <c r="I1833" s="30" t="s">
        <v>148</v>
      </c>
      <c r="J1833" s="30" t="s">
        <v>148</v>
      </c>
      <c r="K1833" s="30" t="s">
        <v>148</v>
      </c>
      <c r="L1833" s="30" t="s">
        <v>148</v>
      </c>
    </row>
    <row r="1834" customFormat="false" ht="18" hidden="false" customHeight="true" outlineLevel="0" collapsed="false">
      <c r="A1834" s="25" t="s">
        <v>84</v>
      </c>
      <c r="B1834" s="26" t="s">
        <v>173</v>
      </c>
      <c r="C1834" s="27" t="s">
        <v>96</v>
      </c>
      <c r="D1834" s="28"/>
      <c r="E1834" s="28"/>
      <c r="F1834" s="29" t="n">
        <f aca="false">'📋 Matches'!E34</f>
        <v>0</v>
      </c>
      <c r="G1834" s="29" t="n">
        <f aca="false">'📋 Matches'!F34</f>
        <v>0</v>
      </c>
      <c r="H1834" s="30" t="s">
        <v>148</v>
      </c>
      <c r="I1834" s="30" t="s">
        <v>148</v>
      </c>
      <c r="J1834" s="30" t="s">
        <v>148</v>
      </c>
      <c r="K1834" s="30" t="s">
        <v>148</v>
      </c>
      <c r="L1834" s="30" t="s">
        <v>148</v>
      </c>
    </row>
    <row r="1835" customFormat="false" ht="18" hidden="false" customHeight="true" outlineLevel="0" collapsed="false">
      <c r="A1835" s="25" t="s">
        <v>84</v>
      </c>
      <c r="B1835" s="26" t="s">
        <v>173</v>
      </c>
      <c r="C1835" s="27" t="s">
        <v>97</v>
      </c>
      <c r="D1835" s="28"/>
      <c r="E1835" s="28"/>
      <c r="F1835" s="29" t="n">
        <f aca="false">'📋 Matches'!E35</f>
        <v>0</v>
      </c>
      <c r="G1835" s="29" t="n">
        <f aca="false">'📋 Matches'!F35</f>
        <v>0</v>
      </c>
      <c r="H1835" s="30" t="s">
        <v>148</v>
      </c>
      <c r="I1835" s="30" t="s">
        <v>148</v>
      </c>
      <c r="J1835" s="30" t="s">
        <v>148</v>
      </c>
      <c r="K1835" s="30" t="s">
        <v>148</v>
      </c>
      <c r="L1835" s="30" t="s">
        <v>148</v>
      </c>
    </row>
    <row r="1836" customFormat="false" ht="18" hidden="false" customHeight="true" outlineLevel="0" collapsed="false">
      <c r="A1836" s="25" t="s">
        <v>84</v>
      </c>
      <c r="B1836" s="26" t="s">
        <v>173</v>
      </c>
      <c r="C1836" s="27" t="s">
        <v>98</v>
      </c>
      <c r="D1836" s="28"/>
      <c r="E1836" s="28"/>
      <c r="F1836" s="29" t="n">
        <f aca="false">'📋 Matches'!E36</f>
        <v>0</v>
      </c>
      <c r="G1836" s="29" t="n">
        <f aca="false">'📋 Matches'!F36</f>
        <v>0</v>
      </c>
      <c r="H1836" s="30" t="s">
        <v>148</v>
      </c>
      <c r="I1836" s="30" t="s">
        <v>148</v>
      </c>
      <c r="J1836" s="30" t="s">
        <v>148</v>
      </c>
      <c r="K1836" s="30" t="s">
        <v>148</v>
      </c>
      <c r="L1836" s="30" t="s">
        <v>148</v>
      </c>
    </row>
    <row r="1837" customFormat="false" ht="18" hidden="false" customHeight="true" outlineLevel="0" collapsed="false">
      <c r="A1837" s="25" t="s">
        <v>84</v>
      </c>
      <c r="B1837" s="26" t="s">
        <v>173</v>
      </c>
      <c r="C1837" s="27" t="s">
        <v>100</v>
      </c>
      <c r="D1837" s="28"/>
      <c r="E1837" s="28"/>
      <c r="F1837" s="29" t="n">
        <f aca="false">'📋 Matches'!E37</f>
        <v>0</v>
      </c>
      <c r="G1837" s="29" t="n">
        <f aca="false">'📋 Matches'!F37</f>
        <v>0</v>
      </c>
      <c r="H1837" s="30" t="s">
        <v>148</v>
      </c>
      <c r="I1837" s="30" t="s">
        <v>148</v>
      </c>
      <c r="J1837" s="30" t="s">
        <v>148</v>
      </c>
      <c r="K1837" s="30" t="s">
        <v>148</v>
      </c>
      <c r="L1837" s="30" t="s">
        <v>148</v>
      </c>
    </row>
    <row r="1838" customFormat="false" ht="18" hidden="false" customHeight="true" outlineLevel="0" collapsed="false">
      <c r="A1838" s="25" t="s">
        <v>84</v>
      </c>
      <c r="B1838" s="26" t="s">
        <v>173</v>
      </c>
      <c r="C1838" s="27" t="s">
        <v>101</v>
      </c>
      <c r="D1838" s="28"/>
      <c r="E1838" s="28"/>
      <c r="F1838" s="29" t="n">
        <f aca="false">'📋 Matches'!E38</f>
        <v>0</v>
      </c>
      <c r="G1838" s="29" t="n">
        <f aca="false">'📋 Matches'!F38</f>
        <v>0</v>
      </c>
      <c r="H1838" s="30" t="s">
        <v>148</v>
      </c>
      <c r="I1838" s="30" t="s">
        <v>148</v>
      </c>
      <c r="J1838" s="30" t="s">
        <v>148</v>
      </c>
      <c r="K1838" s="30" t="s">
        <v>148</v>
      </c>
      <c r="L1838" s="30" t="s">
        <v>148</v>
      </c>
    </row>
    <row r="1839" customFormat="false" ht="18" hidden="false" customHeight="true" outlineLevel="0" collapsed="false">
      <c r="A1839" s="25" t="s">
        <v>84</v>
      </c>
      <c r="B1839" s="26" t="s">
        <v>173</v>
      </c>
      <c r="C1839" s="27" t="s">
        <v>102</v>
      </c>
      <c r="D1839" s="28"/>
      <c r="E1839" s="28"/>
      <c r="F1839" s="29" t="n">
        <f aca="false">'📋 Matches'!E39</f>
        <v>0</v>
      </c>
      <c r="G1839" s="29" t="n">
        <f aca="false">'📋 Matches'!F39</f>
        <v>0</v>
      </c>
      <c r="H1839" s="30" t="s">
        <v>148</v>
      </c>
      <c r="I1839" s="30" t="s">
        <v>148</v>
      </c>
      <c r="J1839" s="30" t="s">
        <v>148</v>
      </c>
      <c r="K1839" s="30" t="s">
        <v>148</v>
      </c>
      <c r="L1839" s="30" t="s">
        <v>148</v>
      </c>
    </row>
    <row r="1840" customFormat="false" ht="18" hidden="false" customHeight="true" outlineLevel="0" collapsed="false">
      <c r="A1840" s="25" t="s">
        <v>84</v>
      </c>
      <c r="B1840" s="26" t="s">
        <v>173</v>
      </c>
      <c r="C1840" s="27" t="s">
        <v>103</v>
      </c>
      <c r="D1840" s="28"/>
      <c r="E1840" s="28"/>
      <c r="F1840" s="29" t="n">
        <f aca="false">'📋 Matches'!E40</f>
        <v>0</v>
      </c>
      <c r="G1840" s="29" t="n">
        <f aca="false">'📋 Matches'!F40</f>
        <v>0</v>
      </c>
      <c r="H1840" s="30" t="s">
        <v>148</v>
      </c>
      <c r="I1840" s="30" t="s">
        <v>148</v>
      </c>
      <c r="J1840" s="30" t="s">
        <v>148</v>
      </c>
      <c r="K1840" s="30" t="s">
        <v>148</v>
      </c>
      <c r="L1840" s="30" t="s">
        <v>148</v>
      </c>
    </row>
    <row r="1841" customFormat="false" ht="18" hidden="false" customHeight="true" outlineLevel="0" collapsed="false">
      <c r="A1841" s="25" t="s">
        <v>84</v>
      </c>
      <c r="B1841" s="26" t="s">
        <v>173</v>
      </c>
      <c r="C1841" s="27" t="s">
        <v>104</v>
      </c>
      <c r="D1841" s="28"/>
      <c r="E1841" s="28"/>
      <c r="F1841" s="29" t="n">
        <f aca="false">'📋 Matches'!E41</f>
        <v>0</v>
      </c>
      <c r="G1841" s="29" t="n">
        <f aca="false">'📋 Matches'!F41</f>
        <v>0</v>
      </c>
      <c r="H1841" s="30" t="s">
        <v>148</v>
      </c>
      <c r="I1841" s="30" t="s">
        <v>148</v>
      </c>
      <c r="J1841" s="30" t="s">
        <v>148</v>
      </c>
      <c r="K1841" s="30" t="s">
        <v>148</v>
      </c>
      <c r="L1841" s="30" t="s">
        <v>148</v>
      </c>
    </row>
    <row r="1842" customFormat="false" ht="18" hidden="false" customHeight="true" outlineLevel="0" collapsed="false">
      <c r="A1842" s="25" t="s">
        <v>84</v>
      </c>
      <c r="B1842" s="26" t="s">
        <v>173</v>
      </c>
      <c r="C1842" s="27" t="s">
        <v>105</v>
      </c>
      <c r="D1842" s="28"/>
      <c r="E1842" s="28"/>
      <c r="F1842" s="29" t="n">
        <f aca="false">'📋 Matches'!E42</f>
        <v>0</v>
      </c>
      <c r="G1842" s="29" t="n">
        <f aca="false">'📋 Matches'!F42</f>
        <v>0</v>
      </c>
      <c r="H1842" s="30" t="s">
        <v>148</v>
      </c>
      <c r="I1842" s="30" t="s">
        <v>148</v>
      </c>
      <c r="J1842" s="30" t="s">
        <v>148</v>
      </c>
      <c r="K1842" s="30" t="s">
        <v>148</v>
      </c>
      <c r="L1842" s="30" t="s">
        <v>148</v>
      </c>
    </row>
    <row r="1843" customFormat="false" ht="18" hidden="false" customHeight="true" outlineLevel="0" collapsed="false">
      <c r="A1843" s="25" t="s">
        <v>84</v>
      </c>
      <c r="B1843" s="26" t="s">
        <v>173</v>
      </c>
      <c r="C1843" s="27" t="s">
        <v>106</v>
      </c>
      <c r="D1843" s="28"/>
      <c r="E1843" s="28"/>
      <c r="F1843" s="29" t="n">
        <f aca="false">'📋 Matches'!E43</f>
        <v>0</v>
      </c>
      <c r="G1843" s="29" t="n">
        <f aca="false">'📋 Matches'!F43</f>
        <v>0</v>
      </c>
      <c r="H1843" s="30" t="s">
        <v>148</v>
      </c>
      <c r="I1843" s="30" t="s">
        <v>148</v>
      </c>
      <c r="J1843" s="30" t="s">
        <v>148</v>
      </c>
      <c r="K1843" s="30" t="s">
        <v>148</v>
      </c>
      <c r="L1843" s="30" t="s">
        <v>148</v>
      </c>
    </row>
    <row r="1844" customFormat="false" ht="18" hidden="false" customHeight="true" outlineLevel="0" collapsed="false">
      <c r="A1844" s="25" t="s">
        <v>84</v>
      </c>
      <c r="B1844" s="26" t="s">
        <v>173</v>
      </c>
      <c r="C1844" s="27" t="s">
        <v>107</v>
      </c>
      <c r="D1844" s="28"/>
      <c r="E1844" s="28"/>
      <c r="F1844" s="29" t="n">
        <f aca="false">'📋 Matches'!E44</f>
        <v>0</v>
      </c>
      <c r="G1844" s="29" t="n">
        <f aca="false">'📋 Matches'!F44</f>
        <v>0</v>
      </c>
      <c r="H1844" s="30" t="s">
        <v>148</v>
      </c>
      <c r="I1844" s="30" t="s">
        <v>148</v>
      </c>
      <c r="J1844" s="30" t="s">
        <v>148</v>
      </c>
      <c r="K1844" s="30" t="s">
        <v>148</v>
      </c>
      <c r="L1844" s="30" t="s">
        <v>148</v>
      </c>
    </row>
    <row r="1845" customFormat="false" ht="18" hidden="false" customHeight="true" outlineLevel="0" collapsed="false">
      <c r="A1845" s="25" t="s">
        <v>84</v>
      </c>
      <c r="B1845" s="26" t="s">
        <v>173</v>
      </c>
      <c r="C1845" s="27" t="s">
        <v>108</v>
      </c>
      <c r="D1845" s="28"/>
      <c r="E1845" s="28"/>
      <c r="F1845" s="29" t="n">
        <f aca="false">'📋 Matches'!E45</f>
        <v>0</v>
      </c>
      <c r="G1845" s="29" t="n">
        <f aca="false">'📋 Matches'!F45</f>
        <v>0</v>
      </c>
      <c r="H1845" s="30" t="s">
        <v>148</v>
      </c>
      <c r="I1845" s="30" t="s">
        <v>148</v>
      </c>
      <c r="J1845" s="30" t="s">
        <v>148</v>
      </c>
      <c r="K1845" s="30" t="s">
        <v>148</v>
      </c>
      <c r="L1845" s="30" t="s">
        <v>148</v>
      </c>
    </row>
    <row r="1846" customFormat="false" ht="18" hidden="false" customHeight="true" outlineLevel="0" collapsed="false">
      <c r="A1846" s="25" t="s">
        <v>84</v>
      </c>
      <c r="B1846" s="26" t="s">
        <v>173</v>
      </c>
      <c r="C1846" s="27" t="s">
        <v>109</v>
      </c>
      <c r="D1846" s="28"/>
      <c r="E1846" s="28"/>
      <c r="F1846" s="29" t="n">
        <f aca="false">'📋 Matches'!E46</f>
        <v>0</v>
      </c>
      <c r="G1846" s="29" t="n">
        <f aca="false">'📋 Matches'!F46</f>
        <v>0</v>
      </c>
      <c r="H1846" s="30" t="s">
        <v>148</v>
      </c>
      <c r="I1846" s="30" t="s">
        <v>148</v>
      </c>
      <c r="J1846" s="30" t="s">
        <v>148</v>
      </c>
      <c r="K1846" s="30" t="s">
        <v>148</v>
      </c>
      <c r="L1846" s="30" t="s">
        <v>148</v>
      </c>
    </row>
    <row r="1847" customFormat="false" ht="18" hidden="false" customHeight="true" outlineLevel="0" collapsed="false">
      <c r="A1847" s="25" t="s">
        <v>84</v>
      </c>
      <c r="B1847" s="26" t="s">
        <v>173</v>
      </c>
      <c r="C1847" s="27" t="s">
        <v>110</v>
      </c>
      <c r="D1847" s="28"/>
      <c r="E1847" s="28"/>
      <c r="F1847" s="29" t="n">
        <f aca="false">'📋 Matches'!E47</f>
        <v>0</v>
      </c>
      <c r="G1847" s="29" t="n">
        <f aca="false">'📋 Matches'!F47</f>
        <v>0</v>
      </c>
      <c r="H1847" s="30" t="s">
        <v>148</v>
      </c>
      <c r="I1847" s="30" t="s">
        <v>148</v>
      </c>
      <c r="J1847" s="30" t="s">
        <v>148</v>
      </c>
      <c r="K1847" s="30" t="s">
        <v>148</v>
      </c>
      <c r="L1847" s="30" t="s">
        <v>148</v>
      </c>
    </row>
    <row r="1848" customFormat="false" ht="18" hidden="false" customHeight="true" outlineLevel="0" collapsed="false">
      <c r="A1848" s="25" t="s">
        <v>84</v>
      </c>
      <c r="B1848" s="26" t="s">
        <v>173</v>
      </c>
      <c r="C1848" s="27" t="s">
        <v>111</v>
      </c>
      <c r="D1848" s="28"/>
      <c r="E1848" s="28"/>
      <c r="F1848" s="29" t="n">
        <f aca="false">'📋 Matches'!E48</f>
        <v>0</v>
      </c>
      <c r="G1848" s="29" t="n">
        <f aca="false">'📋 Matches'!F48</f>
        <v>0</v>
      </c>
      <c r="H1848" s="30" t="s">
        <v>148</v>
      </c>
      <c r="I1848" s="30" t="s">
        <v>148</v>
      </c>
      <c r="J1848" s="30" t="s">
        <v>148</v>
      </c>
      <c r="K1848" s="30" t="s">
        <v>148</v>
      </c>
      <c r="L1848" s="30" t="s">
        <v>148</v>
      </c>
    </row>
    <row r="1849" customFormat="false" ht="18" hidden="false" customHeight="true" outlineLevel="0" collapsed="false">
      <c r="A1849" s="25" t="s">
        <v>84</v>
      </c>
      <c r="B1849" s="26" t="s">
        <v>173</v>
      </c>
      <c r="C1849" s="27" t="s">
        <v>112</v>
      </c>
      <c r="D1849" s="28"/>
      <c r="E1849" s="28"/>
      <c r="F1849" s="29" t="n">
        <f aca="false">'📋 Matches'!E49</f>
        <v>0</v>
      </c>
      <c r="G1849" s="29" t="n">
        <f aca="false">'📋 Matches'!F49</f>
        <v>0</v>
      </c>
      <c r="H1849" s="30" t="s">
        <v>148</v>
      </c>
      <c r="I1849" s="30" t="s">
        <v>148</v>
      </c>
      <c r="J1849" s="30" t="s">
        <v>148</v>
      </c>
      <c r="K1849" s="30" t="s">
        <v>148</v>
      </c>
      <c r="L1849" s="30" t="s">
        <v>148</v>
      </c>
    </row>
    <row r="1850" customFormat="false" ht="18" hidden="false" customHeight="true" outlineLevel="0" collapsed="false">
      <c r="A1850" s="25" t="s">
        <v>114</v>
      </c>
      <c r="B1850" s="26" t="s">
        <v>173</v>
      </c>
      <c r="C1850" s="27" t="s">
        <v>115</v>
      </c>
      <c r="D1850" s="28"/>
      <c r="E1850" s="28"/>
      <c r="F1850" s="29" t="n">
        <f aca="false">'📋 Matches'!E50</f>
        <v>0</v>
      </c>
      <c r="G1850" s="29" t="n">
        <f aca="false">'📋 Matches'!F50</f>
        <v>0</v>
      </c>
      <c r="H1850" s="30" t="s">
        <v>148</v>
      </c>
      <c r="I1850" s="30" t="s">
        <v>148</v>
      </c>
      <c r="J1850" s="30" t="s">
        <v>148</v>
      </c>
      <c r="K1850" s="30" t="s">
        <v>148</v>
      </c>
      <c r="L1850" s="30" t="s">
        <v>148</v>
      </c>
    </row>
    <row r="1851" customFormat="false" ht="18" hidden="false" customHeight="true" outlineLevel="0" collapsed="false">
      <c r="A1851" s="25" t="s">
        <v>114</v>
      </c>
      <c r="B1851" s="26" t="s">
        <v>173</v>
      </c>
      <c r="C1851" s="27" t="s">
        <v>116</v>
      </c>
      <c r="D1851" s="28"/>
      <c r="E1851" s="28"/>
      <c r="F1851" s="29" t="n">
        <f aca="false">'📋 Matches'!E51</f>
        <v>0</v>
      </c>
      <c r="G1851" s="29" t="n">
        <f aca="false">'📋 Matches'!F51</f>
        <v>0</v>
      </c>
      <c r="H1851" s="30" t="s">
        <v>148</v>
      </c>
      <c r="I1851" s="30" t="s">
        <v>148</v>
      </c>
      <c r="J1851" s="30" t="s">
        <v>148</v>
      </c>
      <c r="K1851" s="30" t="s">
        <v>148</v>
      </c>
      <c r="L1851" s="30" t="s">
        <v>148</v>
      </c>
    </row>
    <row r="1852" customFormat="false" ht="18" hidden="false" customHeight="true" outlineLevel="0" collapsed="false">
      <c r="A1852" s="25" t="s">
        <v>114</v>
      </c>
      <c r="B1852" s="26" t="s">
        <v>173</v>
      </c>
      <c r="C1852" s="27" t="s">
        <v>117</v>
      </c>
      <c r="D1852" s="28"/>
      <c r="E1852" s="28"/>
      <c r="F1852" s="29" t="n">
        <f aca="false">'📋 Matches'!E52</f>
        <v>0</v>
      </c>
      <c r="G1852" s="29" t="n">
        <f aca="false">'📋 Matches'!F52</f>
        <v>0</v>
      </c>
      <c r="H1852" s="30" t="s">
        <v>148</v>
      </c>
      <c r="I1852" s="30" t="s">
        <v>148</v>
      </c>
      <c r="J1852" s="30" t="s">
        <v>148</v>
      </c>
      <c r="K1852" s="30" t="s">
        <v>148</v>
      </c>
      <c r="L1852" s="30" t="s">
        <v>148</v>
      </c>
    </row>
    <row r="1853" customFormat="false" ht="18" hidden="false" customHeight="true" outlineLevel="0" collapsed="false">
      <c r="A1853" s="25" t="s">
        <v>114</v>
      </c>
      <c r="B1853" s="26" t="s">
        <v>173</v>
      </c>
      <c r="C1853" s="27" t="s">
        <v>118</v>
      </c>
      <c r="D1853" s="28"/>
      <c r="E1853" s="28"/>
      <c r="F1853" s="29" t="n">
        <f aca="false">'📋 Matches'!E53</f>
        <v>0</v>
      </c>
      <c r="G1853" s="29" t="n">
        <f aca="false">'📋 Matches'!F53</f>
        <v>0</v>
      </c>
      <c r="H1853" s="30" t="s">
        <v>148</v>
      </c>
      <c r="I1853" s="30" t="s">
        <v>148</v>
      </c>
      <c r="J1853" s="30" t="s">
        <v>148</v>
      </c>
      <c r="K1853" s="30" t="s">
        <v>148</v>
      </c>
      <c r="L1853" s="30" t="s">
        <v>148</v>
      </c>
    </row>
    <row r="1854" customFormat="false" ht="18" hidden="false" customHeight="true" outlineLevel="0" collapsed="false">
      <c r="A1854" s="25" t="s">
        <v>114</v>
      </c>
      <c r="B1854" s="26" t="s">
        <v>173</v>
      </c>
      <c r="C1854" s="27" t="s">
        <v>119</v>
      </c>
      <c r="D1854" s="28"/>
      <c r="E1854" s="28"/>
      <c r="F1854" s="29" t="n">
        <f aca="false">'📋 Matches'!E54</f>
        <v>0</v>
      </c>
      <c r="G1854" s="29" t="n">
        <f aca="false">'📋 Matches'!F54</f>
        <v>0</v>
      </c>
      <c r="H1854" s="30" t="s">
        <v>148</v>
      </c>
      <c r="I1854" s="30" t="s">
        <v>148</v>
      </c>
      <c r="J1854" s="30" t="s">
        <v>148</v>
      </c>
      <c r="K1854" s="30" t="s">
        <v>148</v>
      </c>
      <c r="L1854" s="30" t="s">
        <v>148</v>
      </c>
    </row>
    <row r="1855" customFormat="false" ht="18" hidden="false" customHeight="true" outlineLevel="0" collapsed="false">
      <c r="A1855" s="25" t="s">
        <v>114</v>
      </c>
      <c r="B1855" s="26" t="s">
        <v>173</v>
      </c>
      <c r="C1855" s="27" t="s">
        <v>120</v>
      </c>
      <c r="D1855" s="28"/>
      <c r="E1855" s="28"/>
      <c r="F1855" s="29" t="n">
        <f aca="false">'📋 Matches'!E55</f>
        <v>0</v>
      </c>
      <c r="G1855" s="29" t="n">
        <f aca="false">'📋 Matches'!F55</f>
        <v>0</v>
      </c>
      <c r="H1855" s="30" t="s">
        <v>148</v>
      </c>
      <c r="I1855" s="30" t="s">
        <v>148</v>
      </c>
      <c r="J1855" s="30" t="s">
        <v>148</v>
      </c>
      <c r="K1855" s="30" t="s">
        <v>148</v>
      </c>
      <c r="L1855" s="30" t="s">
        <v>148</v>
      </c>
    </row>
    <row r="1856" customFormat="false" ht="18" hidden="false" customHeight="true" outlineLevel="0" collapsed="false">
      <c r="A1856" s="25" t="s">
        <v>114</v>
      </c>
      <c r="B1856" s="26" t="s">
        <v>173</v>
      </c>
      <c r="C1856" s="27" t="s">
        <v>121</v>
      </c>
      <c r="D1856" s="28"/>
      <c r="E1856" s="28"/>
      <c r="F1856" s="29" t="n">
        <f aca="false">'📋 Matches'!E56</f>
        <v>0</v>
      </c>
      <c r="G1856" s="29" t="n">
        <f aca="false">'📋 Matches'!F56</f>
        <v>0</v>
      </c>
      <c r="H1856" s="30" t="s">
        <v>148</v>
      </c>
      <c r="I1856" s="30" t="s">
        <v>148</v>
      </c>
      <c r="J1856" s="30" t="s">
        <v>148</v>
      </c>
      <c r="K1856" s="30" t="s">
        <v>148</v>
      </c>
      <c r="L1856" s="30" t="s">
        <v>148</v>
      </c>
    </row>
    <row r="1857" customFormat="false" ht="18" hidden="false" customHeight="true" outlineLevel="0" collapsed="false">
      <c r="A1857" s="25" t="s">
        <v>114</v>
      </c>
      <c r="B1857" s="26" t="s">
        <v>173</v>
      </c>
      <c r="C1857" s="27" t="s">
        <v>122</v>
      </c>
      <c r="D1857" s="28"/>
      <c r="E1857" s="28"/>
      <c r="F1857" s="29" t="n">
        <f aca="false">'📋 Matches'!E57</f>
        <v>0</v>
      </c>
      <c r="G1857" s="29" t="n">
        <f aca="false">'📋 Matches'!F57</f>
        <v>0</v>
      </c>
      <c r="H1857" s="30" t="s">
        <v>148</v>
      </c>
      <c r="I1857" s="30" t="s">
        <v>148</v>
      </c>
      <c r="J1857" s="30" t="s">
        <v>148</v>
      </c>
      <c r="K1857" s="30" t="s">
        <v>148</v>
      </c>
      <c r="L1857" s="30" t="s">
        <v>148</v>
      </c>
    </row>
    <row r="1858" customFormat="false" ht="18" hidden="false" customHeight="true" outlineLevel="0" collapsed="false">
      <c r="A1858" s="25" t="s">
        <v>114</v>
      </c>
      <c r="B1858" s="26" t="s">
        <v>173</v>
      </c>
      <c r="C1858" s="27" t="s">
        <v>123</v>
      </c>
      <c r="D1858" s="28"/>
      <c r="E1858" s="28"/>
      <c r="F1858" s="29" t="n">
        <f aca="false">'📋 Matches'!E58</f>
        <v>0</v>
      </c>
      <c r="G1858" s="29" t="n">
        <f aca="false">'📋 Matches'!F58</f>
        <v>0</v>
      </c>
      <c r="H1858" s="30" t="s">
        <v>148</v>
      </c>
      <c r="I1858" s="30" t="s">
        <v>148</v>
      </c>
      <c r="J1858" s="30" t="s">
        <v>148</v>
      </c>
      <c r="K1858" s="30" t="s">
        <v>148</v>
      </c>
      <c r="L1858" s="30" t="s">
        <v>148</v>
      </c>
    </row>
    <row r="1859" customFormat="false" ht="18" hidden="false" customHeight="true" outlineLevel="0" collapsed="false">
      <c r="A1859" s="25" t="s">
        <v>114</v>
      </c>
      <c r="B1859" s="26" t="s">
        <v>173</v>
      </c>
      <c r="C1859" s="27" t="s">
        <v>124</v>
      </c>
      <c r="D1859" s="28"/>
      <c r="E1859" s="28"/>
      <c r="F1859" s="29" t="n">
        <f aca="false">'📋 Matches'!E59</f>
        <v>0</v>
      </c>
      <c r="G1859" s="29" t="n">
        <f aca="false">'📋 Matches'!F59</f>
        <v>0</v>
      </c>
      <c r="H1859" s="30" t="s">
        <v>148</v>
      </c>
      <c r="I1859" s="30" t="s">
        <v>148</v>
      </c>
      <c r="J1859" s="30" t="s">
        <v>148</v>
      </c>
      <c r="K1859" s="30" t="s">
        <v>148</v>
      </c>
      <c r="L1859" s="30" t="s">
        <v>148</v>
      </c>
    </row>
    <row r="1860" customFormat="false" ht="18" hidden="false" customHeight="true" outlineLevel="0" collapsed="false">
      <c r="A1860" s="25" t="s">
        <v>114</v>
      </c>
      <c r="B1860" s="26" t="s">
        <v>173</v>
      </c>
      <c r="C1860" s="27" t="s">
        <v>125</v>
      </c>
      <c r="D1860" s="28"/>
      <c r="E1860" s="28"/>
      <c r="F1860" s="29" t="n">
        <f aca="false">'📋 Matches'!E60</f>
        <v>0</v>
      </c>
      <c r="G1860" s="29" t="n">
        <f aca="false">'📋 Matches'!F60</f>
        <v>0</v>
      </c>
      <c r="H1860" s="30" t="s">
        <v>148</v>
      </c>
      <c r="I1860" s="30" t="s">
        <v>148</v>
      </c>
      <c r="J1860" s="30" t="s">
        <v>148</v>
      </c>
      <c r="K1860" s="30" t="s">
        <v>148</v>
      </c>
      <c r="L1860" s="30" t="s">
        <v>148</v>
      </c>
    </row>
    <row r="1861" customFormat="false" ht="18" hidden="false" customHeight="true" outlineLevel="0" collapsed="false">
      <c r="A1861" s="25" t="s">
        <v>114</v>
      </c>
      <c r="B1861" s="26" t="s">
        <v>173</v>
      </c>
      <c r="C1861" s="27" t="s">
        <v>126</v>
      </c>
      <c r="D1861" s="28"/>
      <c r="E1861" s="28"/>
      <c r="F1861" s="29" t="n">
        <f aca="false">'📋 Matches'!E61</f>
        <v>0</v>
      </c>
      <c r="G1861" s="29" t="n">
        <f aca="false">'📋 Matches'!F61</f>
        <v>0</v>
      </c>
      <c r="H1861" s="30" t="s">
        <v>148</v>
      </c>
      <c r="I1861" s="30" t="s">
        <v>148</v>
      </c>
      <c r="J1861" s="30" t="s">
        <v>148</v>
      </c>
      <c r="K1861" s="30" t="s">
        <v>148</v>
      </c>
      <c r="L1861" s="30" t="s">
        <v>148</v>
      </c>
    </row>
    <row r="1862" customFormat="false" ht="18" hidden="false" customHeight="true" outlineLevel="0" collapsed="false">
      <c r="A1862" s="25" t="s">
        <v>114</v>
      </c>
      <c r="B1862" s="26" t="s">
        <v>173</v>
      </c>
      <c r="C1862" s="27" t="s">
        <v>127</v>
      </c>
      <c r="D1862" s="28"/>
      <c r="E1862" s="28"/>
      <c r="F1862" s="29" t="n">
        <f aca="false">'📋 Matches'!E62</f>
        <v>0</v>
      </c>
      <c r="G1862" s="29" t="n">
        <f aca="false">'📋 Matches'!F62</f>
        <v>0</v>
      </c>
      <c r="H1862" s="30" t="s">
        <v>148</v>
      </c>
      <c r="I1862" s="30" t="s">
        <v>148</v>
      </c>
      <c r="J1862" s="30" t="s">
        <v>148</v>
      </c>
      <c r="K1862" s="30" t="s">
        <v>148</v>
      </c>
      <c r="L1862" s="30" t="s">
        <v>148</v>
      </c>
    </row>
    <row r="1863" customFormat="false" ht="18" hidden="false" customHeight="true" outlineLevel="0" collapsed="false">
      <c r="A1863" s="25" t="s">
        <v>114</v>
      </c>
      <c r="B1863" s="26" t="s">
        <v>173</v>
      </c>
      <c r="C1863" s="27" t="s">
        <v>128</v>
      </c>
      <c r="D1863" s="28"/>
      <c r="E1863" s="28"/>
      <c r="F1863" s="29" t="n">
        <f aca="false">'📋 Matches'!E63</f>
        <v>0</v>
      </c>
      <c r="G1863" s="29" t="n">
        <f aca="false">'📋 Matches'!F63</f>
        <v>0</v>
      </c>
      <c r="H1863" s="30" t="s">
        <v>148</v>
      </c>
      <c r="I1863" s="30" t="s">
        <v>148</v>
      </c>
      <c r="J1863" s="30" t="s">
        <v>148</v>
      </c>
      <c r="K1863" s="30" t="s">
        <v>148</v>
      </c>
      <c r="L1863" s="30" t="s">
        <v>148</v>
      </c>
    </row>
    <row r="1864" customFormat="false" ht="18" hidden="false" customHeight="true" outlineLevel="0" collapsed="false">
      <c r="A1864" s="25" t="s">
        <v>114</v>
      </c>
      <c r="B1864" s="26" t="s">
        <v>173</v>
      </c>
      <c r="C1864" s="27" t="s">
        <v>129</v>
      </c>
      <c r="D1864" s="28"/>
      <c r="E1864" s="28"/>
      <c r="F1864" s="29" t="n">
        <f aca="false">'📋 Matches'!E64</f>
        <v>0</v>
      </c>
      <c r="G1864" s="29" t="n">
        <f aca="false">'📋 Matches'!F64</f>
        <v>0</v>
      </c>
      <c r="H1864" s="30" t="s">
        <v>148</v>
      </c>
      <c r="I1864" s="30" t="s">
        <v>148</v>
      </c>
      <c r="J1864" s="30" t="s">
        <v>148</v>
      </c>
      <c r="K1864" s="30" t="s">
        <v>148</v>
      </c>
      <c r="L1864" s="30" t="s">
        <v>148</v>
      </c>
    </row>
    <row r="1865" customFormat="false" ht="18" hidden="false" customHeight="true" outlineLevel="0" collapsed="false">
      <c r="A1865" s="25" t="s">
        <v>114</v>
      </c>
      <c r="B1865" s="26" t="s">
        <v>173</v>
      </c>
      <c r="C1865" s="27" t="s">
        <v>130</v>
      </c>
      <c r="D1865" s="28"/>
      <c r="E1865" s="28"/>
      <c r="F1865" s="29" t="n">
        <f aca="false">'📋 Matches'!E65</f>
        <v>0</v>
      </c>
      <c r="G1865" s="29" t="n">
        <f aca="false">'📋 Matches'!F65</f>
        <v>0</v>
      </c>
      <c r="H1865" s="30" t="s">
        <v>148</v>
      </c>
      <c r="I1865" s="30" t="s">
        <v>148</v>
      </c>
      <c r="J1865" s="30" t="s">
        <v>148</v>
      </c>
      <c r="K1865" s="30" t="s">
        <v>148</v>
      </c>
      <c r="L1865" s="30" t="s">
        <v>148</v>
      </c>
    </row>
    <row r="1866" customFormat="false" ht="18" hidden="false" customHeight="true" outlineLevel="0" collapsed="false">
      <c r="A1866" s="25" t="s">
        <v>114</v>
      </c>
      <c r="B1866" s="26" t="s">
        <v>173</v>
      </c>
      <c r="C1866" s="27" t="s">
        <v>131</v>
      </c>
      <c r="D1866" s="28"/>
      <c r="E1866" s="28"/>
      <c r="F1866" s="29" t="n">
        <f aca="false">'📋 Matches'!E66</f>
        <v>0</v>
      </c>
      <c r="G1866" s="29" t="n">
        <f aca="false">'📋 Matches'!F66</f>
        <v>0</v>
      </c>
      <c r="H1866" s="30" t="s">
        <v>148</v>
      </c>
      <c r="I1866" s="30" t="s">
        <v>148</v>
      </c>
      <c r="J1866" s="30" t="s">
        <v>148</v>
      </c>
      <c r="K1866" s="30" t="s">
        <v>148</v>
      </c>
      <c r="L1866" s="30" t="s">
        <v>148</v>
      </c>
    </row>
    <row r="1867" customFormat="false" ht="18" hidden="false" customHeight="true" outlineLevel="0" collapsed="false">
      <c r="A1867" s="25" t="s">
        <v>114</v>
      </c>
      <c r="B1867" s="26" t="s">
        <v>173</v>
      </c>
      <c r="C1867" s="27" t="s">
        <v>132</v>
      </c>
      <c r="D1867" s="28"/>
      <c r="E1867" s="28"/>
      <c r="F1867" s="29" t="n">
        <f aca="false">'📋 Matches'!E67</f>
        <v>0</v>
      </c>
      <c r="G1867" s="29" t="n">
        <f aca="false">'📋 Matches'!F67</f>
        <v>0</v>
      </c>
      <c r="H1867" s="30" t="s">
        <v>148</v>
      </c>
      <c r="I1867" s="30" t="s">
        <v>148</v>
      </c>
      <c r="J1867" s="30" t="s">
        <v>148</v>
      </c>
      <c r="K1867" s="30" t="s">
        <v>148</v>
      </c>
      <c r="L1867" s="30" t="s">
        <v>148</v>
      </c>
    </row>
    <row r="1868" customFormat="false" ht="18" hidden="false" customHeight="true" outlineLevel="0" collapsed="false">
      <c r="A1868" s="25" t="s">
        <v>114</v>
      </c>
      <c r="B1868" s="26" t="s">
        <v>173</v>
      </c>
      <c r="C1868" s="27" t="s">
        <v>133</v>
      </c>
      <c r="D1868" s="28"/>
      <c r="E1868" s="28"/>
      <c r="F1868" s="29" t="n">
        <f aca="false">'📋 Matches'!E68</f>
        <v>0</v>
      </c>
      <c r="G1868" s="29" t="n">
        <f aca="false">'📋 Matches'!F68</f>
        <v>0</v>
      </c>
      <c r="H1868" s="30" t="s">
        <v>148</v>
      </c>
      <c r="I1868" s="30" t="s">
        <v>148</v>
      </c>
      <c r="J1868" s="30" t="s">
        <v>148</v>
      </c>
      <c r="K1868" s="30" t="s">
        <v>148</v>
      </c>
      <c r="L1868" s="30" t="s">
        <v>148</v>
      </c>
    </row>
    <row r="1869" customFormat="false" ht="18" hidden="false" customHeight="true" outlineLevel="0" collapsed="false">
      <c r="A1869" s="25" t="s">
        <v>114</v>
      </c>
      <c r="B1869" s="26" t="s">
        <v>173</v>
      </c>
      <c r="C1869" s="27" t="s">
        <v>134</v>
      </c>
      <c r="D1869" s="28"/>
      <c r="E1869" s="28"/>
      <c r="F1869" s="29" t="n">
        <f aca="false">'📋 Matches'!E69</f>
        <v>0</v>
      </c>
      <c r="G1869" s="29" t="n">
        <f aca="false">'📋 Matches'!F69</f>
        <v>0</v>
      </c>
      <c r="H1869" s="30" t="s">
        <v>148</v>
      </c>
      <c r="I1869" s="30" t="s">
        <v>148</v>
      </c>
      <c r="J1869" s="30" t="s">
        <v>148</v>
      </c>
      <c r="K1869" s="30" t="s">
        <v>148</v>
      </c>
      <c r="L1869" s="30" t="s">
        <v>148</v>
      </c>
    </row>
    <row r="1870" customFormat="false" ht="18" hidden="false" customHeight="true" outlineLevel="0" collapsed="false">
      <c r="A1870" s="25" t="s">
        <v>114</v>
      </c>
      <c r="B1870" s="26" t="s">
        <v>173</v>
      </c>
      <c r="C1870" s="27" t="s">
        <v>135</v>
      </c>
      <c r="D1870" s="28"/>
      <c r="E1870" s="28"/>
      <c r="F1870" s="29" t="n">
        <f aca="false">'📋 Matches'!E70</f>
        <v>0</v>
      </c>
      <c r="G1870" s="29" t="n">
        <f aca="false">'📋 Matches'!F70</f>
        <v>0</v>
      </c>
      <c r="H1870" s="30" t="s">
        <v>148</v>
      </c>
      <c r="I1870" s="30" t="s">
        <v>148</v>
      </c>
      <c r="J1870" s="30" t="s">
        <v>148</v>
      </c>
      <c r="K1870" s="30" t="s">
        <v>148</v>
      </c>
      <c r="L1870" s="30" t="s">
        <v>148</v>
      </c>
    </row>
    <row r="1871" customFormat="false" ht="18" hidden="false" customHeight="true" outlineLevel="0" collapsed="false">
      <c r="A1871" s="25" t="s">
        <v>114</v>
      </c>
      <c r="B1871" s="26" t="s">
        <v>173</v>
      </c>
      <c r="C1871" s="27" t="s">
        <v>136</v>
      </c>
      <c r="D1871" s="28"/>
      <c r="E1871" s="28"/>
      <c r="F1871" s="29" t="n">
        <f aca="false">'📋 Matches'!E71</f>
        <v>0</v>
      </c>
      <c r="G1871" s="29" t="n">
        <f aca="false">'📋 Matches'!F71</f>
        <v>0</v>
      </c>
      <c r="H1871" s="30" t="s">
        <v>148</v>
      </c>
      <c r="I1871" s="30" t="s">
        <v>148</v>
      </c>
      <c r="J1871" s="30" t="s">
        <v>148</v>
      </c>
      <c r="K1871" s="30" t="s">
        <v>148</v>
      </c>
      <c r="L1871" s="30" t="s">
        <v>148</v>
      </c>
    </row>
    <row r="1872" customFormat="false" ht="18" hidden="false" customHeight="true" outlineLevel="0" collapsed="false">
      <c r="A1872" s="25" t="s">
        <v>114</v>
      </c>
      <c r="B1872" s="26" t="s">
        <v>173</v>
      </c>
      <c r="C1872" s="27" t="s">
        <v>137</v>
      </c>
      <c r="D1872" s="28"/>
      <c r="E1872" s="28"/>
      <c r="F1872" s="29" t="n">
        <f aca="false">'📋 Matches'!E72</f>
        <v>0</v>
      </c>
      <c r="G1872" s="29" t="n">
        <f aca="false">'📋 Matches'!F72</f>
        <v>0</v>
      </c>
      <c r="H1872" s="30" t="s">
        <v>148</v>
      </c>
      <c r="I1872" s="30" t="s">
        <v>148</v>
      </c>
      <c r="J1872" s="30" t="s">
        <v>148</v>
      </c>
      <c r="K1872" s="30" t="s">
        <v>148</v>
      </c>
      <c r="L1872" s="30" t="s">
        <v>148</v>
      </c>
    </row>
    <row r="1873" customFormat="false" ht="18" hidden="false" customHeight="true" outlineLevel="0" collapsed="false">
      <c r="A1873" s="25" t="s">
        <v>114</v>
      </c>
      <c r="B1873" s="26" t="s">
        <v>173</v>
      </c>
      <c r="C1873" s="27" t="s">
        <v>138</v>
      </c>
      <c r="D1873" s="28"/>
      <c r="E1873" s="28"/>
      <c r="F1873" s="29" t="n">
        <f aca="false">'📋 Matches'!E73</f>
        <v>0</v>
      </c>
      <c r="G1873" s="29" t="n">
        <f aca="false">'📋 Matches'!F73</f>
        <v>0</v>
      </c>
      <c r="H1873" s="30" t="s">
        <v>148</v>
      </c>
      <c r="I1873" s="30" t="s">
        <v>148</v>
      </c>
      <c r="J1873" s="30" t="s">
        <v>148</v>
      </c>
      <c r="K1873" s="30" t="s">
        <v>148</v>
      </c>
      <c r="L1873" s="30" t="s">
        <v>148</v>
      </c>
    </row>
    <row r="1874" customFormat="false" ht="18" hidden="false" customHeight="true" outlineLevel="0" collapsed="false">
      <c r="A1874" s="17" t="s">
        <v>9</v>
      </c>
      <c r="B1874" s="18" t="s">
        <v>174</v>
      </c>
      <c r="C1874" s="19" t="s">
        <v>10</v>
      </c>
      <c r="D1874" s="20" t="n">
        <v>2</v>
      </c>
      <c r="E1874" s="20" t="n">
        <v>1</v>
      </c>
      <c r="F1874" s="21" t="n">
        <f aca="false">'📋 Matches'!E2</f>
        <v>2</v>
      </c>
      <c r="G1874" s="21" t="n">
        <f aca="false">'📋 Matches'!F2</f>
        <v>0</v>
      </c>
      <c r="H1874" s="22" t="n">
        <f aca="false">IF(AND(ISNUMBER(F1874),ISNUMBER(G1874)),IF(SIGN(D1874-E1874)=SIGN(F1874-G1874),48,0),"")</f>
        <v>48</v>
      </c>
      <c r="I1874" s="22" t="n">
        <f aca="false">IF(AND(ISNUMBER(F1874),ISNUMBER(G1874)),IF(D1874=F1874,15,0),"")</f>
        <v>15</v>
      </c>
      <c r="J1874" s="22" t="n">
        <f aca="false">IF(AND(ISNUMBER(F1874),ISNUMBER(G1874)),IF(E1874=G1874,15,0),"")</f>
        <v>0</v>
      </c>
      <c r="K1874" s="22" t="n">
        <f aca="false">IF(AND(ISNUMBER(F1874),ISNUMBER(G1874)),IF(ABS(D1874-E1874)=ABS(F1874-G1874),12,0),"")</f>
        <v>0</v>
      </c>
      <c r="L1874" s="23" t="n">
        <f aca="false">IF(ISNUMBER(H1874),H1874+I1874+J1874+K1874,"")</f>
        <v>63</v>
      </c>
    </row>
    <row r="1875" customFormat="false" ht="18" hidden="false" customHeight="true" outlineLevel="0" collapsed="false">
      <c r="A1875" s="17" t="s">
        <v>9</v>
      </c>
      <c r="B1875" s="18" t="s">
        <v>174</v>
      </c>
      <c r="C1875" s="19" t="s">
        <v>14</v>
      </c>
      <c r="D1875" s="20" t="n">
        <v>1</v>
      </c>
      <c r="E1875" s="20" t="n">
        <v>0</v>
      </c>
      <c r="F1875" s="21" t="n">
        <f aca="false">'📋 Matches'!E3</f>
        <v>2</v>
      </c>
      <c r="G1875" s="21" t="n">
        <f aca="false">'📋 Matches'!F3</f>
        <v>1</v>
      </c>
      <c r="H1875" s="22" t="n">
        <f aca="false">IF(AND(ISNUMBER(F1875),ISNUMBER(G1875)),IF(SIGN(D1875-E1875)=SIGN(F1875-G1875),48,0),"")</f>
        <v>48</v>
      </c>
      <c r="I1875" s="22" t="n">
        <f aca="false">IF(AND(ISNUMBER(F1875),ISNUMBER(G1875)),IF(D1875=F1875,15,0),"")</f>
        <v>0</v>
      </c>
      <c r="J1875" s="22" t="n">
        <f aca="false">IF(AND(ISNUMBER(F1875),ISNUMBER(G1875)),IF(E1875=G1875,15,0),"")</f>
        <v>0</v>
      </c>
      <c r="K1875" s="22" t="n">
        <f aca="false">IF(AND(ISNUMBER(F1875),ISNUMBER(G1875)),IF(ABS(D1875-E1875)=ABS(F1875-G1875),12,0),"")</f>
        <v>12</v>
      </c>
      <c r="L1875" s="23" t="n">
        <f aca="false">IF(ISNUMBER(H1875),H1875+I1875+J1875+K1875,"")</f>
        <v>60</v>
      </c>
    </row>
    <row r="1876" customFormat="false" ht="18" hidden="false" customHeight="true" outlineLevel="0" collapsed="false">
      <c r="A1876" s="17" t="s">
        <v>9</v>
      </c>
      <c r="B1876" s="18" t="s">
        <v>174</v>
      </c>
      <c r="C1876" s="19" t="s">
        <v>17</v>
      </c>
      <c r="D1876" s="20" t="n">
        <v>1</v>
      </c>
      <c r="E1876" s="20" t="n">
        <v>0</v>
      </c>
      <c r="F1876" s="21" t="n">
        <f aca="false">'📋 Matches'!E4</f>
        <v>1</v>
      </c>
      <c r="G1876" s="21" t="n">
        <f aca="false">'📋 Matches'!F4</f>
        <v>1</v>
      </c>
      <c r="H1876" s="22" t="n">
        <f aca="false">IF(AND(ISNUMBER(F1876),ISNUMBER(G1876)),IF(SIGN(D1876-E1876)=SIGN(F1876-G1876),48,0),"")</f>
        <v>0</v>
      </c>
      <c r="I1876" s="22" t="n">
        <f aca="false">IF(AND(ISNUMBER(F1876),ISNUMBER(G1876)),IF(D1876=F1876,15,0),"")</f>
        <v>15</v>
      </c>
      <c r="J1876" s="22" t="n">
        <f aca="false">IF(AND(ISNUMBER(F1876),ISNUMBER(G1876)),IF(E1876=G1876,15,0),"")</f>
        <v>0</v>
      </c>
      <c r="K1876" s="22" t="n">
        <f aca="false">IF(AND(ISNUMBER(F1876),ISNUMBER(G1876)),IF(ABS(D1876-E1876)=ABS(F1876-G1876),12,0),"")</f>
        <v>0</v>
      </c>
      <c r="L1876" s="23" t="n">
        <f aca="false">IF(ISNUMBER(H1876),H1876+I1876+J1876+K1876,"")</f>
        <v>15</v>
      </c>
    </row>
    <row r="1877" customFormat="false" ht="18" hidden="false" customHeight="true" outlineLevel="0" collapsed="false">
      <c r="A1877" s="17" t="s">
        <v>9</v>
      </c>
      <c r="B1877" s="18" t="s">
        <v>174</v>
      </c>
      <c r="C1877" s="19" t="s">
        <v>20</v>
      </c>
      <c r="D1877" s="20" t="n">
        <v>2</v>
      </c>
      <c r="E1877" s="20" t="n">
        <v>0</v>
      </c>
      <c r="F1877" s="21" t="n">
        <f aca="false">'📋 Matches'!E5</f>
        <v>4</v>
      </c>
      <c r="G1877" s="21" t="n">
        <f aca="false">'📋 Matches'!F5</f>
        <v>1</v>
      </c>
      <c r="H1877" s="22" t="n">
        <f aca="false">IF(AND(ISNUMBER(F1877),ISNUMBER(G1877)),IF(SIGN(D1877-E1877)=SIGN(F1877-G1877),48,0),"")</f>
        <v>48</v>
      </c>
      <c r="I1877" s="22" t="n">
        <f aca="false">IF(AND(ISNUMBER(F1877),ISNUMBER(G1877)),IF(D1877=F1877,15,0),"")</f>
        <v>0</v>
      </c>
      <c r="J1877" s="22" t="n">
        <f aca="false">IF(AND(ISNUMBER(F1877),ISNUMBER(G1877)),IF(E1877=G1877,15,0),"")</f>
        <v>0</v>
      </c>
      <c r="K1877" s="22" t="n">
        <f aca="false">IF(AND(ISNUMBER(F1877),ISNUMBER(G1877)),IF(ABS(D1877-E1877)=ABS(F1877-G1877),12,0),"")</f>
        <v>0</v>
      </c>
      <c r="L1877" s="23" t="n">
        <f aca="false">IF(ISNUMBER(H1877),H1877+I1877+J1877+K1877,"")</f>
        <v>48</v>
      </c>
    </row>
    <row r="1878" customFormat="false" ht="18" hidden="false" customHeight="true" outlineLevel="0" collapsed="false">
      <c r="A1878" s="17" t="s">
        <v>9</v>
      </c>
      <c r="B1878" s="18" t="s">
        <v>174</v>
      </c>
      <c r="C1878" s="19" t="s">
        <v>23</v>
      </c>
      <c r="D1878" s="20" t="n">
        <v>0</v>
      </c>
      <c r="E1878" s="20" t="n">
        <v>2</v>
      </c>
      <c r="F1878" s="21" t="n">
        <f aca="false">'📋 Matches'!E6</f>
        <v>0</v>
      </c>
      <c r="G1878" s="21" t="n">
        <f aca="false">'📋 Matches'!F6</f>
        <v>0</v>
      </c>
      <c r="H1878" s="22" t="str">
        <f aca="false">IF(AND(ISNUMBER(F1878),ISNUMBER(G1878)),IF(SIGN(D1878-E1878)=SIGN(F1878-G1878),48,0),"")</f>
        <v/>
      </c>
      <c r="I1878" s="22" t="str">
        <f aca="false">IF(AND(ISNUMBER(F1878),ISNUMBER(G1878)),IF(D1878=F1878,15,0),"")</f>
        <v/>
      </c>
      <c r="J1878" s="22" t="str">
        <f aca="false">IF(AND(ISNUMBER(F1878),ISNUMBER(G1878)),IF(E1878=G1878,15,0),"")</f>
        <v/>
      </c>
      <c r="K1878" s="22" t="str">
        <f aca="false">IF(AND(ISNUMBER(F1878),ISNUMBER(G1878)),IF(ABS(D1878-E1878)=ABS(F1878-G1878),12,0),"")</f>
        <v/>
      </c>
      <c r="L1878" s="23" t="str">
        <f aca="false">IF(ISNUMBER(H1878),H1878+I1878+J1878+K1878,"")</f>
        <v/>
      </c>
    </row>
    <row r="1879" customFormat="false" ht="18" hidden="false" customHeight="true" outlineLevel="0" collapsed="false">
      <c r="A1879" s="17" t="s">
        <v>9</v>
      </c>
      <c r="B1879" s="18" t="s">
        <v>174</v>
      </c>
      <c r="C1879" s="19" t="s">
        <v>27</v>
      </c>
      <c r="D1879" s="20" t="n">
        <v>3</v>
      </c>
      <c r="E1879" s="20" t="n">
        <v>1</v>
      </c>
      <c r="F1879" s="21" t="n">
        <f aca="false">'📋 Matches'!E7</f>
        <v>0</v>
      </c>
      <c r="G1879" s="21" t="n">
        <f aca="false">'📋 Matches'!F7</f>
        <v>0</v>
      </c>
      <c r="H1879" s="22" t="str">
        <f aca="false">IF(AND(ISNUMBER(F1879),ISNUMBER(G1879)),IF(SIGN(D1879-E1879)=SIGN(F1879-G1879),48,0),"")</f>
        <v/>
      </c>
      <c r="I1879" s="22" t="str">
        <f aca="false">IF(AND(ISNUMBER(F1879),ISNUMBER(G1879)),IF(D1879=F1879,15,0),"")</f>
        <v/>
      </c>
      <c r="J1879" s="22" t="str">
        <f aca="false">IF(AND(ISNUMBER(F1879),ISNUMBER(G1879)),IF(E1879=G1879,15,0),"")</f>
        <v/>
      </c>
      <c r="K1879" s="22" t="str">
        <f aca="false">IF(AND(ISNUMBER(F1879),ISNUMBER(G1879)),IF(ABS(D1879-E1879)=ABS(F1879-G1879),12,0),"")</f>
        <v/>
      </c>
      <c r="L1879" s="23" t="str">
        <f aca="false">IF(ISNUMBER(H1879),H1879+I1879+J1879+K1879,"")</f>
        <v/>
      </c>
    </row>
    <row r="1880" customFormat="false" ht="18" hidden="false" customHeight="true" outlineLevel="0" collapsed="false">
      <c r="A1880" s="17" t="s">
        <v>9</v>
      </c>
      <c r="B1880" s="18" t="s">
        <v>174</v>
      </c>
      <c r="C1880" s="19" t="s">
        <v>30</v>
      </c>
      <c r="D1880" s="20" t="n">
        <v>1</v>
      </c>
      <c r="E1880" s="20" t="n">
        <v>2</v>
      </c>
      <c r="F1880" s="21" t="n">
        <f aca="false">'📋 Matches'!E8</f>
        <v>0</v>
      </c>
      <c r="G1880" s="21" t="n">
        <f aca="false">'📋 Matches'!F8</f>
        <v>0</v>
      </c>
      <c r="H1880" s="22" t="str">
        <f aca="false">IF(AND(ISNUMBER(F1880),ISNUMBER(G1880)),IF(SIGN(D1880-E1880)=SIGN(F1880-G1880),48,0),"")</f>
        <v/>
      </c>
      <c r="I1880" s="22" t="str">
        <f aca="false">IF(AND(ISNUMBER(F1880),ISNUMBER(G1880)),IF(D1880=F1880,15,0),"")</f>
        <v/>
      </c>
      <c r="J1880" s="22" t="str">
        <f aca="false">IF(AND(ISNUMBER(F1880),ISNUMBER(G1880)),IF(E1880=G1880,15,0),"")</f>
        <v/>
      </c>
      <c r="K1880" s="22" t="str">
        <f aca="false">IF(AND(ISNUMBER(F1880),ISNUMBER(G1880)),IF(ABS(D1880-E1880)=ABS(F1880-G1880),12,0),"")</f>
        <v/>
      </c>
      <c r="L1880" s="23" t="str">
        <f aca="false">IF(ISNUMBER(H1880),H1880+I1880+J1880+K1880,"")</f>
        <v/>
      </c>
    </row>
    <row r="1881" customFormat="false" ht="18" hidden="false" customHeight="true" outlineLevel="0" collapsed="false">
      <c r="A1881" s="17" t="s">
        <v>9</v>
      </c>
      <c r="B1881" s="18" t="s">
        <v>174</v>
      </c>
      <c r="C1881" s="19" t="s">
        <v>33</v>
      </c>
      <c r="D1881" s="20" t="n">
        <v>0</v>
      </c>
      <c r="E1881" s="20" t="n">
        <v>3</v>
      </c>
      <c r="F1881" s="21" t="n">
        <f aca="false">'📋 Matches'!E9</f>
        <v>0</v>
      </c>
      <c r="G1881" s="21" t="n">
        <f aca="false">'📋 Matches'!F9</f>
        <v>0</v>
      </c>
      <c r="H1881" s="22" t="str">
        <f aca="false">IF(AND(ISNUMBER(F1881),ISNUMBER(G1881)),IF(SIGN(D1881-E1881)=SIGN(F1881-G1881),48,0),"")</f>
        <v/>
      </c>
      <c r="I1881" s="22" t="str">
        <f aca="false">IF(AND(ISNUMBER(F1881),ISNUMBER(G1881)),IF(D1881=F1881,15,0),"")</f>
        <v/>
      </c>
      <c r="J1881" s="22" t="str">
        <f aca="false">IF(AND(ISNUMBER(F1881),ISNUMBER(G1881)),IF(E1881=G1881,15,0),"")</f>
        <v/>
      </c>
      <c r="K1881" s="22" t="str">
        <f aca="false">IF(AND(ISNUMBER(F1881),ISNUMBER(G1881)),IF(ABS(D1881-E1881)=ABS(F1881-G1881),12,0),"")</f>
        <v/>
      </c>
      <c r="L1881" s="23" t="str">
        <f aca="false">IF(ISNUMBER(H1881),H1881+I1881+J1881+K1881,"")</f>
        <v/>
      </c>
    </row>
    <row r="1882" customFormat="false" ht="18" hidden="false" customHeight="true" outlineLevel="0" collapsed="false">
      <c r="A1882" s="17" t="s">
        <v>9</v>
      </c>
      <c r="B1882" s="18" t="s">
        <v>174</v>
      </c>
      <c r="C1882" s="19" t="s">
        <v>36</v>
      </c>
      <c r="D1882" s="20" t="n">
        <v>4</v>
      </c>
      <c r="E1882" s="20" t="n">
        <v>0</v>
      </c>
      <c r="F1882" s="21" t="n">
        <f aca="false">'📋 Matches'!E10</f>
        <v>0</v>
      </c>
      <c r="G1882" s="21" t="n">
        <f aca="false">'📋 Matches'!F10</f>
        <v>0</v>
      </c>
      <c r="H1882" s="22" t="str">
        <f aca="false">IF(AND(ISNUMBER(F1882),ISNUMBER(G1882)),IF(SIGN(D1882-E1882)=SIGN(F1882-G1882),48,0),"")</f>
        <v/>
      </c>
      <c r="I1882" s="22" t="str">
        <f aca="false">IF(AND(ISNUMBER(F1882),ISNUMBER(G1882)),IF(D1882=F1882,15,0),"")</f>
        <v/>
      </c>
      <c r="J1882" s="22" t="str">
        <f aca="false">IF(AND(ISNUMBER(F1882),ISNUMBER(G1882)),IF(E1882=G1882,15,0),"")</f>
        <v/>
      </c>
      <c r="K1882" s="22" t="str">
        <f aca="false">IF(AND(ISNUMBER(F1882),ISNUMBER(G1882)),IF(ABS(D1882-E1882)=ABS(F1882-G1882),12,0),"")</f>
        <v/>
      </c>
      <c r="L1882" s="23" t="str">
        <f aca="false">IF(ISNUMBER(H1882),H1882+I1882+J1882+K1882,"")</f>
        <v/>
      </c>
    </row>
    <row r="1883" customFormat="false" ht="18" hidden="false" customHeight="true" outlineLevel="0" collapsed="false">
      <c r="A1883" s="17" t="s">
        <v>9</v>
      </c>
      <c r="B1883" s="18" t="s">
        <v>174</v>
      </c>
      <c r="C1883" s="19" t="s">
        <v>39</v>
      </c>
      <c r="D1883" s="20" t="n">
        <v>2</v>
      </c>
      <c r="E1883" s="20" t="n">
        <v>2</v>
      </c>
      <c r="F1883" s="21" t="n">
        <f aca="false">'📋 Matches'!E11</f>
        <v>0</v>
      </c>
      <c r="G1883" s="21" t="n">
        <f aca="false">'📋 Matches'!F11</f>
        <v>0</v>
      </c>
      <c r="H1883" s="22" t="str">
        <f aca="false">IF(AND(ISNUMBER(F1883),ISNUMBER(G1883)),IF(SIGN(D1883-E1883)=SIGN(F1883-G1883),48,0),"")</f>
        <v/>
      </c>
      <c r="I1883" s="22" t="str">
        <f aca="false">IF(AND(ISNUMBER(F1883),ISNUMBER(G1883)),IF(D1883=F1883,15,0),"")</f>
        <v/>
      </c>
      <c r="J1883" s="22" t="str">
        <f aca="false">IF(AND(ISNUMBER(F1883),ISNUMBER(G1883)),IF(E1883=G1883,15,0),"")</f>
        <v/>
      </c>
      <c r="K1883" s="22" t="str">
        <f aca="false">IF(AND(ISNUMBER(F1883),ISNUMBER(G1883)),IF(ABS(D1883-E1883)=ABS(F1883-G1883),12,0),"")</f>
        <v/>
      </c>
      <c r="L1883" s="23" t="str">
        <f aca="false">IF(ISNUMBER(H1883),H1883+I1883+J1883+K1883,"")</f>
        <v/>
      </c>
    </row>
    <row r="1884" customFormat="false" ht="18" hidden="false" customHeight="true" outlineLevel="0" collapsed="false">
      <c r="A1884" s="17" t="s">
        <v>9</v>
      </c>
      <c r="B1884" s="18" t="s">
        <v>174</v>
      </c>
      <c r="C1884" s="19" t="s">
        <v>42</v>
      </c>
      <c r="D1884" s="20" t="n">
        <v>2</v>
      </c>
      <c r="E1884" s="20" t="n">
        <v>3</v>
      </c>
      <c r="F1884" s="21" t="n">
        <f aca="false">'📋 Matches'!E12</f>
        <v>0</v>
      </c>
      <c r="G1884" s="21" t="n">
        <f aca="false">'📋 Matches'!F12</f>
        <v>0</v>
      </c>
      <c r="H1884" s="22" t="str">
        <f aca="false">IF(AND(ISNUMBER(F1884),ISNUMBER(G1884)),IF(SIGN(D1884-E1884)=SIGN(F1884-G1884),48,0),"")</f>
        <v/>
      </c>
      <c r="I1884" s="22" t="str">
        <f aca="false">IF(AND(ISNUMBER(F1884),ISNUMBER(G1884)),IF(D1884=F1884,15,0),"")</f>
        <v/>
      </c>
      <c r="J1884" s="22" t="str">
        <f aca="false">IF(AND(ISNUMBER(F1884),ISNUMBER(G1884)),IF(E1884=G1884,15,0),"")</f>
        <v/>
      </c>
      <c r="K1884" s="22" t="str">
        <f aca="false">IF(AND(ISNUMBER(F1884),ISNUMBER(G1884)),IF(ABS(D1884-E1884)=ABS(F1884-G1884),12,0),"")</f>
        <v/>
      </c>
      <c r="L1884" s="23" t="str">
        <f aca="false">IF(ISNUMBER(H1884),H1884+I1884+J1884+K1884,"")</f>
        <v/>
      </c>
    </row>
    <row r="1885" customFormat="false" ht="18" hidden="false" customHeight="true" outlineLevel="0" collapsed="false">
      <c r="A1885" s="17" t="s">
        <v>9</v>
      </c>
      <c r="B1885" s="18" t="s">
        <v>174</v>
      </c>
      <c r="C1885" s="19" t="s">
        <v>45</v>
      </c>
      <c r="D1885" s="20" t="n">
        <v>1</v>
      </c>
      <c r="E1885" s="20" t="n">
        <v>0</v>
      </c>
      <c r="F1885" s="21" t="n">
        <f aca="false">'📋 Matches'!E13</f>
        <v>0</v>
      </c>
      <c r="G1885" s="21" t="n">
        <f aca="false">'📋 Matches'!F13</f>
        <v>0</v>
      </c>
      <c r="H1885" s="22" t="str">
        <f aca="false">IF(AND(ISNUMBER(F1885),ISNUMBER(G1885)),IF(SIGN(D1885-E1885)=SIGN(F1885-G1885),48,0),"")</f>
        <v/>
      </c>
      <c r="I1885" s="22" t="str">
        <f aca="false">IF(AND(ISNUMBER(F1885),ISNUMBER(G1885)),IF(D1885=F1885,15,0),"")</f>
        <v/>
      </c>
      <c r="J1885" s="22" t="str">
        <f aca="false">IF(AND(ISNUMBER(F1885),ISNUMBER(G1885)),IF(E1885=G1885,15,0),"")</f>
        <v/>
      </c>
      <c r="K1885" s="22" t="str">
        <f aca="false">IF(AND(ISNUMBER(F1885),ISNUMBER(G1885)),IF(ABS(D1885-E1885)=ABS(F1885-G1885),12,0),"")</f>
        <v/>
      </c>
      <c r="L1885" s="23" t="str">
        <f aca="false">IF(ISNUMBER(H1885),H1885+I1885+J1885+K1885,"")</f>
        <v/>
      </c>
    </row>
    <row r="1886" customFormat="false" ht="18" hidden="false" customHeight="true" outlineLevel="0" collapsed="false">
      <c r="A1886" s="17" t="s">
        <v>9</v>
      </c>
      <c r="B1886" s="18" t="s">
        <v>174</v>
      </c>
      <c r="C1886" s="19" t="s">
        <v>48</v>
      </c>
      <c r="D1886" s="20" t="n">
        <v>6</v>
      </c>
      <c r="E1886" s="20" t="n">
        <v>0</v>
      </c>
      <c r="F1886" s="21" t="n">
        <f aca="false">'📋 Matches'!E14</f>
        <v>0</v>
      </c>
      <c r="G1886" s="21" t="n">
        <f aca="false">'📋 Matches'!F14</f>
        <v>0</v>
      </c>
      <c r="H1886" s="22" t="str">
        <f aca="false">IF(AND(ISNUMBER(F1886),ISNUMBER(G1886)),IF(SIGN(D1886-E1886)=SIGN(F1886-G1886),48,0),"")</f>
        <v/>
      </c>
      <c r="I1886" s="22" t="str">
        <f aca="false">IF(AND(ISNUMBER(F1886),ISNUMBER(G1886)),IF(D1886=F1886,15,0),"")</f>
        <v/>
      </c>
      <c r="J1886" s="22" t="str">
        <f aca="false">IF(AND(ISNUMBER(F1886),ISNUMBER(G1886)),IF(E1886=G1886,15,0),"")</f>
        <v/>
      </c>
      <c r="K1886" s="22" t="str">
        <f aca="false">IF(AND(ISNUMBER(F1886),ISNUMBER(G1886)),IF(ABS(D1886-E1886)=ABS(F1886-G1886),12,0),"")</f>
        <v/>
      </c>
      <c r="L1886" s="23" t="str">
        <f aca="false">IF(ISNUMBER(H1886),H1886+I1886+J1886+K1886,"")</f>
        <v/>
      </c>
    </row>
    <row r="1887" customFormat="false" ht="18" hidden="false" customHeight="true" outlineLevel="0" collapsed="false">
      <c r="A1887" s="17" t="s">
        <v>9</v>
      </c>
      <c r="B1887" s="18" t="s">
        <v>174</v>
      </c>
      <c r="C1887" s="19" t="s">
        <v>51</v>
      </c>
      <c r="D1887" s="20" t="n">
        <v>1</v>
      </c>
      <c r="E1887" s="20" t="n">
        <v>0</v>
      </c>
      <c r="F1887" s="21" t="n">
        <f aca="false">'📋 Matches'!E15</f>
        <v>0</v>
      </c>
      <c r="G1887" s="21" t="n">
        <f aca="false">'📋 Matches'!F15</f>
        <v>0</v>
      </c>
      <c r="H1887" s="22" t="str">
        <f aca="false">IF(AND(ISNUMBER(F1887),ISNUMBER(G1887)),IF(SIGN(D1887-E1887)=SIGN(F1887-G1887),48,0),"")</f>
        <v/>
      </c>
      <c r="I1887" s="22" t="str">
        <f aca="false">IF(AND(ISNUMBER(F1887),ISNUMBER(G1887)),IF(D1887=F1887,15,0),"")</f>
        <v/>
      </c>
      <c r="J1887" s="22" t="str">
        <f aca="false">IF(AND(ISNUMBER(F1887),ISNUMBER(G1887)),IF(E1887=G1887,15,0),"")</f>
        <v/>
      </c>
      <c r="K1887" s="22" t="str">
        <f aca="false">IF(AND(ISNUMBER(F1887),ISNUMBER(G1887)),IF(ABS(D1887-E1887)=ABS(F1887-G1887),12,0),"")</f>
        <v/>
      </c>
      <c r="L1887" s="23" t="str">
        <f aca="false">IF(ISNUMBER(H1887),H1887+I1887+J1887+K1887,"")</f>
        <v/>
      </c>
    </row>
    <row r="1888" customFormat="false" ht="18" hidden="false" customHeight="true" outlineLevel="0" collapsed="false">
      <c r="A1888" s="17" t="s">
        <v>9</v>
      </c>
      <c r="B1888" s="18" t="s">
        <v>174</v>
      </c>
      <c r="C1888" s="19" t="s">
        <v>54</v>
      </c>
      <c r="D1888" s="20" t="n">
        <v>0</v>
      </c>
      <c r="E1888" s="20" t="n">
        <v>0</v>
      </c>
      <c r="F1888" s="21" t="n">
        <f aca="false">'📋 Matches'!E16</f>
        <v>0</v>
      </c>
      <c r="G1888" s="21" t="n">
        <f aca="false">'📋 Matches'!F16</f>
        <v>0</v>
      </c>
      <c r="H1888" s="22" t="str">
        <f aca="false">IF(AND(ISNUMBER(F1888),ISNUMBER(G1888)),IF(SIGN(D1888-E1888)=SIGN(F1888-G1888),48,0),"")</f>
        <v/>
      </c>
      <c r="I1888" s="22" t="str">
        <f aca="false">IF(AND(ISNUMBER(F1888),ISNUMBER(G1888)),IF(D1888=F1888,15,0),"")</f>
        <v/>
      </c>
      <c r="J1888" s="22" t="str">
        <f aca="false">IF(AND(ISNUMBER(F1888),ISNUMBER(G1888)),IF(E1888=G1888,15,0),"")</f>
        <v/>
      </c>
      <c r="K1888" s="22" t="str">
        <f aca="false">IF(AND(ISNUMBER(F1888),ISNUMBER(G1888)),IF(ABS(D1888-E1888)=ABS(F1888-G1888),12,0),"")</f>
        <v/>
      </c>
      <c r="L1888" s="23" t="str">
        <f aca="false">IF(ISNUMBER(H1888),H1888+I1888+J1888+K1888,"")</f>
        <v/>
      </c>
    </row>
    <row r="1889" customFormat="false" ht="18" hidden="false" customHeight="true" outlineLevel="0" collapsed="false">
      <c r="A1889" s="17" t="s">
        <v>9</v>
      </c>
      <c r="B1889" s="18" t="s">
        <v>174</v>
      </c>
      <c r="C1889" s="19" t="s">
        <v>57</v>
      </c>
      <c r="D1889" s="20" t="n">
        <v>0</v>
      </c>
      <c r="E1889" s="20" t="n">
        <v>1</v>
      </c>
      <c r="F1889" s="21" t="n">
        <f aca="false">'📋 Matches'!E17</f>
        <v>0</v>
      </c>
      <c r="G1889" s="21" t="n">
        <f aca="false">'📋 Matches'!F17</f>
        <v>0</v>
      </c>
      <c r="H1889" s="22" t="str">
        <f aca="false">IF(AND(ISNUMBER(F1889),ISNUMBER(G1889)),IF(SIGN(D1889-E1889)=SIGN(F1889-G1889),48,0),"")</f>
        <v/>
      </c>
      <c r="I1889" s="22" t="str">
        <f aca="false">IF(AND(ISNUMBER(F1889),ISNUMBER(G1889)),IF(D1889=F1889,15,0),"")</f>
        <v/>
      </c>
      <c r="J1889" s="22" t="str">
        <f aca="false">IF(AND(ISNUMBER(F1889),ISNUMBER(G1889)),IF(E1889=G1889,15,0),"")</f>
        <v/>
      </c>
      <c r="K1889" s="22" t="str">
        <f aca="false">IF(AND(ISNUMBER(F1889),ISNUMBER(G1889)),IF(ABS(D1889-E1889)=ABS(F1889-G1889),12,0),"")</f>
        <v/>
      </c>
      <c r="L1889" s="23" t="str">
        <f aca="false">IF(ISNUMBER(H1889),H1889+I1889+J1889+K1889,"")</f>
        <v/>
      </c>
    </row>
    <row r="1890" customFormat="false" ht="18" hidden="false" customHeight="true" outlineLevel="0" collapsed="false">
      <c r="A1890" s="17" t="s">
        <v>9</v>
      </c>
      <c r="B1890" s="18" t="s">
        <v>174</v>
      </c>
      <c r="C1890" s="19" t="s">
        <v>60</v>
      </c>
      <c r="D1890" s="20" t="n">
        <v>3</v>
      </c>
      <c r="E1890" s="20" t="n">
        <v>1</v>
      </c>
      <c r="F1890" s="21" t="n">
        <f aca="false">'📋 Matches'!E18</f>
        <v>0</v>
      </c>
      <c r="G1890" s="21" t="n">
        <f aca="false">'📋 Matches'!F18</f>
        <v>0</v>
      </c>
      <c r="H1890" s="22" t="str">
        <f aca="false">IF(AND(ISNUMBER(F1890),ISNUMBER(G1890)),IF(SIGN(D1890-E1890)=SIGN(F1890-G1890),48,0),"")</f>
        <v/>
      </c>
      <c r="I1890" s="22" t="str">
        <f aca="false">IF(AND(ISNUMBER(F1890),ISNUMBER(G1890)),IF(D1890=F1890,15,0),"")</f>
        <v/>
      </c>
      <c r="J1890" s="22" t="str">
        <f aca="false">IF(AND(ISNUMBER(F1890),ISNUMBER(G1890)),IF(E1890=G1890,15,0),"")</f>
        <v/>
      </c>
      <c r="K1890" s="22" t="str">
        <f aca="false">IF(AND(ISNUMBER(F1890),ISNUMBER(G1890)),IF(ABS(D1890-E1890)=ABS(F1890-G1890),12,0),"")</f>
        <v/>
      </c>
      <c r="L1890" s="23" t="str">
        <f aca="false">IF(ISNUMBER(H1890),H1890+I1890+J1890+K1890,"")</f>
        <v/>
      </c>
    </row>
    <row r="1891" customFormat="false" ht="18" hidden="false" customHeight="true" outlineLevel="0" collapsed="false">
      <c r="A1891" s="17" t="s">
        <v>9</v>
      </c>
      <c r="B1891" s="18" t="s">
        <v>174</v>
      </c>
      <c r="C1891" s="19" t="s">
        <v>63</v>
      </c>
      <c r="D1891" s="20" t="n">
        <v>0</v>
      </c>
      <c r="E1891" s="20" t="n">
        <v>1</v>
      </c>
      <c r="F1891" s="21" t="n">
        <f aca="false">'📋 Matches'!E19</f>
        <v>0</v>
      </c>
      <c r="G1891" s="21" t="n">
        <f aca="false">'📋 Matches'!F19</f>
        <v>0</v>
      </c>
      <c r="H1891" s="22" t="str">
        <f aca="false">IF(AND(ISNUMBER(F1891),ISNUMBER(G1891)),IF(SIGN(D1891-E1891)=SIGN(F1891-G1891),48,0),"")</f>
        <v/>
      </c>
      <c r="I1891" s="22" t="str">
        <f aca="false">IF(AND(ISNUMBER(F1891),ISNUMBER(G1891)),IF(D1891=F1891,15,0),"")</f>
        <v/>
      </c>
      <c r="J1891" s="22" t="str">
        <f aca="false">IF(AND(ISNUMBER(F1891),ISNUMBER(G1891)),IF(E1891=G1891,15,0),"")</f>
        <v/>
      </c>
      <c r="K1891" s="22" t="str">
        <f aca="false">IF(AND(ISNUMBER(F1891),ISNUMBER(G1891)),IF(ABS(D1891-E1891)=ABS(F1891-G1891),12,0),"")</f>
        <v/>
      </c>
      <c r="L1891" s="23" t="str">
        <f aca="false">IF(ISNUMBER(H1891),H1891+I1891+J1891+K1891,"")</f>
        <v/>
      </c>
    </row>
    <row r="1892" customFormat="false" ht="18" hidden="false" customHeight="true" outlineLevel="0" collapsed="false">
      <c r="A1892" s="17" t="s">
        <v>9</v>
      </c>
      <c r="B1892" s="18" t="s">
        <v>174</v>
      </c>
      <c r="C1892" s="19" t="s">
        <v>66</v>
      </c>
      <c r="D1892" s="20" t="n">
        <v>2</v>
      </c>
      <c r="E1892" s="20" t="n">
        <v>0</v>
      </c>
      <c r="F1892" s="21" t="n">
        <f aca="false">'📋 Matches'!E20</f>
        <v>0</v>
      </c>
      <c r="G1892" s="21" t="n">
        <f aca="false">'📋 Matches'!F20</f>
        <v>0</v>
      </c>
      <c r="H1892" s="22" t="str">
        <f aca="false">IF(AND(ISNUMBER(F1892),ISNUMBER(G1892)),IF(SIGN(D1892-E1892)=SIGN(F1892-G1892),48,0),"")</f>
        <v/>
      </c>
      <c r="I1892" s="22" t="str">
        <f aca="false">IF(AND(ISNUMBER(F1892),ISNUMBER(G1892)),IF(D1892=F1892,15,0),"")</f>
        <v/>
      </c>
      <c r="J1892" s="22" t="str">
        <f aca="false">IF(AND(ISNUMBER(F1892),ISNUMBER(G1892)),IF(E1892=G1892,15,0),"")</f>
        <v/>
      </c>
      <c r="K1892" s="22" t="str">
        <f aca="false">IF(AND(ISNUMBER(F1892),ISNUMBER(G1892)),IF(ABS(D1892-E1892)=ABS(F1892-G1892),12,0),"")</f>
        <v/>
      </c>
      <c r="L1892" s="23" t="str">
        <f aca="false">IF(ISNUMBER(H1892),H1892+I1892+J1892+K1892,"")</f>
        <v/>
      </c>
    </row>
    <row r="1893" customFormat="false" ht="18" hidden="false" customHeight="true" outlineLevel="0" collapsed="false">
      <c r="A1893" s="17" t="s">
        <v>9</v>
      </c>
      <c r="B1893" s="18" t="s">
        <v>174</v>
      </c>
      <c r="C1893" s="19" t="s">
        <v>69</v>
      </c>
      <c r="D1893" s="20" t="n">
        <v>1</v>
      </c>
      <c r="E1893" s="20" t="n">
        <v>0</v>
      </c>
      <c r="F1893" s="21" t="n">
        <f aca="false">'📋 Matches'!E21</f>
        <v>0</v>
      </c>
      <c r="G1893" s="21" t="n">
        <f aca="false">'📋 Matches'!F21</f>
        <v>0</v>
      </c>
      <c r="H1893" s="22" t="str">
        <f aca="false">IF(AND(ISNUMBER(F1893),ISNUMBER(G1893)),IF(SIGN(D1893-E1893)=SIGN(F1893-G1893),48,0),"")</f>
        <v/>
      </c>
      <c r="I1893" s="22" t="str">
        <f aca="false">IF(AND(ISNUMBER(F1893),ISNUMBER(G1893)),IF(D1893=F1893,15,0),"")</f>
        <v/>
      </c>
      <c r="J1893" s="22" t="str">
        <f aca="false">IF(AND(ISNUMBER(F1893),ISNUMBER(G1893)),IF(E1893=G1893,15,0),"")</f>
        <v/>
      </c>
      <c r="K1893" s="22" t="str">
        <f aca="false">IF(AND(ISNUMBER(F1893),ISNUMBER(G1893)),IF(ABS(D1893-E1893)=ABS(F1893-G1893),12,0),"")</f>
        <v/>
      </c>
      <c r="L1893" s="23" t="str">
        <f aca="false">IF(ISNUMBER(H1893),H1893+I1893+J1893+K1893,"")</f>
        <v/>
      </c>
    </row>
    <row r="1894" customFormat="false" ht="18" hidden="false" customHeight="true" outlineLevel="0" collapsed="false">
      <c r="A1894" s="17" t="s">
        <v>9</v>
      </c>
      <c r="B1894" s="18" t="s">
        <v>174</v>
      </c>
      <c r="C1894" s="19" t="s">
        <v>72</v>
      </c>
      <c r="D1894" s="20" t="n">
        <v>1</v>
      </c>
      <c r="E1894" s="20" t="n">
        <v>0</v>
      </c>
      <c r="F1894" s="21" t="n">
        <f aca="false">'📋 Matches'!E22</f>
        <v>0</v>
      </c>
      <c r="G1894" s="21" t="n">
        <f aca="false">'📋 Matches'!F22</f>
        <v>0</v>
      </c>
      <c r="H1894" s="22" t="str">
        <f aca="false">IF(AND(ISNUMBER(F1894),ISNUMBER(G1894)),IF(SIGN(D1894-E1894)=SIGN(F1894-G1894),48,0),"")</f>
        <v/>
      </c>
      <c r="I1894" s="22" t="str">
        <f aca="false">IF(AND(ISNUMBER(F1894),ISNUMBER(G1894)),IF(D1894=F1894,15,0),"")</f>
        <v/>
      </c>
      <c r="J1894" s="22" t="str">
        <f aca="false">IF(AND(ISNUMBER(F1894),ISNUMBER(G1894)),IF(E1894=G1894,15,0),"")</f>
        <v/>
      </c>
      <c r="K1894" s="22" t="str">
        <f aca="false">IF(AND(ISNUMBER(F1894),ISNUMBER(G1894)),IF(ABS(D1894-E1894)=ABS(F1894-G1894),12,0),"")</f>
        <v/>
      </c>
      <c r="L1894" s="23" t="str">
        <f aca="false">IF(ISNUMBER(H1894),H1894+I1894+J1894+K1894,"")</f>
        <v/>
      </c>
    </row>
    <row r="1895" customFormat="false" ht="18" hidden="false" customHeight="true" outlineLevel="0" collapsed="false">
      <c r="A1895" s="17" t="s">
        <v>9</v>
      </c>
      <c r="B1895" s="18" t="s">
        <v>174</v>
      </c>
      <c r="C1895" s="19" t="s">
        <v>75</v>
      </c>
      <c r="D1895" s="20" t="n">
        <v>4</v>
      </c>
      <c r="E1895" s="20" t="n">
        <v>2</v>
      </c>
      <c r="F1895" s="21" t="n">
        <f aca="false">'📋 Matches'!E23</f>
        <v>0</v>
      </c>
      <c r="G1895" s="21" t="n">
        <f aca="false">'📋 Matches'!F23</f>
        <v>0</v>
      </c>
      <c r="H1895" s="22" t="str">
        <f aca="false">IF(AND(ISNUMBER(F1895),ISNUMBER(G1895)),IF(SIGN(D1895-E1895)=SIGN(F1895-G1895),48,0),"")</f>
        <v/>
      </c>
      <c r="I1895" s="22" t="str">
        <f aca="false">IF(AND(ISNUMBER(F1895),ISNUMBER(G1895)),IF(D1895=F1895,15,0),"")</f>
        <v/>
      </c>
      <c r="J1895" s="22" t="str">
        <f aca="false">IF(AND(ISNUMBER(F1895),ISNUMBER(G1895)),IF(E1895=G1895,15,0),"")</f>
        <v/>
      </c>
      <c r="K1895" s="22" t="str">
        <f aca="false">IF(AND(ISNUMBER(F1895),ISNUMBER(G1895)),IF(ABS(D1895-E1895)=ABS(F1895-G1895),12,0),"")</f>
        <v/>
      </c>
      <c r="L1895" s="23" t="str">
        <f aca="false">IF(ISNUMBER(H1895),H1895+I1895+J1895+K1895,"")</f>
        <v/>
      </c>
    </row>
    <row r="1896" customFormat="false" ht="18" hidden="false" customHeight="true" outlineLevel="0" collapsed="false">
      <c r="A1896" s="17" t="s">
        <v>9</v>
      </c>
      <c r="B1896" s="18" t="s">
        <v>174</v>
      </c>
      <c r="C1896" s="19" t="s">
        <v>78</v>
      </c>
      <c r="D1896" s="20" t="n">
        <v>0</v>
      </c>
      <c r="E1896" s="20" t="n">
        <v>0</v>
      </c>
      <c r="F1896" s="21" t="n">
        <f aca="false">'📋 Matches'!E24</f>
        <v>0</v>
      </c>
      <c r="G1896" s="21" t="n">
        <f aca="false">'📋 Matches'!F24</f>
        <v>0</v>
      </c>
      <c r="H1896" s="22" t="str">
        <f aca="false">IF(AND(ISNUMBER(F1896),ISNUMBER(G1896)),IF(SIGN(D1896-E1896)=SIGN(F1896-G1896),48,0),"")</f>
        <v/>
      </c>
      <c r="I1896" s="22" t="str">
        <f aca="false">IF(AND(ISNUMBER(F1896),ISNUMBER(G1896)),IF(D1896=F1896,15,0),"")</f>
        <v/>
      </c>
      <c r="J1896" s="22" t="str">
        <f aca="false">IF(AND(ISNUMBER(F1896),ISNUMBER(G1896)),IF(E1896=G1896,15,0),"")</f>
        <v/>
      </c>
      <c r="K1896" s="22" t="str">
        <f aca="false">IF(AND(ISNUMBER(F1896),ISNUMBER(G1896)),IF(ABS(D1896-E1896)=ABS(F1896-G1896),12,0),"")</f>
        <v/>
      </c>
      <c r="L1896" s="23" t="str">
        <f aca="false">IF(ISNUMBER(H1896),H1896+I1896+J1896+K1896,"")</f>
        <v/>
      </c>
    </row>
    <row r="1897" customFormat="false" ht="18" hidden="false" customHeight="true" outlineLevel="0" collapsed="false">
      <c r="A1897" s="17" t="s">
        <v>9</v>
      </c>
      <c r="B1897" s="18" t="s">
        <v>174</v>
      </c>
      <c r="C1897" s="19" t="s">
        <v>81</v>
      </c>
      <c r="D1897" s="20" t="n">
        <v>0</v>
      </c>
      <c r="E1897" s="20" t="n">
        <v>1</v>
      </c>
      <c r="F1897" s="21" t="n">
        <f aca="false">'📋 Matches'!E25</f>
        <v>0</v>
      </c>
      <c r="G1897" s="21" t="n">
        <f aca="false">'📋 Matches'!F25</f>
        <v>0</v>
      </c>
      <c r="H1897" s="22" t="str">
        <f aca="false">IF(AND(ISNUMBER(F1897),ISNUMBER(G1897)),IF(SIGN(D1897-E1897)=SIGN(F1897-G1897),48,0),"")</f>
        <v/>
      </c>
      <c r="I1897" s="22" t="str">
        <f aca="false">IF(AND(ISNUMBER(F1897),ISNUMBER(G1897)),IF(D1897=F1897,15,0),"")</f>
        <v/>
      </c>
      <c r="J1897" s="22" t="str">
        <f aca="false">IF(AND(ISNUMBER(F1897),ISNUMBER(G1897)),IF(E1897=G1897,15,0),"")</f>
        <v/>
      </c>
      <c r="K1897" s="22" t="str">
        <f aca="false">IF(AND(ISNUMBER(F1897),ISNUMBER(G1897)),IF(ABS(D1897-E1897)=ABS(F1897-G1897),12,0),"")</f>
        <v/>
      </c>
      <c r="L1897" s="23" t="str">
        <f aca="false">IF(ISNUMBER(H1897),H1897+I1897+J1897+K1897,"")</f>
        <v/>
      </c>
    </row>
    <row r="1898" customFormat="false" ht="18" hidden="false" customHeight="true" outlineLevel="0" collapsed="false">
      <c r="A1898" s="17" t="s">
        <v>84</v>
      </c>
      <c r="B1898" s="18" t="s">
        <v>174</v>
      </c>
      <c r="C1898" s="19" t="s">
        <v>85</v>
      </c>
      <c r="D1898" s="20"/>
      <c r="E1898" s="20"/>
      <c r="F1898" s="21" t="n">
        <f aca="false">'📋 Matches'!E26</f>
        <v>0</v>
      </c>
      <c r="G1898" s="21" t="n">
        <f aca="false">'📋 Matches'!F26</f>
        <v>0</v>
      </c>
      <c r="H1898" s="24" t="s">
        <v>148</v>
      </c>
      <c r="I1898" s="24" t="s">
        <v>148</v>
      </c>
      <c r="J1898" s="24" t="s">
        <v>148</v>
      </c>
      <c r="K1898" s="24" t="s">
        <v>148</v>
      </c>
      <c r="L1898" s="24" t="s">
        <v>148</v>
      </c>
    </row>
    <row r="1899" customFormat="false" ht="18" hidden="false" customHeight="true" outlineLevel="0" collapsed="false">
      <c r="A1899" s="17" t="s">
        <v>84</v>
      </c>
      <c r="B1899" s="18" t="s">
        <v>174</v>
      </c>
      <c r="C1899" s="19" t="s">
        <v>87</v>
      </c>
      <c r="D1899" s="20"/>
      <c r="E1899" s="20"/>
      <c r="F1899" s="21" t="n">
        <f aca="false">'📋 Matches'!E27</f>
        <v>0</v>
      </c>
      <c r="G1899" s="21" t="n">
        <f aca="false">'📋 Matches'!F27</f>
        <v>0</v>
      </c>
      <c r="H1899" s="24" t="s">
        <v>148</v>
      </c>
      <c r="I1899" s="24" t="s">
        <v>148</v>
      </c>
      <c r="J1899" s="24" t="s">
        <v>148</v>
      </c>
      <c r="K1899" s="24" t="s">
        <v>148</v>
      </c>
      <c r="L1899" s="24" t="s">
        <v>148</v>
      </c>
    </row>
    <row r="1900" customFormat="false" ht="18" hidden="false" customHeight="true" outlineLevel="0" collapsed="false">
      <c r="A1900" s="17" t="s">
        <v>84</v>
      </c>
      <c r="B1900" s="18" t="s">
        <v>174</v>
      </c>
      <c r="C1900" s="19" t="s">
        <v>89</v>
      </c>
      <c r="D1900" s="20"/>
      <c r="E1900" s="20"/>
      <c r="F1900" s="21" t="n">
        <f aca="false">'📋 Matches'!E28</f>
        <v>0</v>
      </c>
      <c r="G1900" s="21" t="n">
        <f aca="false">'📋 Matches'!F28</f>
        <v>0</v>
      </c>
      <c r="H1900" s="24" t="s">
        <v>148</v>
      </c>
      <c r="I1900" s="24" t="s">
        <v>148</v>
      </c>
      <c r="J1900" s="24" t="s">
        <v>148</v>
      </c>
      <c r="K1900" s="24" t="s">
        <v>148</v>
      </c>
      <c r="L1900" s="24" t="s">
        <v>148</v>
      </c>
    </row>
    <row r="1901" customFormat="false" ht="18" hidden="false" customHeight="true" outlineLevel="0" collapsed="false">
      <c r="A1901" s="17" t="s">
        <v>84</v>
      </c>
      <c r="B1901" s="18" t="s">
        <v>174</v>
      </c>
      <c r="C1901" s="19" t="s">
        <v>90</v>
      </c>
      <c r="D1901" s="20"/>
      <c r="E1901" s="20"/>
      <c r="F1901" s="21" t="n">
        <f aca="false">'📋 Matches'!E29</f>
        <v>0</v>
      </c>
      <c r="G1901" s="21" t="n">
        <f aca="false">'📋 Matches'!F29</f>
        <v>0</v>
      </c>
      <c r="H1901" s="24" t="s">
        <v>148</v>
      </c>
      <c r="I1901" s="24" t="s">
        <v>148</v>
      </c>
      <c r="J1901" s="24" t="s">
        <v>148</v>
      </c>
      <c r="K1901" s="24" t="s">
        <v>148</v>
      </c>
      <c r="L1901" s="24" t="s">
        <v>148</v>
      </c>
    </row>
    <row r="1902" customFormat="false" ht="18" hidden="false" customHeight="true" outlineLevel="0" collapsed="false">
      <c r="A1902" s="17" t="s">
        <v>84</v>
      </c>
      <c r="B1902" s="18" t="s">
        <v>174</v>
      </c>
      <c r="C1902" s="19" t="s">
        <v>91</v>
      </c>
      <c r="D1902" s="20"/>
      <c r="E1902" s="20"/>
      <c r="F1902" s="21" t="n">
        <f aca="false">'📋 Matches'!E30</f>
        <v>0</v>
      </c>
      <c r="G1902" s="21" t="n">
        <f aca="false">'📋 Matches'!F30</f>
        <v>0</v>
      </c>
      <c r="H1902" s="24" t="s">
        <v>148</v>
      </c>
      <c r="I1902" s="24" t="s">
        <v>148</v>
      </c>
      <c r="J1902" s="24" t="s">
        <v>148</v>
      </c>
      <c r="K1902" s="24" t="s">
        <v>148</v>
      </c>
      <c r="L1902" s="24" t="s">
        <v>148</v>
      </c>
    </row>
    <row r="1903" customFormat="false" ht="18" hidden="false" customHeight="true" outlineLevel="0" collapsed="false">
      <c r="A1903" s="17" t="s">
        <v>84</v>
      </c>
      <c r="B1903" s="18" t="s">
        <v>174</v>
      </c>
      <c r="C1903" s="19" t="s">
        <v>92</v>
      </c>
      <c r="D1903" s="20"/>
      <c r="E1903" s="20"/>
      <c r="F1903" s="21" t="n">
        <f aca="false">'📋 Matches'!E31</f>
        <v>0</v>
      </c>
      <c r="G1903" s="21" t="n">
        <f aca="false">'📋 Matches'!F31</f>
        <v>0</v>
      </c>
      <c r="H1903" s="24" t="s">
        <v>148</v>
      </c>
      <c r="I1903" s="24" t="s">
        <v>148</v>
      </c>
      <c r="J1903" s="24" t="s">
        <v>148</v>
      </c>
      <c r="K1903" s="24" t="s">
        <v>148</v>
      </c>
      <c r="L1903" s="24" t="s">
        <v>148</v>
      </c>
    </row>
    <row r="1904" customFormat="false" ht="18" hidden="false" customHeight="true" outlineLevel="0" collapsed="false">
      <c r="A1904" s="17" t="s">
        <v>84</v>
      </c>
      <c r="B1904" s="18" t="s">
        <v>174</v>
      </c>
      <c r="C1904" s="19" t="s">
        <v>93</v>
      </c>
      <c r="D1904" s="20"/>
      <c r="E1904" s="20"/>
      <c r="F1904" s="21" t="n">
        <f aca="false">'📋 Matches'!E32</f>
        <v>0</v>
      </c>
      <c r="G1904" s="21" t="n">
        <f aca="false">'📋 Matches'!F32</f>
        <v>0</v>
      </c>
      <c r="H1904" s="24" t="s">
        <v>148</v>
      </c>
      <c r="I1904" s="24" t="s">
        <v>148</v>
      </c>
      <c r="J1904" s="24" t="s">
        <v>148</v>
      </c>
      <c r="K1904" s="24" t="s">
        <v>148</v>
      </c>
      <c r="L1904" s="24" t="s">
        <v>148</v>
      </c>
    </row>
    <row r="1905" customFormat="false" ht="18" hidden="false" customHeight="true" outlineLevel="0" collapsed="false">
      <c r="A1905" s="17" t="s">
        <v>84</v>
      </c>
      <c r="B1905" s="18" t="s">
        <v>174</v>
      </c>
      <c r="C1905" s="19" t="s">
        <v>94</v>
      </c>
      <c r="D1905" s="20"/>
      <c r="E1905" s="20"/>
      <c r="F1905" s="21" t="n">
        <f aca="false">'📋 Matches'!E33</f>
        <v>0</v>
      </c>
      <c r="G1905" s="21" t="n">
        <f aca="false">'📋 Matches'!F33</f>
        <v>0</v>
      </c>
      <c r="H1905" s="24" t="s">
        <v>148</v>
      </c>
      <c r="I1905" s="24" t="s">
        <v>148</v>
      </c>
      <c r="J1905" s="24" t="s">
        <v>148</v>
      </c>
      <c r="K1905" s="24" t="s">
        <v>148</v>
      </c>
      <c r="L1905" s="24" t="s">
        <v>148</v>
      </c>
    </row>
    <row r="1906" customFormat="false" ht="18" hidden="false" customHeight="true" outlineLevel="0" collapsed="false">
      <c r="A1906" s="17" t="s">
        <v>84</v>
      </c>
      <c r="B1906" s="18" t="s">
        <v>174</v>
      </c>
      <c r="C1906" s="19" t="s">
        <v>96</v>
      </c>
      <c r="D1906" s="20"/>
      <c r="E1906" s="20"/>
      <c r="F1906" s="21" t="n">
        <f aca="false">'📋 Matches'!E34</f>
        <v>0</v>
      </c>
      <c r="G1906" s="21" t="n">
        <f aca="false">'📋 Matches'!F34</f>
        <v>0</v>
      </c>
      <c r="H1906" s="24" t="s">
        <v>148</v>
      </c>
      <c r="I1906" s="24" t="s">
        <v>148</v>
      </c>
      <c r="J1906" s="24" t="s">
        <v>148</v>
      </c>
      <c r="K1906" s="24" t="s">
        <v>148</v>
      </c>
      <c r="L1906" s="24" t="s">
        <v>148</v>
      </c>
    </row>
    <row r="1907" customFormat="false" ht="18" hidden="false" customHeight="true" outlineLevel="0" collapsed="false">
      <c r="A1907" s="17" t="s">
        <v>84</v>
      </c>
      <c r="B1907" s="18" t="s">
        <v>174</v>
      </c>
      <c r="C1907" s="19" t="s">
        <v>97</v>
      </c>
      <c r="D1907" s="20"/>
      <c r="E1907" s="20"/>
      <c r="F1907" s="21" t="n">
        <f aca="false">'📋 Matches'!E35</f>
        <v>0</v>
      </c>
      <c r="G1907" s="21" t="n">
        <f aca="false">'📋 Matches'!F35</f>
        <v>0</v>
      </c>
      <c r="H1907" s="24" t="s">
        <v>148</v>
      </c>
      <c r="I1907" s="24" t="s">
        <v>148</v>
      </c>
      <c r="J1907" s="24" t="s">
        <v>148</v>
      </c>
      <c r="K1907" s="24" t="s">
        <v>148</v>
      </c>
      <c r="L1907" s="24" t="s">
        <v>148</v>
      </c>
    </row>
    <row r="1908" customFormat="false" ht="18" hidden="false" customHeight="true" outlineLevel="0" collapsed="false">
      <c r="A1908" s="17" t="s">
        <v>84</v>
      </c>
      <c r="B1908" s="18" t="s">
        <v>174</v>
      </c>
      <c r="C1908" s="19" t="s">
        <v>98</v>
      </c>
      <c r="D1908" s="20"/>
      <c r="E1908" s="20"/>
      <c r="F1908" s="21" t="n">
        <f aca="false">'📋 Matches'!E36</f>
        <v>0</v>
      </c>
      <c r="G1908" s="21" t="n">
        <f aca="false">'📋 Matches'!F36</f>
        <v>0</v>
      </c>
      <c r="H1908" s="24" t="s">
        <v>148</v>
      </c>
      <c r="I1908" s="24" t="s">
        <v>148</v>
      </c>
      <c r="J1908" s="24" t="s">
        <v>148</v>
      </c>
      <c r="K1908" s="24" t="s">
        <v>148</v>
      </c>
      <c r="L1908" s="24" t="s">
        <v>148</v>
      </c>
    </row>
    <row r="1909" customFormat="false" ht="18" hidden="false" customHeight="true" outlineLevel="0" collapsed="false">
      <c r="A1909" s="17" t="s">
        <v>84</v>
      </c>
      <c r="B1909" s="18" t="s">
        <v>174</v>
      </c>
      <c r="C1909" s="19" t="s">
        <v>100</v>
      </c>
      <c r="D1909" s="20"/>
      <c r="E1909" s="20"/>
      <c r="F1909" s="21" t="n">
        <f aca="false">'📋 Matches'!E37</f>
        <v>0</v>
      </c>
      <c r="G1909" s="21" t="n">
        <f aca="false">'📋 Matches'!F37</f>
        <v>0</v>
      </c>
      <c r="H1909" s="24" t="s">
        <v>148</v>
      </c>
      <c r="I1909" s="24" t="s">
        <v>148</v>
      </c>
      <c r="J1909" s="24" t="s">
        <v>148</v>
      </c>
      <c r="K1909" s="24" t="s">
        <v>148</v>
      </c>
      <c r="L1909" s="24" t="s">
        <v>148</v>
      </c>
    </row>
    <row r="1910" customFormat="false" ht="18" hidden="false" customHeight="true" outlineLevel="0" collapsed="false">
      <c r="A1910" s="17" t="s">
        <v>84</v>
      </c>
      <c r="B1910" s="18" t="s">
        <v>174</v>
      </c>
      <c r="C1910" s="19" t="s">
        <v>101</v>
      </c>
      <c r="D1910" s="20"/>
      <c r="E1910" s="20"/>
      <c r="F1910" s="21" t="n">
        <f aca="false">'📋 Matches'!E38</f>
        <v>0</v>
      </c>
      <c r="G1910" s="21" t="n">
        <f aca="false">'📋 Matches'!F38</f>
        <v>0</v>
      </c>
      <c r="H1910" s="24" t="s">
        <v>148</v>
      </c>
      <c r="I1910" s="24" t="s">
        <v>148</v>
      </c>
      <c r="J1910" s="24" t="s">
        <v>148</v>
      </c>
      <c r="K1910" s="24" t="s">
        <v>148</v>
      </c>
      <c r="L1910" s="24" t="s">
        <v>148</v>
      </c>
    </row>
    <row r="1911" customFormat="false" ht="18" hidden="false" customHeight="true" outlineLevel="0" collapsed="false">
      <c r="A1911" s="17" t="s">
        <v>84</v>
      </c>
      <c r="B1911" s="18" t="s">
        <v>174</v>
      </c>
      <c r="C1911" s="19" t="s">
        <v>102</v>
      </c>
      <c r="D1911" s="20"/>
      <c r="E1911" s="20"/>
      <c r="F1911" s="21" t="n">
        <f aca="false">'📋 Matches'!E39</f>
        <v>0</v>
      </c>
      <c r="G1911" s="21" t="n">
        <f aca="false">'📋 Matches'!F39</f>
        <v>0</v>
      </c>
      <c r="H1911" s="24" t="s">
        <v>148</v>
      </c>
      <c r="I1911" s="24" t="s">
        <v>148</v>
      </c>
      <c r="J1911" s="24" t="s">
        <v>148</v>
      </c>
      <c r="K1911" s="24" t="s">
        <v>148</v>
      </c>
      <c r="L1911" s="24" t="s">
        <v>148</v>
      </c>
    </row>
    <row r="1912" customFormat="false" ht="18" hidden="false" customHeight="true" outlineLevel="0" collapsed="false">
      <c r="A1912" s="17" t="s">
        <v>84</v>
      </c>
      <c r="B1912" s="18" t="s">
        <v>174</v>
      </c>
      <c r="C1912" s="19" t="s">
        <v>103</v>
      </c>
      <c r="D1912" s="20"/>
      <c r="E1912" s="20"/>
      <c r="F1912" s="21" t="n">
        <f aca="false">'📋 Matches'!E40</f>
        <v>0</v>
      </c>
      <c r="G1912" s="21" t="n">
        <f aca="false">'📋 Matches'!F40</f>
        <v>0</v>
      </c>
      <c r="H1912" s="24" t="s">
        <v>148</v>
      </c>
      <c r="I1912" s="24" t="s">
        <v>148</v>
      </c>
      <c r="J1912" s="24" t="s">
        <v>148</v>
      </c>
      <c r="K1912" s="24" t="s">
        <v>148</v>
      </c>
      <c r="L1912" s="24" t="s">
        <v>148</v>
      </c>
    </row>
    <row r="1913" customFormat="false" ht="18" hidden="false" customHeight="true" outlineLevel="0" collapsed="false">
      <c r="A1913" s="17" t="s">
        <v>84</v>
      </c>
      <c r="B1913" s="18" t="s">
        <v>174</v>
      </c>
      <c r="C1913" s="19" t="s">
        <v>104</v>
      </c>
      <c r="D1913" s="20"/>
      <c r="E1913" s="20"/>
      <c r="F1913" s="21" t="n">
        <f aca="false">'📋 Matches'!E41</f>
        <v>0</v>
      </c>
      <c r="G1913" s="21" t="n">
        <f aca="false">'📋 Matches'!F41</f>
        <v>0</v>
      </c>
      <c r="H1913" s="24" t="s">
        <v>148</v>
      </c>
      <c r="I1913" s="24" t="s">
        <v>148</v>
      </c>
      <c r="J1913" s="24" t="s">
        <v>148</v>
      </c>
      <c r="K1913" s="24" t="s">
        <v>148</v>
      </c>
      <c r="L1913" s="24" t="s">
        <v>148</v>
      </c>
    </row>
    <row r="1914" customFormat="false" ht="18" hidden="false" customHeight="true" outlineLevel="0" collapsed="false">
      <c r="A1914" s="17" t="s">
        <v>84</v>
      </c>
      <c r="B1914" s="18" t="s">
        <v>174</v>
      </c>
      <c r="C1914" s="19" t="s">
        <v>105</v>
      </c>
      <c r="D1914" s="20"/>
      <c r="E1914" s="20"/>
      <c r="F1914" s="21" t="n">
        <f aca="false">'📋 Matches'!E42</f>
        <v>0</v>
      </c>
      <c r="G1914" s="21" t="n">
        <f aca="false">'📋 Matches'!F42</f>
        <v>0</v>
      </c>
      <c r="H1914" s="24" t="s">
        <v>148</v>
      </c>
      <c r="I1914" s="24" t="s">
        <v>148</v>
      </c>
      <c r="J1914" s="24" t="s">
        <v>148</v>
      </c>
      <c r="K1914" s="24" t="s">
        <v>148</v>
      </c>
      <c r="L1914" s="24" t="s">
        <v>148</v>
      </c>
    </row>
    <row r="1915" customFormat="false" ht="18" hidden="false" customHeight="true" outlineLevel="0" collapsed="false">
      <c r="A1915" s="17" t="s">
        <v>84</v>
      </c>
      <c r="B1915" s="18" t="s">
        <v>174</v>
      </c>
      <c r="C1915" s="19" t="s">
        <v>106</v>
      </c>
      <c r="D1915" s="20"/>
      <c r="E1915" s="20"/>
      <c r="F1915" s="21" t="n">
        <f aca="false">'📋 Matches'!E43</f>
        <v>0</v>
      </c>
      <c r="G1915" s="21" t="n">
        <f aca="false">'📋 Matches'!F43</f>
        <v>0</v>
      </c>
      <c r="H1915" s="24" t="s">
        <v>148</v>
      </c>
      <c r="I1915" s="24" t="s">
        <v>148</v>
      </c>
      <c r="J1915" s="24" t="s">
        <v>148</v>
      </c>
      <c r="K1915" s="24" t="s">
        <v>148</v>
      </c>
      <c r="L1915" s="24" t="s">
        <v>148</v>
      </c>
    </row>
    <row r="1916" customFormat="false" ht="18" hidden="false" customHeight="true" outlineLevel="0" collapsed="false">
      <c r="A1916" s="17" t="s">
        <v>84</v>
      </c>
      <c r="B1916" s="18" t="s">
        <v>174</v>
      </c>
      <c r="C1916" s="19" t="s">
        <v>107</v>
      </c>
      <c r="D1916" s="20"/>
      <c r="E1916" s="20"/>
      <c r="F1916" s="21" t="n">
        <f aca="false">'📋 Matches'!E44</f>
        <v>0</v>
      </c>
      <c r="G1916" s="21" t="n">
        <f aca="false">'📋 Matches'!F44</f>
        <v>0</v>
      </c>
      <c r="H1916" s="24" t="s">
        <v>148</v>
      </c>
      <c r="I1916" s="24" t="s">
        <v>148</v>
      </c>
      <c r="J1916" s="24" t="s">
        <v>148</v>
      </c>
      <c r="K1916" s="24" t="s">
        <v>148</v>
      </c>
      <c r="L1916" s="24" t="s">
        <v>148</v>
      </c>
    </row>
    <row r="1917" customFormat="false" ht="18" hidden="false" customHeight="true" outlineLevel="0" collapsed="false">
      <c r="A1917" s="17" t="s">
        <v>84</v>
      </c>
      <c r="B1917" s="18" t="s">
        <v>174</v>
      </c>
      <c r="C1917" s="19" t="s">
        <v>108</v>
      </c>
      <c r="D1917" s="20"/>
      <c r="E1917" s="20"/>
      <c r="F1917" s="21" t="n">
        <f aca="false">'📋 Matches'!E45</f>
        <v>0</v>
      </c>
      <c r="G1917" s="21" t="n">
        <f aca="false">'📋 Matches'!F45</f>
        <v>0</v>
      </c>
      <c r="H1917" s="24" t="s">
        <v>148</v>
      </c>
      <c r="I1917" s="24" t="s">
        <v>148</v>
      </c>
      <c r="J1917" s="24" t="s">
        <v>148</v>
      </c>
      <c r="K1917" s="24" t="s">
        <v>148</v>
      </c>
      <c r="L1917" s="24" t="s">
        <v>148</v>
      </c>
    </row>
    <row r="1918" customFormat="false" ht="18" hidden="false" customHeight="true" outlineLevel="0" collapsed="false">
      <c r="A1918" s="17" t="s">
        <v>84</v>
      </c>
      <c r="B1918" s="18" t="s">
        <v>174</v>
      </c>
      <c r="C1918" s="19" t="s">
        <v>109</v>
      </c>
      <c r="D1918" s="20"/>
      <c r="E1918" s="20"/>
      <c r="F1918" s="21" t="n">
        <f aca="false">'📋 Matches'!E46</f>
        <v>0</v>
      </c>
      <c r="G1918" s="21" t="n">
        <f aca="false">'📋 Matches'!F46</f>
        <v>0</v>
      </c>
      <c r="H1918" s="24" t="s">
        <v>148</v>
      </c>
      <c r="I1918" s="24" t="s">
        <v>148</v>
      </c>
      <c r="J1918" s="24" t="s">
        <v>148</v>
      </c>
      <c r="K1918" s="24" t="s">
        <v>148</v>
      </c>
      <c r="L1918" s="24" t="s">
        <v>148</v>
      </c>
    </row>
    <row r="1919" customFormat="false" ht="18" hidden="false" customHeight="true" outlineLevel="0" collapsed="false">
      <c r="A1919" s="17" t="s">
        <v>84</v>
      </c>
      <c r="B1919" s="18" t="s">
        <v>174</v>
      </c>
      <c r="C1919" s="19" t="s">
        <v>110</v>
      </c>
      <c r="D1919" s="20"/>
      <c r="E1919" s="20"/>
      <c r="F1919" s="21" t="n">
        <f aca="false">'📋 Matches'!E47</f>
        <v>0</v>
      </c>
      <c r="G1919" s="21" t="n">
        <f aca="false">'📋 Matches'!F47</f>
        <v>0</v>
      </c>
      <c r="H1919" s="24" t="s">
        <v>148</v>
      </c>
      <c r="I1919" s="24" t="s">
        <v>148</v>
      </c>
      <c r="J1919" s="24" t="s">
        <v>148</v>
      </c>
      <c r="K1919" s="24" t="s">
        <v>148</v>
      </c>
      <c r="L1919" s="24" t="s">
        <v>148</v>
      </c>
    </row>
    <row r="1920" customFormat="false" ht="18" hidden="false" customHeight="true" outlineLevel="0" collapsed="false">
      <c r="A1920" s="17" t="s">
        <v>84</v>
      </c>
      <c r="B1920" s="18" t="s">
        <v>174</v>
      </c>
      <c r="C1920" s="19" t="s">
        <v>111</v>
      </c>
      <c r="D1920" s="20"/>
      <c r="E1920" s="20"/>
      <c r="F1920" s="21" t="n">
        <f aca="false">'📋 Matches'!E48</f>
        <v>0</v>
      </c>
      <c r="G1920" s="21" t="n">
        <f aca="false">'📋 Matches'!F48</f>
        <v>0</v>
      </c>
      <c r="H1920" s="24" t="s">
        <v>148</v>
      </c>
      <c r="I1920" s="24" t="s">
        <v>148</v>
      </c>
      <c r="J1920" s="24" t="s">
        <v>148</v>
      </c>
      <c r="K1920" s="24" t="s">
        <v>148</v>
      </c>
      <c r="L1920" s="24" t="s">
        <v>148</v>
      </c>
    </row>
    <row r="1921" customFormat="false" ht="18" hidden="false" customHeight="true" outlineLevel="0" collapsed="false">
      <c r="A1921" s="17" t="s">
        <v>84</v>
      </c>
      <c r="B1921" s="18" t="s">
        <v>174</v>
      </c>
      <c r="C1921" s="19" t="s">
        <v>112</v>
      </c>
      <c r="D1921" s="20"/>
      <c r="E1921" s="20"/>
      <c r="F1921" s="21" t="n">
        <f aca="false">'📋 Matches'!E49</f>
        <v>0</v>
      </c>
      <c r="G1921" s="21" t="n">
        <f aca="false">'📋 Matches'!F49</f>
        <v>0</v>
      </c>
      <c r="H1921" s="24" t="s">
        <v>148</v>
      </c>
      <c r="I1921" s="24" t="s">
        <v>148</v>
      </c>
      <c r="J1921" s="24" t="s">
        <v>148</v>
      </c>
      <c r="K1921" s="24" t="s">
        <v>148</v>
      </c>
      <c r="L1921" s="24" t="s">
        <v>148</v>
      </c>
    </row>
    <row r="1922" customFormat="false" ht="18" hidden="false" customHeight="true" outlineLevel="0" collapsed="false">
      <c r="A1922" s="17" t="s">
        <v>114</v>
      </c>
      <c r="B1922" s="18" t="s">
        <v>174</v>
      </c>
      <c r="C1922" s="19" t="s">
        <v>115</v>
      </c>
      <c r="D1922" s="20"/>
      <c r="E1922" s="20"/>
      <c r="F1922" s="21" t="n">
        <f aca="false">'📋 Matches'!E50</f>
        <v>0</v>
      </c>
      <c r="G1922" s="21" t="n">
        <f aca="false">'📋 Matches'!F50</f>
        <v>0</v>
      </c>
      <c r="H1922" s="24" t="s">
        <v>148</v>
      </c>
      <c r="I1922" s="24" t="s">
        <v>148</v>
      </c>
      <c r="J1922" s="24" t="s">
        <v>148</v>
      </c>
      <c r="K1922" s="24" t="s">
        <v>148</v>
      </c>
      <c r="L1922" s="24" t="s">
        <v>148</v>
      </c>
    </row>
    <row r="1923" customFormat="false" ht="18" hidden="false" customHeight="true" outlineLevel="0" collapsed="false">
      <c r="A1923" s="17" t="s">
        <v>114</v>
      </c>
      <c r="B1923" s="18" t="s">
        <v>174</v>
      </c>
      <c r="C1923" s="19" t="s">
        <v>116</v>
      </c>
      <c r="D1923" s="20"/>
      <c r="E1923" s="20"/>
      <c r="F1923" s="21" t="n">
        <f aca="false">'📋 Matches'!E51</f>
        <v>0</v>
      </c>
      <c r="G1923" s="21" t="n">
        <f aca="false">'📋 Matches'!F51</f>
        <v>0</v>
      </c>
      <c r="H1923" s="24" t="s">
        <v>148</v>
      </c>
      <c r="I1923" s="24" t="s">
        <v>148</v>
      </c>
      <c r="J1923" s="24" t="s">
        <v>148</v>
      </c>
      <c r="K1923" s="24" t="s">
        <v>148</v>
      </c>
      <c r="L1923" s="24" t="s">
        <v>148</v>
      </c>
    </row>
    <row r="1924" customFormat="false" ht="18" hidden="false" customHeight="true" outlineLevel="0" collapsed="false">
      <c r="A1924" s="17" t="s">
        <v>114</v>
      </c>
      <c r="B1924" s="18" t="s">
        <v>174</v>
      </c>
      <c r="C1924" s="19" t="s">
        <v>117</v>
      </c>
      <c r="D1924" s="20"/>
      <c r="E1924" s="20"/>
      <c r="F1924" s="21" t="n">
        <f aca="false">'📋 Matches'!E52</f>
        <v>0</v>
      </c>
      <c r="G1924" s="21" t="n">
        <f aca="false">'📋 Matches'!F52</f>
        <v>0</v>
      </c>
      <c r="H1924" s="24" t="s">
        <v>148</v>
      </c>
      <c r="I1924" s="24" t="s">
        <v>148</v>
      </c>
      <c r="J1924" s="24" t="s">
        <v>148</v>
      </c>
      <c r="K1924" s="24" t="s">
        <v>148</v>
      </c>
      <c r="L1924" s="24" t="s">
        <v>148</v>
      </c>
    </row>
    <row r="1925" customFormat="false" ht="18" hidden="false" customHeight="true" outlineLevel="0" collapsed="false">
      <c r="A1925" s="17" t="s">
        <v>114</v>
      </c>
      <c r="B1925" s="18" t="s">
        <v>174</v>
      </c>
      <c r="C1925" s="19" t="s">
        <v>118</v>
      </c>
      <c r="D1925" s="20"/>
      <c r="E1925" s="20"/>
      <c r="F1925" s="21" t="n">
        <f aca="false">'📋 Matches'!E53</f>
        <v>0</v>
      </c>
      <c r="G1925" s="21" t="n">
        <f aca="false">'📋 Matches'!F53</f>
        <v>0</v>
      </c>
      <c r="H1925" s="24" t="s">
        <v>148</v>
      </c>
      <c r="I1925" s="24" t="s">
        <v>148</v>
      </c>
      <c r="J1925" s="24" t="s">
        <v>148</v>
      </c>
      <c r="K1925" s="24" t="s">
        <v>148</v>
      </c>
      <c r="L1925" s="24" t="s">
        <v>148</v>
      </c>
    </row>
    <row r="1926" customFormat="false" ht="18" hidden="false" customHeight="true" outlineLevel="0" collapsed="false">
      <c r="A1926" s="17" t="s">
        <v>114</v>
      </c>
      <c r="B1926" s="18" t="s">
        <v>174</v>
      </c>
      <c r="C1926" s="19" t="s">
        <v>119</v>
      </c>
      <c r="D1926" s="20"/>
      <c r="E1926" s="20"/>
      <c r="F1926" s="21" t="n">
        <f aca="false">'📋 Matches'!E54</f>
        <v>0</v>
      </c>
      <c r="G1926" s="21" t="n">
        <f aca="false">'📋 Matches'!F54</f>
        <v>0</v>
      </c>
      <c r="H1926" s="24" t="s">
        <v>148</v>
      </c>
      <c r="I1926" s="24" t="s">
        <v>148</v>
      </c>
      <c r="J1926" s="24" t="s">
        <v>148</v>
      </c>
      <c r="K1926" s="24" t="s">
        <v>148</v>
      </c>
      <c r="L1926" s="24" t="s">
        <v>148</v>
      </c>
    </row>
    <row r="1927" customFormat="false" ht="18" hidden="false" customHeight="true" outlineLevel="0" collapsed="false">
      <c r="A1927" s="17" t="s">
        <v>114</v>
      </c>
      <c r="B1927" s="18" t="s">
        <v>174</v>
      </c>
      <c r="C1927" s="19" t="s">
        <v>120</v>
      </c>
      <c r="D1927" s="20"/>
      <c r="E1927" s="20"/>
      <c r="F1927" s="21" t="n">
        <f aca="false">'📋 Matches'!E55</f>
        <v>0</v>
      </c>
      <c r="G1927" s="21" t="n">
        <f aca="false">'📋 Matches'!F55</f>
        <v>0</v>
      </c>
      <c r="H1927" s="24" t="s">
        <v>148</v>
      </c>
      <c r="I1927" s="24" t="s">
        <v>148</v>
      </c>
      <c r="J1927" s="24" t="s">
        <v>148</v>
      </c>
      <c r="K1927" s="24" t="s">
        <v>148</v>
      </c>
      <c r="L1927" s="24" t="s">
        <v>148</v>
      </c>
    </row>
    <row r="1928" customFormat="false" ht="18" hidden="false" customHeight="true" outlineLevel="0" collapsed="false">
      <c r="A1928" s="17" t="s">
        <v>114</v>
      </c>
      <c r="B1928" s="18" t="s">
        <v>174</v>
      </c>
      <c r="C1928" s="19" t="s">
        <v>121</v>
      </c>
      <c r="D1928" s="20"/>
      <c r="E1928" s="20"/>
      <c r="F1928" s="21" t="n">
        <f aca="false">'📋 Matches'!E56</f>
        <v>0</v>
      </c>
      <c r="G1928" s="21" t="n">
        <f aca="false">'📋 Matches'!F56</f>
        <v>0</v>
      </c>
      <c r="H1928" s="24" t="s">
        <v>148</v>
      </c>
      <c r="I1928" s="24" t="s">
        <v>148</v>
      </c>
      <c r="J1928" s="24" t="s">
        <v>148</v>
      </c>
      <c r="K1928" s="24" t="s">
        <v>148</v>
      </c>
      <c r="L1928" s="24" t="s">
        <v>148</v>
      </c>
    </row>
    <row r="1929" customFormat="false" ht="18" hidden="false" customHeight="true" outlineLevel="0" collapsed="false">
      <c r="A1929" s="17" t="s">
        <v>114</v>
      </c>
      <c r="B1929" s="18" t="s">
        <v>174</v>
      </c>
      <c r="C1929" s="19" t="s">
        <v>122</v>
      </c>
      <c r="D1929" s="20"/>
      <c r="E1929" s="20"/>
      <c r="F1929" s="21" t="n">
        <f aca="false">'📋 Matches'!E57</f>
        <v>0</v>
      </c>
      <c r="G1929" s="21" t="n">
        <f aca="false">'📋 Matches'!F57</f>
        <v>0</v>
      </c>
      <c r="H1929" s="24" t="s">
        <v>148</v>
      </c>
      <c r="I1929" s="24" t="s">
        <v>148</v>
      </c>
      <c r="J1929" s="24" t="s">
        <v>148</v>
      </c>
      <c r="K1929" s="24" t="s">
        <v>148</v>
      </c>
      <c r="L1929" s="24" t="s">
        <v>148</v>
      </c>
    </row>
    <row r="1930" customFormat="false" ht="18" hidden="false" customHeight="true" outlineLevel="0" collapsed="false">
      <c r="A1930" s="17" t="s">
        <v>114</v>
      </c>
      <c r="B1930" s="18" t="s">
        <v>174</v>
      </c>
      <c r="C1930" s="19" t="s">
        <v>123</v>
      </c>
      <c r="D1930" s="20"/>
      <c r="E1930" s="20"/>
      <c r="F1930" s="21" t="n">
        <f aca="false">'📋 Matches'!E58</f>
        <v>0</v>
      </c>
      <c r="G1930" s="21" t="n">
        <f aca="false">'📋 Matches'!F58</f>
        <v>0</v>
      </c>
      <c r="H1930" s="24" t="s">
        <v>148</v>
      </c>
      <c r="I1930" s="24" t="s">
        <v>148</v>
      </c>
      <c r="J1930" s="24" t="s">
        <v>148</v>
      </c>
      <c r="K1930" s="24" t="s">
        <v>148</v>
      </c>
      <c r="L1930" s="24" t="s">
        <v>148</v>
      </c>
    </row>
    <row r="1931" customFormat="false" ht="18" hidden="false" customHeight="true" outlineLevel="0" collapsed="false">
      <c r="A1931" s="17" t="s">
        <v>114</v>
      </c>
      <c r="B1931" s="18" t="s">
        <v>174</v>
      </c>
      <c r="C1931" s="19" t="s">
        <v>124</v>
      </c>
      <c r="D1931" s="20"/>
      <c r="E1931" s="20"/>
      <c r="F1931" s="21" t="n">
        <f aca="false">'📋 Matches'!E59</f>
        <v>0</v>
      </c>
      <c r="G1931" s="21" t="n">
        <f aca="false">'📋 Matches'!F59</f>
        <v>0</v>
      </c>
      <c r="H1931" s="24" t="s">
        <v>148</v>
      </c>
      <c r="I1931" s="24" t="s">
        <v>148</v>
      </c>
      <c r="J1931" s="24" t="s">
        <v>148</v>
      </c>
      <c r="K1931" s="24" t="s">
        <v>148</v>
      </c>
      <c r="L1931" s="24" t="s">
        <v>148</v>
      </c>
    </row>
    <row r="1932" customFormat="false" ht="18" hidden="false" customHeight="true" outlineLevel="0" collapsed="false">
      <c r="A1932" s="17" t="s">
        <v>114</v>
      </c>
      <c r="B1932" s="18" t="s">
        <v>174</v>
      </c>
      <c r="C1932" s="19" t="s">
        <v>125</v>
      </c>
      <c r="D1932" s="20"/>
      <c r="E1932" s="20"/>
      <c r="F1932" s="21" t="n">
        <f aca="false">'📋 Matches'!E60</f>
        <v>0</v>
      </c>
      <c r="G1932" s="21" t="n">
        <f aca="false">'📋 Matches'!F60</f>
        <v>0</v>
      </c>
      <c r="H1932" s="24" t="s">
        <v>148</v>
      </c>
      <c r="I1932" s="24" t="s">
        <v>148</v>
      </c>
      <c r="J1932" s="24" t="s">
        <v>148</v>
      </c>
      <c r="K1932" s="24" t="s">
        <v>148</v>
      </c>
      <c r="L1932" s="24" t="s">
        <v>148</v>
      </c>
    </row>
    <row r="1933" customFormat="false" ht="18" hidden="false" customHeight="true" outlineLevel="0" collapsed="false">
      <c r="A1933" s="17" t="s">
        <v>114</v>
      </c>
      <c r="B1933" s="18" t="s">
        <v>174</v>
      </c>
      <c r="C1933" s="19" t="s">
        <v>126</v>
      </c>
      <c r="D1933" s="20"/>
      <c r="E1933" s="20"/>
      <c r="F1933" s="21" t="n">
        <f aca="false">'📋 Matches'!E61</f>
        <v>0</v>
      </c>
      <c r="G1933" s="21" t="n">
        <f aca="false">'📋 Matches'!F61</f>
        <v>0</v>
      </c>
      <c r="H1933" s="24" t="s">
        <v>148</v>
      </c>
      <c r="I1933" s="24" t="s">
        <v>148</v>
      </c>
      <c r="J1933" s="24" t="s">
        <v>148</v>
      </c>
      <c r="K1933" s="24" t="s">
        <v>148</v>
      </c>
      <c r="L1933" s="24" t="s">
        <v>148</v>
      </c>
    </row>
    <row r="1934" customFormat="false" ht="18" hidden="false" customHeight="true" outlineLevel="0" collapsed="false">
      <c r="A1934" s="17" t="s">
        <v>114</v>
      </c>
      <c r="B1934" s="18" t="s">
        <v>174</v>
      </c>
      <c r="C1934" s="19" t="s">
        <v>127</v>
      </c>
      <c r="D1934" s="20"/>
      <c r="E1934" s="20"/>
      <c r="F1934" s="21" t="n">
        <f aca="false">'📋 Matches'!E62</f>
        <v>0</v>
      </c>
      <c r="G1934" s="21" t="n">
        <f aca="false">'📋 Matches'!F62</f>
        <v>0</v>
      </c>
      <c r="H1934" s="24" t="s">
        <v>148</v>
      </c>
      <c r="I1934" s="24" t="s">
        <v>148</v>
      </c>
      <c r="J1934" s="24" t="s">
        <v>148</v>
      </c>
      <c r="K1934" s="24" t="s">
        <v>148</v>
      </c>
      <c r="L1934" s="24" t="s">
        <v>148</v>
      </c>
    </row>
    <row r="1935" customFormat="false" ht="18" hidden="false" customHeight="true" outlineLevel="0" collapsed="false">
      <c r="A1935" s="17" t="s">
        <v>114</v>
      </c>
      <c r="B1935" s="18" t="s">
        <v>174</v>
      </c>
      <c r="C1935" s="19" t="s">
        <v>128</v>
      </c>
      <c r="D1935" s="20"/>
      <c r="E1935" s="20"/>
      <c r="F1935" s="21" t="n">
        <f aca="false">'📋 Matches'!E63</f>
        <v>0</v>
      </c>
      <c r="G1935" s="21" t="n">
        <f aca="false">'📋 Matches'!F63</f>
        <v>0</v>
      </c>
      <c r="H1935" s="24" t="s">
        <v>148</v>
      </c>
      <c r="I1935" s="24" t="s">
        <v>148</v>
      </c>
      <c r="J1935" s="24" t="s">
        <v>148</v>
      </c>
      <c r="K1935" s="24" t="s">
        <v>148</v>
      </c>
      <c r="L1935" s="24" t="s">
        <v>148</v>
      </c>
    </row>
    <row r="1936" customFormat="false" ht="18" hidden="false" customHeight="true" outlineLevel="0" collapsed="false">
      <c r="A1936" s="17" t="s">
        <v>114</v>
      </c>
      <c r="B1936" s="18" t="s">
        <v>174</v>
      </c>
      <c r="C1936" s="19" t="s">
        <v>129</v>
      </c>
      <c r="D1936" s="20"/>
      <c r="E1936" s="20"/>
      <c r="F1936" s="21" t="n">
        <f aca="false">'📋 Matches'!E64</f>
        <v>0</v>
      </c>
      <c r="G1936" s="21" t="n">
        <f aca="false">'📋 Matches'!F64</f>
        <v>0</v>
      </c>
      <c r="H1936" s="24" t="s">
        <v>148</v>
      </c>
      <c r="I1936" s="24" t="s">
        <v>148</v>
      </c>
      <c r="J1936" s="24" t="s">
        <v>148</v>
      </c>
      <c r="K1936" s="24" t="s">
        <v>148</v>
      </c>
      <c r="L1936" s="24" t="s">
        <v>148</v>
      </c>
    </row>
    <row r="1937" customFormat="false" ht="18" hidden="false" customHeight="true" outlineLevel="0" collapsed="false">
      <c r="A1937" s="17" t="s">
        <v>114</v>
      </c>
      <c r="B1937" s="18" t="s">
        <v>174</v>
      </c>
      <c r="C1937" s="19" t="s">
        <v>130</v>
      </c>
      <c r="D1937" s="20"/>
      <c r="E1937" s="20"/>
      <c r="F1937" s="21" t="n">
        <f aca="false">'📋 Matches'!E65</f>
        <v>0</v>
      </c>
      <c r="G1937" s="21" t="n">
        <f aca="false">'📋 Matches'!F65</f>
        <v>0</v>
      </c>
      <c r="H1937" s="24" t="s">
        <v>148</v>
      </c>
      <c r="I1937" s="24" t="s">
        <v>148</v>
      </c>
      <c r="J1937" s="24" t="s">
        <v>148</v>
      </c>
      <c r="K1937" s="24" t="s">
        <v>148</v>
      </c>
      <c r="L1937" s="24" t="s">
        <v>148</v>
      </c>
    </row>
    <row r="1938" customFormat="false" ht="18" hidden="false" customHeight="true" outlineLevel="0" collapsed="false">
      <c r="A1938" s="17" t="s">
        <v>114</v>
      </c>
      <c r="B1938" s="18" t="s">
        <v>174</v>
      </c>
      <c r="C1938" s="19" t="s">
        <v>131</v>
      </c>
      <c r="D1938" s="20"/>
      <c r="E1938" s="20"/>
      <c r="F1938" s="21" t="n">
        <f aca="false">'📋 Matches'!E66</f>
        <v>0</v>
      </c>
      <c r="G1938" s="21" t="n">
        <f aca="false">'📋 Matches'!F66</f>
        <v>0</v>
      </c>
      <c r="H1938" s="24" t="s">
        <v>148</v>
      </c>
      <c r="I1938" s="24" t="s">
        <v>148</v>
      </c>
      <c r="J1938" s="24" t="s">
        <v>148</v>
      </c>
      <c r="K1938" s="24" t="s">
        <v>148</v>
      </c>
      <c r="L1938" s="24" t="s">
        <v>148</v>
      </c>
    </row>
    <row r="1939" customFormat="false" ht="18" hidden="false" customHeight="true" outlineLevel="0" collapsed="false">
      <c r="A1939" s="17" t="s">
        <v>114</v>
      </c>
      <c r="B1939" s="18" t="s">
        <v>174</v>
      </c>
      <c r="C1939" s="19" t="s">
        <v>132</v>
      </c>
      <c r="D1939" s="20"/>
      <c r="E1939" s="20"/>
      <c r="F1939" s="21" t="n">
        <f aca="false">'📋 Matches'!E67</f>
        <v>0</v>
      </c>
      <c r="G1939" s="21" t="n">
        <f aca="false">'📋 Matches'!F67</f>
        <v>0</v>
      </c>
      <c r="H1939" s="24" t="s">
        <v>148</v>
      </c>
      <c r="I1939" s="24" t="s">
        <v>148</v>
      </c>
      <c r="J1939" s="24" t="s">
        <v>148</v>
      </c>
      <c r="K1939" s="24" t="s">
        <v>148</v>
      </c>
      <c r="L1939" s="24" t="s">
        <v>148</v>
      </c>
    </row>
    <row r="1940" customFormat="false" ht="18" hidden="false" customHeight="true" outlineLevel="0" collapsed="false">
      <c r="A1940" s="17" t="s">
        <v>114</v>
      </c>
      <c r="B1940" s="18" t="s">
        <v>174</v>
      </c>
      <c r="C1940" s="19" t="s">
        <v>133</v>
      </c>
      <c r="D1940" s="20"/>
      <c r="E1940" s="20"/>
      <c r="F1940" s="21" t="n">
        <f aca="false">'📋 Matches'!E68</f>
        <v>0</v>
      </c>
      <c r="G1940" s="21" t="n">
        <f aca="false">'📋 Matches'!F68</f>
        <v>0</v>
      </c>
      <c r="H1940" s="24" t="s">
        <v>148</v>
      </c>
      <c r="I1940" s="24" t="s">
        <v>148</v>
      </c>
      <c r="J1940" s="24" t="s">
        <v>148</v>
      </c>
      <c r="K1940" s="24" t="s">
        <v>148</v>
      </c>
      <c r="L1940" s="24" t="s">
        <v>148</v>
      </c>
    </row>
    <row r="1941" customFormat="false" ht="18" hidden="false" customHeight="true" outlineLevel="0" collapsed="false">
      <c r="A1941" s="17" t="s">
        <v>114</v>
      </c>
      <c r="B1941" s="18" t="s">
        <v>174</v>
      </c>
      <c r="C1941" s="19" t="s">
        <v>134</v>
      </c>
      <c r="D1941" s="20"/>
      <c r="E1941" s="20"/>
      <c r="F1941" s="21" t="n">
        <f aca="false">'📋 Matches'!E69</f>
        <v>0</v>
      </c>
      <c r="G1941" s="21" t="n">
        <f aca="false">'📋 Matches'!F69</f>
        <v>0</v>
      </c>
      <c r="H1941" s="24" t="s">
        <v>148</v>
      </c>
      <c r="I1941" s="24" t="s">
        <v>148</v>
      </c>
      <c r="J1941" s="24" t="s">
        <v>148</v>
      </c>
      <c r="K1941" s="24" t="s">
        <v>148</v>
      </c>
      <c r="L1941" s="24" t="s">
        <v>148</v>
      </c>
    </row>
    <row r="1942" customFormat="false" ht="18" hidden="false" customHeight="true" outlineLevel="0" collapsed="false">
      <c r="A1942" s="17" t="s">
        <v>114</v>
      </c>
      <c r="B1942" s="18" t="s">
        <v>174</v>
      </c>
      <c r="C1942" s="19" t="s">
        <v>135</v>
      </c>
      <c r="D1942" s="20"/>
      <c r="E1942" s="20"/>
      <c r="F1942" s="21" t="n">
        <f aca="false">'📋 Matches'!E70</f>
        <v>0</v>
      </c>
      <c r="G1942" s="21" t="n">
        <f aca="false">'📋 Matches'!F70</f>
        <v>0</v>
      </c>
      <c r="H1942" s="24" t="s">
        <v>148</v>
      </c>
      <c r="I1942" s="24" t="s">
        <v>148</v>
      </c>
      <c r="J1942" s="24" t="s">
        <v>148</v>
      </c>
      <c r="K1942" s="24" t="s">
        <v>148</v>
      </c>
      <c r="L1942" s="24" t="s">
        <v>148</v>
      </c>
    </row>
    <row r="1943" customFormat="false" ht="18" hidden="false" customHeight="true" outlineLevel="0" collapsed="false">
      <c r="A1943" s="17" t="s">
        <v>114</v>
      </c>
      <c r="B1943" s="18" t="s">
        <v>174</v>
      </c>
      <c r="C1943" s="19" t="s">
        <v>136</v>
      </c>
      <c r="D1943" s="20"/>
      <c r="E1943" s="20"/>
      <c r="F1943" s="21" t="n">
        <f aca="false">'📋 Matches'!E71</f>
        <v>0</v>
      </c>
      <c r="G1943" s="21" t="n">
        <f aca="false">'📋 Matches'!F71</f>
        <v>0</v>
      </c>
      <c r="H1943" s="24" t="s">
        <v>148</v>
      </c>
      <c r="I1943" s="24" t="s">
        <v>148</v>
      </c>
      <c r="J1943" s="24" t="s">
        <v>148</v>
      </c>
      <c r="K1943" s="24" t="s">
        <v>148</v>
      </c>
      <c r="L1943" s="24" t="s">
        <v>148</v>
      </c>
    </row>
    <row r="1944" customFormat="false" ht="18" hidden="false" customHeight="true" outlineLevel="0" collapsed="false">
      <c r="A1944" s="17" t="s">
        <v>114</v>
      </c>
      <c r="B1944" s="18" t="s">
        <v>174</v>
      </c>
      <c r="C1944" s="19" t="s">
        <v>137</v>
      </c>
      <c r="D1944" s="20"/>
      <c r="E1944" s="20"/>
      <c r="F1944" s="21" t="n">
        <f aca="false">'📋 Matches'!E72</f>
        <v>0</v>
      </c>
      <c r="G1944" s="21" t="n">
        <f aca="false">'📋 Matches'!F72</f>
        <v>0</v>
      </c>
      <c r="H1944" s="24" t="s">
        <v>148</v>
      </c>
      <c r="I1944" s="24" t="s">
        <v>148</v>
      </c>
      <c r="J1944" s="24" t="s">
        <v>148</v>
      </c>
      <c r="K1944" s="24" t="s">
        <v>148</v>
      </c>
      <c r="L1944" s="24" t="s">
        <v>148</v>
      </c>
    </row>
    <row r="1945" customFormat="false" ht="18" hidden="false" customHeight="true" outlineLevel="0" collapsed="false">
      <c r="A1945" s="17" t="s">
        <v>114</v>
      </c>
      <c r="B1945" s="18" t="s">
        <v>174</v>
      </c>
      <c r="C1945" s="19" t="s">
        <v>138</v>
      </c>
      <c r="D1945" s="20"/>
      <c r="E1945" s="20"/>
      <c r="F1945" s="21" t="n">
        <f aca="false">'📋 Matches'!E73</f>
        <v>0</v>
      </c>
      <c r="G1945" s="21" t="n">
        <f aca="false">'📋 Matches'!F73</f>
        <v>0</v>
      </c>
      <c r="H1945" s="24" t="s">
        <v>148</v>
      </c>
      <c r="I1945" s="24" t="s">
        <v>148</v>
      </c>
      <c r="J1945" s="24" t="s">
        <v>148</v>
      </c>
      <c r="K1945" s="24" t="s">
        <v>148</v>
      </c>
      <c r="L1945" s="24" t="s">
        <v>148</v>
      </c>
    </row>
    <row r="1946" customFormat="false" ht="18" hidden="false" customHeight="true" outlineLevel="0" collapsed="false">
      <c r="A1946" s="25" t="s">
        <v>9</v>
      </c>
      <c r="B1946" s="26" t="s">
        <v>175</v>
      </c>
      <c r="C1946" s="27" t="s">
        <v>10</v>
      </c>
      <c r="D1946" s="28" t="n">
        <v>2</v>
      </c>
      <c r="E1946" s="28" t="n">
        <v>1</v>
      </c>
      <c r="F1946" s="29" t="n">
        <f aca="false">'📋 Matches'!E2</f>
        <v>2</v>
      </c>
      <c r="G1946" s="29" t="n">
        <f aca="false">'📋 Matches'!F2</f>
        <v>0</v>
      </c>
      <c r="H1946" s="22" t="n">
        <f aca="false">IF(AND(ISNUMBER(F1946),ISNUMBER(G1946)),IF(SIGN(D1946-E1946)=SIGN(F1946-G1946),48,0),"")</f>
        <v>48</v>
      </c>
      <c r="I1946" s="22" t="n">
        <f aca="false">IF(AND(ISNUMBER(F1946),ISNUMBER(G1946)),IF(D1946=F1946,15,0),"")</f>
        <v>15</v>
      </c>
      <c r="J1946" s="22" t="n">
        <f aca="false">IF(AND(ISNUMBER(F1946),ISNUMBER(G1946)),IF(E1946=G1946,15,0),"")</f>
        <v>0</v>
      </c>
      <c r="K1946" s="22" t="n">
        <f aca="false">IF(AND(ISNUMBER(F1946),ISNUMBER(G1946)),IF(ABS(D1946-E1946)=ABS(F1946-G1946),12,0),"")</f>
        <v>0</v>
      </c>
      <c r="L1946" s="23" t="n">
        <f aca="false">IF(ISNUMBER(H1946),H1946+I1946+J1946+K1946,"")</f>
        <v>63</v>
      </c>
    </row>
    <row r="1947" customFormat="false" ht="18" hidden="false" customHeight="true" outlineLevel="0" collapsed="false">
      <c r="A1947" s="25" t="s">
        <v>9</v>
      </c>
      <c r="B1947" s="26" t="s">
        <v>175</v>
      </c>
      <c r="C1947" s="27" t="s">
        <v>14</v>
      </c>
      <c r="D1947" s="28" t="n">
        <v>1</v>
      </c>
      <c r="E1947" s="28" t="n">
        <v>0</v>
      </c>
      <c r="F1947" s="29" t="n">
        <f aca="false">'📋 Matches'!E3</f>
        <v>2</v>
      </c>
      <c r="G1947" s="29" t="n">
        <f aca="false">'📋 Matches'!F3</f>
        <v>1</v>
      </c>
      <c r="H1947" s="22" t="n">
        <f aca="false">IF(AND(ISNUMBER(F1947),ISNUMBER(G1947)),IF(SIGN(D1947-E1947)=SIGN(F1947-G1947),48,0),"")</f>
        <v>48</v>
      </c>
      <c r="I1947" s="22" t="n">
        <f aca="false">IF(AND(ISNUMBER(F1947),ISNUMBER(G1947)),IF(D1947=F1947,15,0),"")</f>
        <v>0</v>
      </c>
      <c r="J1947" s="22" t="n">
        <f aca="false">IF(AND(ISNUMBER(F1947),ISNUMBER(G1947)),IF(E1947=G1947,15,0),"")</f>
        <v>0</v>
      </c>
      <c r="K1947" s="22" t="n">
        <f aca="false">IF(AND(ISNUMBER(F1947),ISNUMBER(G1947)),IF(ABS(D1947-E1947)=ABS(F1947-G1947),12,0),"")</f>
        <v>12</v>
      </c>
      <c r="L1947" s="23" t="n">
        <f aca="false">IF(ISNUMBER(H1947),H1947+I1947+J1947+K1947,"")</f>
        <v>60</v>
      </c>
    </row>
    <row r="1948" customFormat="false" ht="18" hidden="false" customHeight="true" outlineLevel="0" collapsed="false">
      <c r="A1948" s="25" t="s">
        <v>9</v>
      </c>
      <c r="B1948" s="26" t="s">
        <v>175</v>
      </c>
      <c r="C1948" s="27" t="s">
        <v>17</v>
      </c>
      <c r="D1948" s="28" t="n">
        <v>2</v>
      </c>
      <c r="E1948" s="28" t="n">
        <v>1</v>
      </c>
      <c r="F1948" s="29" t="n">
        <f aca="false">'📋 Matches'!E4</f>
        <v>1</v>
      </c>
      <c r="G1948" s="29" t="n">
        <f aca="false">'📋 Matches'!F4</f>
        <v>1</v>
      </c>
      <c r="H1948" s="22" t="n">
        <f aca="false">IF(AND(ISNUMBER(F1948),ISNUMBER(G1948)),IF(SIGN(D1948-E1948)=SIGN(F1948-G1948),48,0),"")</f>
        <v>0</v>
      </c>
      <c r="I1948" s="22" t="n">
        <f aca="false">IF(AND(ISNUMBER(F1948),ISNUMBER(G1948)),IF(D1948=F1948,15,0),"")</f>
        <v>0</v>
      </c>
      <c r="J1948" s="22" t="n">
        <f aca="false">IF(AND(ISNUMBER(F1948),ISNUMBER(G1948)),IF(E1948=G1948,15,0),"")</f>
        <v>15</v>
      </c>
      <c r="K1948" s="22" t="n">
        <f aca="false">IF(AND(ISNUMBER(F1948),ISNUMBER(G1948)),IF(ABS(D1948-E1948)=ABS(F1948-G1948),12,0),"")</f>
        <v>0</v>
      </c>
      <c r="L1948" s="23" t="n">
        <f aca="false">IF(ISNUMBER(H1948),H1948+I1948+J1948+K1948,"")</f>
        <v>15</v>
      </c>
    </row>
    <row r="1949" customFormat="false" ht="18" hidden="false" customHeight="true" outlineLevel="0" collapsed="false">
      <c r="A1949" s="25" t="s">
        <v>9</v>
      </c>
      <c r="B1949" s="26" t="s">
        <v>175</v>
      </c>
      <c r="C1949" s="27" t="s">
        <v>20</v>
      </c>
      <c r="D1949" s="28" t="n">
        <v>1</v>
      </c>
      <c r="E1949" s="28" t="n">
        <v>0</v>
      </c>
      <c r="F1949" s="29" t="n">
        <f aca="false">'📋 Matches'!E5</f>
        <v>4</v>
      </c>
      <c r="G1949" s="29" t="n">
        <f aca="false">'📋 Matches'!F5</f>
        <v>1</v>
      </c>
      <c r="H1949" s="22" t="n">
        <f aca="false">IF(AND(ISNUMBER(F1949),ISNUMBER(G1949)),IF(SIGN(D1949-E1949)=SIGN(F1949-G1949),48,0),"")</f>
        <v>48</v>
      </c>
      <c r="I1949" s="22" t="n">
        <f aca="false">IF(AND(ISNUMBER(F1949),ISNUMBER(G1949)),IF(D1949=F1949,15,0),"")</f>
        <v>0</v>
      </c>
      <c r="J1949" s="22" t="n">
        <f aca="false">IF(AND(ISNUMBER(F1949),ISNUMBER(G1949)),IF(E1949=G1949,15,0),"")</f>
        <v>0</v>
      </c>
      <c r="K1949" s="22" t="n">
        <f aca="false">IF(AND(ISNUMBER(F1949),ISNUMBER(G1949)),IF(ABS(D1949-E1949)=ABS(F1949-G1949),12,0),"")</f>
        <v>0</v>
      </c>
      <c r="L1949" s="23" t="n">
        <f aca="false">IF(ISNUMBER(H1949),H1949+I1949+J1949+K1949,"")</f>
        <v>48</v>
      </c>
    </row>
    <row r="1950" customFormat="false" ht="18" hidden="false" customHeight="true" outlineLevel="0" collapsed="false">
      <c r="A1950" s="25" t="s">
        <v>9</v>
      </c>
      <c r="B1950" s="26" t="s">
        <v>175</v>
      </c>
      <c r="C1950" s="27" t="s">
        <v>23</v>
      </c>
      <c r="D1950" s="28" t="n">
        <v>1</v>
      </c>
      <c r="E1950" s="28" t="n">
        <v>1</v>
      </c>
      <c r="F1950" s="29" t="n">
        <f aca="false">'📋 Matches'!E6</f>
        <v>0</v>
      </c>
      <c r="G1950" s="29" t="n">
        <f aca="false">'📋 Matches'!F6</f>
        <v>0</v>
      </c>
      <c r="H1950" s="22" t="str">
        <f aca="false">IF(AND(ISNUMBER(F1950),ISNUMBER(G1950)),IF(SIGN(D1950-E1950)=SIGN(F1950-G1950),48,0),"")</f>
        <v/>
      </c>
      <c r="I1950" s="22" t="str">
        <f aca="false">IF(AND(ISNUMBER(F1950),ISNUMBER(G1950)),IF(D1950=F1950,15,0),"")</f>
        <v/>
      </c>
      <c r="J1950" s="22" t="str">
        <f aca="false">IF(AND(ISNUMBER(F1950),ISNUMBER(G1950)),IF(E1950=G1950,15,0),"")</f>
        <v/>
      </c>
      <c r="K1950" s="22" t="str">
        <f aca="false">IF(AND(ISNUMBER(F1950),ISNUMBER(G1950)),IF(ABS(D1950-E1950)=ABS(F1950-G1950),12,0),"")</f>
        <v/>
      </c>
      <c r="L1950" s="23" t="str">
        <f aca="false">IF(ISNUMBER(H1950),H1950+I1950+J1950+K1950,"")</f>
        <v/>
      </c>
    </row>
    <row r="1951" customFormat="false" ht="18" hidden="false" customHeight="true" outlineLevel="0" collapsed="false">
      <c r="A1951" s="25" t="s">
        <v>9</v>
      </c>
      <c r="B1951" s="26" t="s">
        <v>175</v>
      </c>
      <c r="C1951" s="27" t="s">
        <v>27</v>
      </c>
      <c r="D1951" s="28" t="n">
        <v>3</v>
      </c>
      <c r="E1951" s="28" t="n">
        <v>2</v>
      </c>
      <c r="F1951" s="29" t="n">
        <f aca="false">'📋 Matches'!E7</f>
        <v>0</v>
      </c>
      <c r="G1951" s="29" t="n">
        <f aca="false">'📋 Matches'!F7</f>
        <v>0</v>
      </c>
      <c r="H1951" s="22" t="str">
        <f aca="false">IF(AND(ISNUMBER(F1951),ISNUMBER(G1951)),IF(SIGN(D1951-E1951)=SIGN(F1951-G1951),48,0),"")</f>
        <v/>
      </c>
      <c r="I1951" s="22" t="str">
        <f aca="false">IF(AND(ISNUMBER(F1951),ISNUMBER(G1951)),IF(D1951=F1951,15,0),"")</f>
        <v/>
      </c>
      <c r="J1951" s="22" t="str">
        <f aca="false">IF(AND(ISNUMBER(F1951),ISNUMBER(G1951)),IF(E1951=G1951,15,0),"")</f>
        <v/>
      </c>
      <c r="K1951" s="22" t="str">
        <f aca="false">IF(AND(ISNUMBER(F1951),ISNUMBER(G1951)),IF(ABS(D1951-E1951)=ABS(F1951-G1951),12,0),"")</f>
        <v/>
      </c>
      <c r="L1951" s="23" t="str">
        <f aca="false">IF(ISNUMBER(H1951),H1951+I1951+J1951+K1951,"")</f>
        <v/>
      </c>
    </row>
    <row r="1952" customFormat="false" ht="18" hidden="false" customHeight="true" outlineLevel="0" collapsed="false">
      <c r="A1952" s="25" t="s">
        <v>9</v>
      </c>
      <c r="B1952" s="26" t="s">
        <v>175</v>
      </c>
      <c r="C1952" s="27" t="s">
        <v>30</v>
      </c>
      <c r="D1952" s="28" t="n">
        <v>0</v>
      </c>
      <c r="E1952" s="28" t="n">
        <v>1</v>
      </c>
      <c r="F1952" s="29" t="n">
        <f aca="false">'📋 Matches'!E8</f>
        <v>0</v>
      </c>
      <c r="G1952" s="29" t="n">
        <f aca="false">'📋 Matches'!F8</f>
        <v>0</v>
      </c>
      <c r="H1952" s="22" t="str">
        <f aca="false">IF(AND(ISNUMBER(F1952),ISNUMBER(G1952)),IF(SIGN(D1952-E1952)=SIGN(F1952-G1952),48,0),"")</f>
        <v/>
      </c>
      <c r="I1952" s="22" t="str">
        <f aca="false">IF(AND(ISNUMBER(F1952),ISNUMBER(G1952)),IF(D1952=F1952,15,0),"")</f>
        <v/>
      </c>
      <c r="J1952" s="22" t="str">
        <f aca="false">IF(AND(ISNUMBER(F1952),ISNUMBER(G1952)),IF(E1952=G1952,15,0),"")</f>
        <v/>
      </c>
      <c r="K1952" s="22" t="str">
        <f aca="false">IF(AND(ISNUMBER(F1952),ISNUMBER(G1952)),IF(ABS(D1952-E1952)=ABS(F1952-G1952),12,0),"")</f>
        <v/>
      </c>
      <c r="L1952" s="23" t="str">
        <f aca="false">IF(ISNUMBER(H1952),H1952+I1952+J1952+K1952,"")</f>
        <v/>
      </c>
    </row>
    <row r="1953" customFormat="false" ht="18" hidden="false" customHeight="true" outlineLevel="0" collapsed="false">
      <c r="A1953" s="25" t="s">
        <v>9</v>
      </c>
      <c r="B1953" s="26" t="s">
        <v>175</v>
      </c>
      <c r="C1953" s="27" t="s">
        <v>33</v>
      </c>
      <c r="D1953" s="28" t="n">
        <v>1</v>
      </c>
      <c r="E1953" s="28" t="n">
        <v>2</v>
      </c>
      <c r="F1953" s="29" t="n">
        <f aca="false">'📋 Matches'!E9</f>
        <v>0</v>
      </c>
      <c r="G1953" s="29" t="n">
        <f aca="false">'📋 Matches'!F9</f>
        <v>0</v>
      </c>
      <c r="H1953" s="22" t="str">
        <f aca="false">IF(AND(ISNUMBER(F1953),ISNUMBER(G1953)),IF(SIGN(D1953-E1953)=SIGN(F1953-G1953),48,0),"")</f>
        <v/>
      </c>
      <c r="I1953" s="22" t="str">
        <f aca="false">IF(AND(ISNUMBER(F1953),ISNUMBER(G1953)),IF(D1953=F1953,15,0),"")</f>
        <v/>
      </c>
      <c r="J1953" s="22" t="str">
        <f aca="false">IF(AND(ISNUMBER(F1953),ISNUMBER(G1953)),IF(E1953=G1953,15,0),"")</f>
        <v/>
      </c>
      <c r="K1953" s="22" t="str">
        <f aca="false">IF(AND(ISNUMBER(F1953),ISNUMBER(G1953)),IF(ABS(D1953-E1953)=ABS(F1953-G1953),12,0),"")</f>
        <v/>
      </c>
      <c r="L1953" s="23" t="str">
        <f aca="false">IF(ISNUMBER(H1953),H1953+I1953+J1953+K1953,"")</f>
        <v/>
      </c>
    </row>
    <row r="1954" customFormat="false" ht="18" hidden="false" customHeight="true" outlineLevel="0" collapsed="false">
      <c r="A1954" s="25" t="s">
        <v>9</v>
      </c>
      <c r="B1954" s="26" t="s">
        <v>175</v>
      </c>
      <c r="C1954" s="27" t="s">
        <v>36</v>
      </c>
      <c r="D1954" s="28" t="n">
        <v>3</v>
      </c>
      <c r="E1954" s="28" t="n">
        <v>0</v>
      </c>
      <c r="F1954" s="29" t="n">
        <f aca="false">'📋 Matches'!E10</f>
        <v>0</v>
      </c>
      <c r="G1954" s="29" t="n">
        <f aca="false">'📋 Matches'!F10</f>
        <v>0</v>
      </c>
      <c r="H1954" s="22" t="str">
        <f aca="false">IF(AND(ISNUMBER(F1954),ISNUMBER(G1954)),IF(SIGN(D1954-E1954)=SIGN(F1954-G1954),48,0),"")</f>
        <v/>
      </c>
      <c r="I1954" s="22" t="str">
        <f aca="false">IF(AND(ISNUMBER(F1954),ISNUMBER(G1954)),IF(D1954=F1954,15,0),"")</f>
        <v/>
      </c>
      <c r="J1954" s="22" t="str">
        <f aca="false">IF(AND(ISNUMBER(F1954),ISNUMBER(G1954)),IF(E1954=G1954,15,0),"")</f>
        <v/>
      </c>
      <c r="K1954" s="22" t="str">
        <f aca="false">IF(AND(ISNUMBER(F1954),ISNUMBER(G1954)),IF(ABS(D1954-E1954)=ABS(F1954-G1954),12,0),"")</f>
        <v/>
      </c>
      <c r="L1954" s="23" t="str">
        <f aca="false">IF(ISNUMBER(H1954),H1954+I1954+J1954+K1954,"")</f>
        <v/>
      </c>
    </row>
    <row r="1955" customFormat="false" ht="18" hidden="false" customHeight="true" outlineLevel="0" collapsed="false">
      <c r="A1955" s="25" t="s">
        <v>9</v>
      </c>
      <c r="B1955" s="26" t="s">
        <v>175</v>
      </c>
      <c r="C1955" s="27" t="s">
        <v>39</v>
      </c>
      <c r="D1955" s="28" t="n">
        <v>1</v>
      </c>
      <c r="E1955" s="28" t="n">
        <v>2</v>
      </c>
      <c r="F1955" s="29" t="n">
        <f aca="false">'📋 Matches'!E11</f>
        <v>0</v>
      </c>
      <c r="G1955" s="29" t="n">
        <f aca="false">'📋 Matches'!F11</f>
        <v>0</v>
      </c>
      <c r="H1955" s="22" t="str">
        <f aca="false">IF(AND(ISNUMBER(F1955),ISNUMBER(G1955)),IF(SIGN(D1955-E1955)=SIGN(F1955-G1955),48,0),"")</f>
        <v/>
      </c>
      <c r="I1955" s="22" t="str">
        <f aca="false">IF(AND(ISNUMBER(F1955),ISNUMBER(G1955)),IF(D1955=F1955,15,0),"")</f>
        <v/>
      </c>
      <c r="J1955" s="22" t="str">
        <f aca="false">IF(AND(ISNUMBER(F1955),ISNUMBER(G1955)),IF(E1955=G1955,15,0),"")</f>
        <v/>
      </c>
      <c r="K1955" s="22" t="str">
        <f aca="false">IF(AND(ISNUMBER(F1955),ISNUMBER(G1955)),IF(ABS(D1955-E1955)=ABS(F1955-G1955),12,0),"")</f>
        <v/>
      </c>
      <c r="L1955" s="23" t="str">
        <f aca="false">IF(ISNUMBER(H1955),H1955+I1955+J1955+K1955,"")</f>
        <v/>
      </c>
    </row>
    <row r="1956" customFormat="false" ht="18" hidden="false" customHeight="true" outlineLevel="0" collapsed="false">
      <c r="A1956" s="25" t="s">
        <v>9</v>
      </c>
      <c r="B1956" s="26" t="s">
        <v>175</v>
      </c>
      <c r="C1956" s="27" t="s">
        <v>42</v>
      </c>
      <c r="D1956" s="28" t="n">
        <v>1</v>
      </c>
      <c r="E1956" s="28" t="n">
        <v>3</v>
      </c>
      <c r="F1956" s="29" t="n">
        <f aca="false">'📋 Matches'!E12</f>
        <v>0</v>
      </c>
      <c r="G1956" s="29" t="n">
        <f aca="false">'📋 Matches'!F12</f>
        <v>0</v>
      </c>
      <c r="H1956" s="22" t="str">
        <f aca="false">IF(AND(ISNUMBER(F1956),ISNUMBER(G1956)),IF(SIGN(D1956-E1956)=SIGN(F1956-G1956),48,0),"")</f>
        <v/>
      </c>
      <c r="I1956" s="22" t="str">
        <f aca="false">IF(AND(ISNUMBER(F1956),ISNUMBER(G1956)),IF(D1956=F1956,15,0),"")</f>
        <v/>
      </c>
      <c r="J1956" s="22" t="str">
        <f aca="false">IF(AND(ISNUMBER(F1956),ISNUMBER(G1956)),IF(E1956=G1956,15,0),"")</f>
        <v/>
      </c>
      <c r="K1956" s="22" t="str">
        <f aca="false">IF(AND(ISNUMBER(F1956),ISNUMBER(G1956)),IF(ABS(D1956-E1956)=ABS(F1956-G1956),12,0),"")</f>
        <v/>
      </c>
      <c r="L1956" s="23" t="str">
        <f aca="false">IF(ISNUMBER(H1956),H1956+I1956+J1956+K1956,"")</f>
        <v/>
      </c>
    </row>
    <row r="1957" customFormat="false" ht="18" hidden="false" customHeight="true" outlineLevel="0" collapsed="false">
      <c r="A1957" s="25" t="s">
        <v>9</v>
      </c>
      <c r="B1957" s="26" t="s">
        <v>175</v>
      </c>
      <c r="C1957" s="27" t="s">
        <v>45</v>
      </c>
      <c r="D1957" s="28" t="n">
        <v>3</v>
      </c>
      <c r="E1957" s="28" t="n">
        <v>2</v>
      </c>
      <c r="F1957" s="29" t="n">
        <f aca="false">'📋 Matches'!E13</f>
        <v>0</v>
      </c>
      <c r="G1957" s="29" t="n">
        <f aca="false">'📋 Matches'!F13</f>
        <v>0</v>
      </c>
      <c r="H1957" s="22" t="str">
        <f aca="false">IF(AND(ISNUMBER(F1957),ISNUMBER(G1957)),IF(SIGN(D1957-E1957)=SIGN(F1957-G1957),48,0),"")</f>
        <v/>
      </c>
      <c r="I1957" s="22" t="str">
        <f aca="false">IF(AND(ISNUMBER(F1957),ISNUMBER(G1957)),IF(D1957=F1957,15,0),"")</f>
        <v/>
      </c>
      <c r="J1957" s="22" t="str">
        <f aca="false">IF(AND(ISNUMBER(F1957),ISNUMBER(G1957)),IF(E1957=G1957,15,0),"")</f>
        <v/>
      </c>
      <c r="K1957" s="22" t="str">
        <f aca="false">IF(AND(ISNUMBER(F1957),ISNUMBER(G1957)),IF(ABS(D1957-E1957)=ABS(F1957-G1957),12,0),"")</f>
        <v/>
      </c>
      <c r="L1957" s="23" t="str">
        <f aca="false">IF(ISNUMBER(H1957),H1957+I1957+J1957+K1957,"")</f>
        <v/>
      </c>
    </row>
    <row r="1958" customFormat="false" ht="18" hidden="false" customHeight="true" outlineLevel="0" collapsed="false">
      <c r="A1958" s="25" t="s">
        <v>9</v>
      </c>
      <c r="B1958" s="26" t="s">
        <v>175</v>
      </c>
      <c r="C1958" s="27" t="s">
        <v>48</v>
      </c>
      <c r="D1958" s="28" t="n">
        <v>4</v>
      </c>
      <c r="E1958" s="28" t="n">
        <v>0</v>
      </c>
      <c r="F1958" s="29" t="n">
        <f aca="false">'📋 Matches'!E14</f>
        <v>0</v>
      </c>
      <c r="G1958" s="29" t="n">
        <f aca="false">'📋 Matches'!F14</f>
        <v>0</v>
      </c>
      <c r="H1958" s="22" t="str">
        <f aca="false">IF(AND(ISNUMBER(F1958),ISNUMBER(G1958)),IF(SIGN(D1958-E1958)=SIGN(F1958-G1958),48,0),"")</f>
        <v/>
      </c>
      <c r="I1958" s="22" t="str">
        <f aca="false">IF(AND(ISNUMBER(F1958),ISNUMBER(G1958)),IF(D1958=F1958,15,0),"")</f>
        <v/>
      </c>
      <c r="J1958" s="22" t="str">
        <f aca="false">IF(AND(ISNUMBER(F1958),ISNUMBER(G1958)),IF(E1958=G1958,15,0),"")</f>
        <v/>
      </c>
      <c r="K1958" s="22" t="str">
        <f aca="false">IF(AND(ISNUMBER(F1958),ISNUMBER(G1958)),IF(ABS(D1958-E1958)=ABS(F1958-G1958),12,0),"")</f>
        <v/>
      </c>
      <c r="L1958" s="23" t="str">
        <f aca="false">IF(ISNUMBER(H1958),H1958+I1958+J1958+K1958,"")</f>
        <v/>
      </c>
    </row>
    <row r="1959" customFormat="false" ht="18" hidden="false" customHeight="true" outlineLevel="0" collapsed="false">
      <c r="A1959" s="25" t="s">
        <v>9</v>
      </c>
      <c r="B1959" s="26" t="s">
        <v>175</v>
      </c>
      <c r="C1959" s="27" t="s">
        <v>51</v>
      </c>
      <c r="D1959" s="28" t="n">
        <v>2</v>
      </c>
      <c r="E1959" s="28" t="n">
        <v>1</v>
      </c>
      <c r="F1959" s="29" t="n">
        <f aca="false">'📋 Matches'!E15</f>
        <v>0</v>
      </c>
      <c r="G1959" s="29" t="n">
        <f aca="false">'📋 Matches'!F15</f>
        <v>0</v>
      </c>
      <c r="H1959" s="22" t="str">
        <f aca="false">IF(AND(ISNUMBER(F1959),ISNUMBER(G1959)),IF(SIGN(D1959-E1959)=SIGN(F1959-G1959),48,0),"")</f>
        <v/>
      </c>
      <c r="I1959" s="22" t="str">
        <f aca="false">IF(AND(ISNUMBER(F1959),ISNUMBER(G1959)),IF(D1959=F1959,15,0),"")</f>
        <v/>
      </c>
      <c r="J1959" s="22" t="str">
        <f aca="false">IF(AND(ISNUMBER(F1959),ISNUMBER(G1959)),IF(E1959=G1959,15,0),"")</f>
        <v/>
      </c>
      <c r="K1959" s="22" t="str">
        <f aca="false">IF(AND(ISNUMBER(F1959),ISNUMBER(G1959)),IF(ABS(D1959-E1959)=ABS(F1959-G1959),12,0),"")</f>
        <v/>
      </c>
      <c r="L1959" s="23" t="str">
        <f aca="false">IF(ISNUMBER(H1959),H1959+I1959+J1959+K1959,"")</f>
        <v/>
      </c>
    </row>
    <row r="1960" customFormat="false" ht="18" hidden="false" customHeight="true" outlineLevel="0" collapsed="false">
      <c r="A1960" s="25" t="s">
        <v>9</v>
      </c>
      <c r="B1960" s="26" t="s">
        <v>175</v>
      </c>
      <c r="C1960" s="27" t="s">
        <v>54</v>
      </c>
      <c r="D1960" s="28" t="n">
        <v>1</v>
      </c>
      <c r="E1960" s="28" t="n">
        <v>3</v>
      </c>
      <c r="F1960" s="29" t="n">
        <f aca="false">'📋 Matches'!E16</f>
        <v>0</v>
      </c>
      <c r="G1960" s="29" t="n">
        <f aca="false">'📋 Matches'!F16</f>
        <v>0</v>
      </c>
      <c r="H1960" s="22" t="str">
        <f aca="false">IF(AND(ISNUMBER(F1960),ISNUMBER(G1960)),IF(SIGN(D1960-E1960)=SIGN(F1960-G1960),48,0),"")</f>
        <v/>
      </c>
      <c r="I1960" s="22" t="str">
        <f aca="false">IF(AND(ISNUMBER(F1960),ISNUMBER(G1960)),IF(D1960=F1960,15,0),"")</f>
        <v/>
      </c>
      <c r="J1960" s="22" t="str">
        <f aca="false">IF(AND(ISNUMBER(F1960),ISNUMBER(G1960)),IF(E1960=G1960,15,0),"")</f>
        <v/>
      </c>
      <c r="K1960" s="22" t="str">
        <f aca="false">IF(AND(ISNUMBER(F1960),ISNUMBER(G1960)),IF(ABS(D1960-E1960)=ABS(F1960-G1960),12,0),"")</f>
        <v/>
      </c>
      <c r="L1960" s="23" t="str">
        <f aca="false">IF(ISNUMBER(H1960),H1960+I1960+J1960+K1960,"")</f>
        <v/>
      </c>
    </row>
    <row r="1961" customFormat="false" ht="18" hidden="false" customHeight="true" outlineLevel="0" collapsed="false">
      <c r="A1961" s="25" t="s">
        <v>9</v>
      </c>
      <c r="B1961" s="26" t="s">
        <v>175</v>
      </c>
      <c r="C1961" s="27" t="s">
        <v>57</v>
      </c>
      <c r="D1961" s="28" t="n">
        <v>1</v>
      </c>
      <c r="E1961" s="28" t="n">
        <v>2</v>
      </c>
      <c r="F1961" s="29" t="n">
        <f aca="false">'📋 Matches'!E17</f>
        <v>0</v>
      </c>
      <c r="G1961" s="29" t="n">
        <f aca="false">'📋 Matches'!F17</f>
        <v>0</v>
      </c>
      <c r="H1961" s="22" t="str">
        <f aca="false">IF(AND(ISNUMBER(F1961),ISNUMBER(G1961)),IF(SIGN(D1961-E1961)=SIGN(F1961-G1961),48,0),"")</f>
        <v/>
      </c>
      <c r="I1961" s="22" t="str">
        <f aca="false">IF(AND(ISNUMBER(F1961),ISNUMBER(G1961)),IF(D1961=F1961,15,0),"")</f>
        <v/>
      </c>
      <c r="J1961" s="22" t="str">
        <f aca="false">IF(AND(ISNUMBER(F1961),ISNUMBER(G1961)),IF(E1961=G1961,15,0),"")</f>
        <v/>
      </c>
      <c r="K1961" s="22" t="str">
        <f aca="false">IF(AND(ISNUMBER(F1961),ISNUMBER(G1961)),IF(ABS(D1961-E1961)=ABS(F1961-G1961),12,0),"")</f>
        <v/>
      </c>
      <c r="L1961" s="23" t="str">
        <f aca="false">IF(ISNUMBER(H1961),H1961+I1961+J1961+K1961,"")</f>
        <v/>
      </c>
    </row>
    <row r="1962" customFormat="false" ht="18" hidden="false" customHeight="true" outlineLevel="0" collapsed="false">
      <c r="A1962" s="25" t="s">
        <v>9</v>
      </c>
      <c r="B1962" s="26" t="s">
        <v>175</v>
      </c>
      <c r="C1962" s="27" t="s">
        <v>60</v>
      </c>
      <c r="D1962" s="28" t="n">
        <v>3</v>
      </c>
      <c r="E1962" s="28" t="n">
        <v>2</v>
      </c>
      <c r="F1962" s="29" t="n">
        <f aca="false">'📋 Matches'!E18</f>
        <v>0</v>
      </c>
      <c r="G1962" s="29" t="n">
        <f aca="false">'📋 Matches'!F18</f>
        <v>0</v>
      </c>
      <c r="H1962" s="22" t="str">
        <f aca="false">IF(AND(ISNUMBER(F1962),ISNUMBER(G1962)),IF(SIGN(D1962-E1962)=SIGN(F1962-G1962),48,0),"")</f>
        <v/>
      </c>
      <c r="I1962" s="22" t="str">
        <f aca="false">IF(AND(ISNUMBER(F1962),ISNUMBER(G1962)),IF(D1962=F1962,15,0),"")</f>
        <v/>
      </c>
      <c r="J1962" s="22" t="str">
        <f aca="false">IF(AND(ISNUMBER(F1962),ISNUMBER(G1962)),IF(E1962=G1962,15,0),"")</f>
        <v/>
      </c>
      <c r="K1962" s="22" t="str">
        <f aca="false">IF(AND(ISNUMBER(F1962),ISNUMBER(G1962)),IF(ABS(D1962-E1962)=ABS(F1962-G1962),12,0),"")</f>
        <v/>
      </c>
      <c r="L1962" s="23" t="str">
        <f aca="false">IF(ISNUMBER(H1962),H1962+I1962+J1962+K1962,"")</f>
        <v/>
      </c>
    </row>
    <row r="1963" customFormat="false" ht="18" hidden="false" customHeight="true" outlineLevel="0" collapsed="false">
      <c r="A1963" s="25" t="s">
        <v>9</v>
      </c>
      <c r="B1963" s="26" t="s">
        <v>175</v>
      </c>
      <c r="C1963" s="27" t="s">
        <v>63</v>
      </c>
      <c r="D1963" s="28" t="n">
        <v>0</v>
      </c>
      <c r="E1963" s="28" t="n">
        <v>3</v>
      </c>
      <c r="F1963" s="29" t="n">
        <f aca="false">'📋 Matches'!E19</f>
        <v>0</v>
      </c>
      <c r="G1963" s="29" t="n">
        <f aca="false">'📋 Matches'!F19</f>
        <v>0</v>
      </c>
      <c r="H1963" s="22" t="str">
        <f aca="false">IF(AND(ISNUMBER(F1963),ISNUMBER(G1963)),IF(SIGN(D1963-E1963)=SIGN(F1963-G1963),48,0),"")</f>
        <v/>
      </c>
      <c r="I1963" s="22" t="str">
        <f aca="false">IF(AND(ISNUMBER(F1963),ISNUMBER(G1963)),IF(D1963=F1963,15,0),"")</f>
        <v/>
      </c>
      <c r="J1963" s="22" t="str">
        <f aca="false">IF(AND(ISNUMBER(F1963),ISNUMBER(G1963)),IF(E1963=G1963,15,0),"")</f>
        <v/>
      </c>
      <c r="K1963" s="22" t="str">
        <f aca="false">IF(AND(ISNUMBER(F1963),ISNUMBER(G1963)),IF(ABS(D1963-E1963)=ABS(F1963-G1963),12,0),"")</f>
        <v/>
      </c>
      <c r="L1963" s="23" t="str">
        <f aca="false">IF(ISNUMBER(H1963),H1963+I1963+J1963+K1963,"")</f>
        <v/>
      </c>
    </row>
    <row r="1964" customFormat="false" ht="18" hidden="false" customHeight="true" outlineLevel="0" collapsed="false">
      <c r="A1964" s="25" t="s">
        <v>9</v>
      </c>
      <c r="B1964" s="26" t="s">
        <v>175</v>
      </c>
      <c r="C1964" s="27" t="s">
        <v>66</v>
      </c>
      <c r="D1964" s="28" t="n">
        <v>3</v>
      </c>
      <c r="E1964" s="28" t="n">
        <v>1</v>
      </c>
      <c r="F1964" s="29" t="n">
        <f aca="false">'📋 Matches'!E20</f>
        <v>0</v>
      </c>
      <c r="G1964" s="29" t="n">
        <f aca="false">'📋 Matches'!F20</f>
        <v>0</v>
      </c>
      <c r="H1964" s="22" t="str">
        <f aca="false">IF(AND(ISNUMBER(F1964),ISNUMBER(G1964)),IF(SIGN(D1964-E1964)=SIGN(F1964-G1964),48,0),"")</f>
        <v/>
      </c>
      <c r="I1964" s="22" t="str">
        <f aca="false">IF(AND(ISNUMBER(F1964),ISNUMBER(G1964)),IF(D1964=F1964,15,0),"")</f>
        <v/>
      </c>
      <c r="J1964" s="22" t="str">
        <f aca="false">IF(AND(ISNUMBER(F1964),ISNUMBER(G1964)),IF(E1964=G1964,15,0),"")</f>
        <v/>
      </c>
      <c r="K1964" s="22" t="str">
        <f aca="false">IF(AND(ISNUMBER(F1964),ISNUMBER(G1964)),IF(ABS(D1964-E1964)=ABS(F1964-G1964),12,0),"")</f>
        <v/>
      </c>
      <c r="L1964" s="23" t="str">
        <f aca="false">IF(ISNUMBER(H1964),H1964+I1964+J1964+K1964,"")</f>
        <v/>
      </c>
    </row>
    <row r="1965" customFormat="false" ht="18" hidden="false" customHeight="true" outlineLevel="0" collapsed="false">
      <c r="A1965" s="25" t="s">
        <v>9</v>
      </c>
      <c r="B1965" s="26" t="s">
        <v>175</v>
      </c>
      <c r="C1965" s="27" t="s">
        <v>69</v>
      </c>
      <c r="D1965" s="28" t="n">
        <v>1</v>
      </c>
      <c r="E1965" s="28" t="n">
        <v>2</v>
      </c>
      <c r="F1965" s="29" t="n">
        <f aca="false">'📋 Matches'!E21</f>
        <v>0</v>
      </c>
      <c r="G1965" s="29" t="n">
        <f aca="false">'📋 Matches'!F21</f>
        <v>0</v>
      </c>
      <c r="H1965" s="22" t="str">
        <f aca="false">IF(AND(ISNUMBER(F1965),ISNUMBER(G1965)),IF(SIGN(D1965-E1965)=SIGN(F1965-G1965),48,0),"")</f>
        <v/>
      </c>
      <c r="I1965" s="22" t="str">
        <f aca="false">IF(AND(ISNUMBER(F1965),ISNUMBER(G1965)),IF(D1965=F1965,15,0),"")</f>
        <v/>
      </c>
      <c r="J1965" s="22" t="str">
        <f aca="false">IF(AND(ISNUMBER(F1965),ISNUMBER(G1965)),IF(E1965=G1965,15,0),"")</f>
        <v/>
      </c>
      <c r="K1965" s="22" t="str">
        <f aca="false">IF(AND(ISNUMBER(F1965),ISNUMBER(G1965)),IF(ABS(D1965-E1965)=ABS(F1965-G1965),12,0),"")</f>
        <v/>
      </c>
      <c r="L1965" s="23" t="str">
        <f aca="false">IF(ISNUMBER(H1965),H1965+I1965+J1965+K1965,"")</f>
        <v/>
      </c>
    </row>
    <row r="1966" customFormat="false" ht="18" hidden="false" customHeight="true" outlineLevel="0" collapsed="false">
      <c r="A1966" s="25" t="s">
        <v>9</v>
      </c>
      <c r="B1966" s="26" t="s">
        <v>175</v>
      </c>
      <c r="C1966" s="27" t="s">
        <v>72</v>
      </c>
      <c r="D1966" s="28" t="n">
        <v>3</v>
      </c>
      <c r="E1966" s="28" t="n">
        <v>0</v>
      </c>
      <c r="F1966" s="29" t="n">
        <f aca="false">'📋 Matches'!E22</f>
        <v>0</v>
      </c>
      <c r="G1966" s="29" t="n">
        <f aca="false">'📋 Matches'!F22</f>
        <v>0</v>
      </c>
      <c r="H1966" s="22" t="str">
        <f aca="false">IF(AND(ISNUMBER(F1966),ISNUMBER(G1966)),IF(SIGN(D1966-E1966)=SIGN(F1966-G1966),48,0),"")</f>
        <v/>
      </c>
      <c r="I1966" s="22" t="str">
        <f aca="false">IF(AND(ISNUMBER(F1966),ISNUMBER(G1966)),IF(D1966=F1966,15,0),"")</f>
        <v/>
      </c>
      <c r="J1966" s="22" t="str">
        <f aca="false">IF(AND(ISNUMBER(F1966),ISNUMBER(G1966)),IF(E1966=G1966,15,0),"")</f>
        <v/>
      </c>
      <c r="K1966" s="22" t="str">
        <f aca="false">IF(AND(ISNUMBER(F1966),ISNUMBER(G1966)),IF(ABS(D1966-E1966)=ABS(F1966-G1966),12,0),"")</f>
        <v/>
      </c>
      <c r="L1966" s="23" t="str">
        <f aca="false">IF(ISNUMBER(H1966),H1966+I1966+J1966+K1966,"")</f>
        <v/>
      </c>
    </row>
    <row r="1967" customFormat="false" ht="18" hidden="false" customHeight="true" outlineLevel="0" collapsed="false">
      <c r="A1967" s="25" t="s">
        <v>9</v>
      </c>
      <c r="B1967" s="26" t="s">
        <v>175</v>
      </c>
      <c r="C1967" s="27" t="s">
        <v>75</v>
      </c>
      <c r="D1967" s="28" t="n">
        <v>3</v>
      </c>
      <c r="E1967" s="28" t="n">
        <v>2</v>
      </c>
      <c r="F1967" s="29" t="n">
        <f aca="false">'📋 Matches'!E23</f>
        <v>0</v>
      </c>
      <c r="G1967" s="29" t="n">
        <f aca="false">'📋 Matches'!F23</f>
        <v>0</v>
      </c>
      <c r="H1967" s="22" t="str">
        <f aca="false">IF(AND(ISNUMBER(F1967),ISNUMBER(G1967)),IF(SIGN(D1967-E1967)=SIGN(F1967-G1967),48,0),"")</f>
        <v/>
      </c>
      <c r="I1967" s="22" t="str">
        <f aca="false">IF(AND(ISNUMBER(F1967),ISNUMBER(G1967)),IF(D1967=F1967,15,0),"")</f>
        <v/>
      </c>
      <c r="J1967" s="22" t="str">
        <f aca="false">IF(AND(ISNUMBER(F1967),ISNUMBER(G1967)),IF(E1967=G1967,15,0),"")</f>
        <v/>
      </c>
      <c r="K1967" s="22" t="str">
        <f aca="false">IF(AND(ISNUMBER(F1967),ISNUMBER(G1967)),IF(ABS(D1967-E1967)=ABS(F1967-G1967),12,0),"")</f>
        <v/>
      </c>
      <c r="L1967" s="23" t="str">
        <f aca="false">IF(ISNUMBER(H1967),H1967+I1967+J1967+K1967,"")</f>
        <v/>
      </c>
    </row>
    <row r="1968" customFormat="false" ht="18" hidden="false" customHeight="true" outlineLevel="0" collapsed="false">
      <c r="A1968" s="25" t="s">
        <v>9</v>
      </c>
      <c r="B1968" s="26" t="s">
        <v>175</v>
      </c>
      <c r="C1968" s="27" t="s">
        <v>78</v>
      </c>
      <c r="D1968" s="28" t="n">
        <v>1</v>
      </c>
      <c r="E1968" s="28" t="n">
        <v>0</v>
      </c>
      <c r="F1968" s="29" t="n">
        <f aca="false">'📋 Matches'!E24</f>
        <v>0</v>
      </c>
      <c r="G1968" s="29" t="n">
        <f aca="false">'📋 Matches'!F24</f>
        <v>0</v>
      </c>
      <c r="H1968" s="22" t="str">
        <f aca="false">IF(AND(ISNUMBER(F1968),ISNUMBER(G1968)),IF(SIGN(D1968-E1968)=SIGN(F1968-G1968),48,0),"")</f>
        <v/>
      </c>
      <c r="I1968" s="22" t="str">
        <f aca="false">IF(AND(ISNUMBER(F1968),ISNUMBER(G1968)),IF(D1968=F1968,15,0),"")</f>
        <v/>
      </c>
      <c r="J1968" s="22" t="str">
        <f aca="false">IF(AND(ISNUMBER(F1968),ISNUMBER(G1968)),IF(E1968=G1968,15,0),"")</f>
        <v/>
      </c>
      <c r="K1968" s="22" t="str">
        <f aca="false">IF(AND(ISNUMBER(F1968),ISNUMBER(G1968)),IF(ABS(D1968-E1968)=ABS(F1968-G1968),12,0),"")</f>
        <v/>
      </c>
      <c r="L1968" s="23" t="str">
        <f aca="false">IF(ISNUMBER(H1968),H1968+I1968+J1968+K1968,"")</f>
        <v/>
      </c>
    </row>
    <row r="1969" customFormat="false" ht="18" hidden="false" customHeight="true" outlineLevel="0" collapsed="false">
      <c r="A1969" s="25" t="s">
        <v>9</v>
      </c>
      <c r="B1969" s="26" t="s">
        <v>175</v>
      </c>
      <c r="C1969" s="27" t="s">
        <v>81</v>
      </c>
      <c r="D1969" s="28" t="n">
        <v>1</v>
      </c>
      <c r="E1969" s="28" t="n">
        <v>2</v>
      </c>
      <c r="F1969" s="29" t="n">
        <f aca="false">'📋 Matches'!E25</f>
        <v>0</v>
      </c>
      <c r="G1969" s="29" t="n">
        <f aca="false">'📋 Matches'!F25</f>
        <v>0</v>
      </c>
      <c r="H1969" s="22" t="str">
        <f aca="false">IF(AND(ISNUMBER(F1969),ISNUMBER(G1969)),IF(SIGN(D1969-E1969)=SIGN(F1969-G1969),48,0),"")</f>
        <v/>
      </c>
      <c r="I1969" s="22" t="str">
        <f aca="false">IF(AND(ISNUMBER(F1969),ISNUMBER(G1969)),IF(D1969=F1969,15,0),"")</f>
        <v/>
      </c>
      <c r="J1969" s="22" t="str">
        <f aca="false">IF(AND(ISNUMBER(F1969),ISNUMBER(G1969)),IF(E1969=G1969,15,0),"")</f>
        <v/>
      </c>
      <c r="K1969" s="22" t="str">
        <f aca="false">IF(AND(ISNUMBER(F1969),ISNUMBER(G1969)),IF(ABS(D1969-E1969)=ABS(F1969-G1969),12,0),"")</f>
        <v/>
      </c>
      <c r="L1969" s="23" t="str">
        <f aca="false">IF(ISNUMBER(H1969),H1969+I1969+J1969+K1969,"")</f>
        <v/>
      </c>
    </row>
    <row r="1970" customFormat="false" ht="18" hidden="false" customHeight="true" outlineLevel="0" collapsed="false">
      <c r="A1970" s="25" t="s">
        <v>84</v>
      </c>
      <c r="B1970" s="26" t="s">
        <v>175</v>
      </c>
      <c r="C1970" s="27" t="s">
        <v>85</v>
      </c>
      <c r="D1970" s="28"/>
      <c r="E1970" s="28"/>
      <c r="F1970" s="29" t="n">
        <f aca="false">'📋 Matches'!E26</f>
        <v>0</v>
      </c>
      <c r="G1970" s="29" t="n">
        <f aca="false">'📋 Matches'!F26</f>
        <v>0</v>
      </c>
      <c r="H1970" s="30" t="s">
        <v>148</v>
      </c>
      <c r="I1970" s="30" t="s">
        <v>148</v>
      </c>
      <c r="J1970" s="30" t="s">
        <v>148</v>
      </c>
      <c r="K1970" s="30" t="s">
        <v>148</v>
      </c>
      <c r="L1970" s="30" t="s">
        <v>148</v>
      </c>
    </row>
    <row r="1971" customFormat="false" ht="18" hidden="false" customHeight="true" outlineLevel="0" collapsed="false">
      <c r="A1971" s="25" t="s">
        <v>84</v>
      </c>
      <c r="B1971" s="26" t="s">
        <v>175</v>
      </c>
      <c r="C1971" s="27" t="s">
        <v>87</v>
      </c>
      <c r="D1971" s="28"/>
      <c r="E1971" s="28"/>
      <c r="F1971" s="29" t="n">
        <f aca="false">'📋 Matches'!E27</f>
        <v>0</v>
      </c>
      <c r="G1971" s="29" t="n">
        <f aca="false">'📋 Matches'!F27</f>
        <v>0</v>
      </c>
      <c r="H1971" s="30" t="s">
        <v>148</v>
      </c>
      <c r="I1971" s="30" t="s">
        <v>148</v>
      </c>
      <c r="J1971" s="30" t="s">
        <v>148</v>
      </c>
      <c r="K1971" s="30" t="s">
        <v>148</v>
      </c>
      <c r="L1971" s="30" t="s">
        <v>148</v>
      </c>
    </row>
    <row r="1972" customFormat="false" ht="18" hidden="false" customHeight="true" outlineLevel="0" collapsed="false">
      <c r="A1972" s="25" t="s">
        <v>84</v>
      </c>
      <c r="B1972" s="26" t="s">
        <v>175</v>
      </c>
      <c r="C1972" s="27" t="s">
        <v>89</v>
      </c>
      <c r="D1972" s="28"/>
      <c r="E1972" s="28"/>
      <c r="F1972" s="29" t="n">
        <f aca="false">'📋 Matches'!E28</f>
        <v>0</v>
      </c>
      <c r="G1972" s="29" t="n">
        <f aca="false">'📋 Matches'!F28</f>
        <v>0</v>
      </c>
      <c r="H1972" s="30" t="s">
        <v>148</v>
      </c>
      <c r="I1972" s="30" t="s">
        <v>148</v>
      </c>
      <c r="J1972" s="30" t="s">
        <v>148</v>
      </c>
      <c r="K1972" s="30" t="s">
        <v>148</v>
      </c>
      <c r="L1972" s="30" t="s">
        <v>148</v>
      </c>
    </row>
    <row r="1973" customFormat="false" ht="18" hidden="false" customHeight="true" outlineLevel="0" collapsed="false">
      <c r="A1973" s="25" t="s">
        <v>84</v>
      </c>
      <c r="B1973" s="26" t="s">
        <v>175</v>
      </c>
      <c r="C1973" s="27" t="s">
        <v>90</v>
      </c>
      <c r="D1973" s="28"/>
      <c r="E1973" s="28"/>
      <c r="F1973" s="29" t="n">
        <f aca="false">'📋 Matches'!E29</f>
        <v>0</v>
      </c>
      <c r="G1973" s="29" t="n">
        <f aca="false">'📋 Matches'!F29</f>
        <v>0</v>
      </c>
      <c r="H1973" s="30" t="s">
        <v>148</v>
      </c>
      <c r="I1973" s="30" t="s">
        <v>148</v>
      </c>
      <c r="J1973" s="30" t="s">
        <v>148</v>
      </c>
      <c r="K1973" s="30" t="s">
        <v>148</v>
      </c>
      <c r="L1973" s="30" t="s">
        <v>148</v>
      </c>
    </row>
    <row r="1974" customFormat="false" ht="18" hidden="false" customHeight="true" outlineLevel="0" collapsed="false">
      <c r="A1974" s="25" t="s">
        <v>84</v>
      </c>
      <c r="B1974" s="26" t="s">
        <v>175</v>
      </c>
      <c r="C1974" s="27" t="s">
        <v>91</v>
      </c>
      <c r="D1974" s="28"/>
      <c r="E1974" s="28"/>
      <c r="F1974" s="29" t="n">
        <f aca="false">'📋 Matches'!E30</f>
        <v>0</v>
      </c>
      <c r="G1974" s="29" t="n">
        <f aca="false">'📋 Matches'!F30</f>
        <v>0</v>
      </c>
      <c r="H1974" s="30" t="s">
        <v>148</v>
      </c>
      <c r="I1974" s="30" t="s">
        <v>148</v>
      </c>
      <c r="J1974" s="30" t="s">
        <v>148</v>
      </c>
      <c r="K1974" s="30" t="s">
        <v>148</v>
      </c>
      <c r="L1974" s="30" t="s">
        <v>148</v>
      </c>
    </row>
    <row r="1975" customFormat="false" ht="18" hidden="false" customHeight="true" outlineLevel="0" collapsed="false">
      <c r="A1975" s="25" t="s">
        <v>84</v>
      </c>
      <c r="B1975" s="26" t="s">
        <v>175</v>
      </c>
      <c r="C1975" s="27" t="s">
        <v>92</v>
      </c>
      <c r="D1975" s="28"/>
      <c r="E1975" s="28"/>
      <c r="F1975" s="29" t="n">
        <f aca="false">'📋 Matches'!E31</f>
        <v>0</v>
      </c>
      <c r="G1975" s="29" t="n">
        <f aca="false">'📋 Matches'!F31</f>
        <v>0</v>
      </c>
      <c r="H1975" s="30" t="s">
        <v>148</v>
      </c>
      <c r="I1975" s="30" t="s">
        <v>148</v>
      </c>
      <c r="J1975" s="30" t="s">
        <v>148</v>
      </c>
      <c r="K1975" s="30" t="s">
        <v>148</v>
      </c>
      <c r="L1975" s="30" t="s">
        <v>148</v>
      </c>
    </row>
    <row r="1976" customFormat="false" ht="18" hidden="false" customHeight="true" outlineLevel="0" collapsed="false">
      <c r="A1976" s="25" t="s">
        <v>84</v>
      </c>
      <c r="B1976" s="26" t="s">
        <v>175</v>
      </c>
      <c r="C1976" s="27" t="s">
        <v>93</v>
      </c>
      <c r="D1976" s="28"/>
      <c r="E1976" s="28"/>
      <c r="F1976" s="29" t="n">
        <f aca="false">'📋 Matches'!E32</f>
        <v>0</v>
      </c>
      <c r="G1976" s="29" t="n">
        <f aca="false">'📋 Matches'!F32</f>
        <v>0</v>
      </c>
      <c r="H1976" s="30" t="s">
        <v>148</v>
      </c>
      <c r="I1976" s="30" t="s">
        <v>148</v>
      </c>
      <c r="J1976" s="30" t="s">
        <v>148</v>
      </c>
      <c r="K1976" s="30" t="s">
        <v>148</v>
      </c>
      <c r="L1976" s="30" t="s">
        <v>148</v>
      </c>
    </row>
    <row r="1977" customFormat="false" ht="18" hidden="false" customHeight="true" outlineLevel="0" collapsed="false">
      <c r="A1977" s="25" t="s">
        <v>84</v>
      </c>
      <c r="B1977" s="26" t="s">
        <v>175</v>
      </c>
      <c r="C1977" s="27" t="s">
        <v>94</v>
      </c>
      <c r="D1977" s="28"/>
      <c r="E1977" s="28"/>
      <c r="F1977" s="29" t="n">
        <f aca="false">'📋 Matches'!E33</f>
        <v>0</v>
      </c>
      <c r="G1977" s="29" t="n">
        <f aca="false">'📋 Matches'!F33</f>
        <v>0</v>
      </c>
      <c r="H1977" s="30" t="s">
        <v>148</v>
      </c>
      <c r="I1977" s="30" t="s">
        <v>148</v>
      </c>
      <c r="J1977" s="30" t="s">
        <v>148</v>
      </c>
      <c r="K1977" s="30" t="s">
        <v>148</v>
      </c>
      <c r="L1977" s="30" t="s">
        <v>148</v>
      </c>
    </row>
    <row r="1978" customFormat="false" ht="18" hidden="false" customHeight="true" outlineLevel="0" collapsed="false">
      <c r="A1978" s="25" t="s">
        <v>84</v>
      </c>
      <c r="B1978" s="26" t="s">
        <v>175</v>
      </c>
      <c r="C1978" s="27" t="s">
        <v>96</v>
      </c>
      <c r="D1978" s="28"/>
      <c r="E1978" s="28"/>
      <c r="F1978" s="29" t="n">
        <f aca="false">'📋 Matches'!E34</f>
        <v>0</v>
      </c>
      <c r="G1978" s="29" t="n">
        <f aca="false">'📋 Matches'!F34</f>
        <v>0</v>
      </c>
      <c r="H1978" s="30" t="s">
        <v>148</v>
      </c>
      <c r="I1978" s="30" t="s">
        <v>148</v>
      </c>
      <c r="J1978" s="30" t="s">
        <v>148</v>
      </c>
      <c r="K1978" s="30" t="s">
        <v>148</v>
      </c>
      <c r="L1978" s="30" t="s">
        <v>148</v>
      </c>
    </row>
    <row r="1979" customFormat="false" ht="18" hidden="false" customHeight="true" outlineLevel="0" collapsed="false">
      <c r="A1979" s="25" t="s">
        <v>84</v>
      </c>
      <c r="B1979" s="26" t="s">
        <v>175</v>
      </c>
      <c r="C1979" s="27" t="s">
        <v>97</v>
      </c>
      <c r="D1979" s="28"/>
      <c r="E1979" s="28"/>
      <c r="F1979" s="29" t="n">
        <f aca="false">'📋 Matches'!E35</f>
        <v>0</v>
      </c>
      <c r="G1979" s="29" t="n">
        <f aca="false">'📋 Matches'!F35</f>
        <v>0</v>
      </c>
      <c r="H1979" s="30" t="s">
        <v>148</v>
      </c>
      <c r="I1979" s="30" t="s">
        <v>148</v>
      </c>
      <c r="J1979" s="30" t="s">
        <v>148</v>
      </c>
      <c r="K1979" s="30" t="s">
        <v>148</v>
      </c>
      <c r="L1979" s="30" t="s">
        <v>148</v>
      </c>
    </row>
    <row r="1980" customFormat="false" ht="18" hidden="false" customHeight="true" outlineLevel="0" collapsed="false">
      <c r="A1980" s="25" t="s">
        <v>84</v>
      </c>
      <c r="B1980" s="26" t="s">
        <v>175</v>
      </c>
      <c r="C1980" s="27" t="s">
        <v>98</v>
      </c>
      <c r="D1980" s="28"/>
      <c r="E1980" s="28"/>
      <c r="F1980" s="29" t="n">
        <f aca="false">'📋 Matches'!E36</f>
        <v>0</v>
      </c>
      <c r="G1980" s="29" t="n">
        <f aca="false">'📋 Matches'!F36</f>
        <v>0</v>
      </c>
      <c r="H1980" s="30" t="s">
        <v>148</v>
      </c>
      <c r="I1980" s="30" t="s">
        <v>148</v>
      </c>
      <c r="J1980" s="30" t="s">
        <v>148</v>
      </c>
      <c r="K1980" s="30" t="s">
        <v>148</v>
      </c>
      <c r="L1980" s="30" t="s">
        <v>148</v>
      </c>
    </row>
    <row r="1981" customFormat="false" ht="18" hidden="false" customHeight="true" outlineLevel="0" collapsed="false">
      <c r="A1981" s="25" t="s">
        <v>84</v>
      </c>
      <c r="B1981" s="26" t="s">
        <v>175</v>
      </c>
      <c r="C1981" s="27" t="s">
        <v>100</v>
      </c>
      <c r="D1981" s="28"/>
      <c r="E1981" s="28"/>
      <c r="F1981" s="29" t="n">
        <f aca="false">'📋 Matches'!E37</f>
        <v>0</v>
      </c>
      <c r="G1981" s="29" t="n">
        <f aca="false">'📋 Matches'!F37</f>
        <v>0</v>
      </c>
      <c r="H1981" s="30" t="s">
        <v>148</v>
      </c>
      <c r="I1981" s="30" t="s">
        <v>148</v>
      </c>
      <c r="J1981" s="30" t="s">
        <v>148</v>
      </c>
      <c r="K1981" s="30" t="s">
        <v>148</v>
      </c>
      <c r="L1981" s="30" t="s">
        <v>148</v>
      </c>
    </row>
    <row r="1982" customFormat="false" ht="18" hidden="false" customHeight="true" outlineLevel="0" collapsed="false">
      <c r="A1982" s="25" t="s">
        <v>84</v>
      </c>
      <c r="B1982" s="26" t="s">
        <v>175</v>
      </c>
      <c r="C1982" s="27" t="s">
        <v>101</v>
      </c>
      <c r="D1982" s="28"/>
      <c r="E1982" s="28"/>
      <c r="F1982" s="29" t="n">
        <f aca="false">'📋 Matches'!E38</f>
        <v>0</v>
      </c>
      <c r="G1982" s="29" t="n">
        <f aca="false">'📋 Matches'!F38</f>
        <v>0</v>
      </c>
      <c r="H1982" s="30" t="s">
        <v>148</v>
      </c>
      <c r="I1982" s="30" t="s">
        <v>148</v>
      </c>
      <c r="J1982" s="30" t="s">
        <v>148</v>
      </c>
      <c r="K1982" s="30" t="s">
        <v>148</v>
      </c>
      <c r="L1982" s="30" t="s">
        <v>148</v>
      </c>
    </row>
    <row r="1983" customFormat="false" ht="18" hidden="false" customHeight="true" outlineLevel="0" collapsed="false">
      <c r="A1983" s="25" t="s">
        <v>84</v>
      </c>
      <c r="B1983" s="26" t="s">
        <v>175</v>
      </c>
      <c r="C1983" s="27" t="s">
        <v>102</v>
      </c>
      <c r="D1983" s="28"/>
      <c r="E1983" s="28"/>
      <c r="F1983" s="29" t="n">
        <f aca="false">'📋 Matches'!E39</f>
        <v>0</v>
      </c>
      <c r="G1983" s="29" t="n">
        <f aca="false">'📋 Matches'!F39</f>
        <v>0</v>
      </c>
      <c r="H1983" s="30" t="s">
        <v>148</v>
      </c>
      <c r="I1983" s="30" t="s">
        <v>148</v>
      </c>
      <c r="J1983" s="30" t="s">
        <v>148</v>
      </c>
      <c r="K1983" s="30" t="s">
        <v>148</v>
      </c>
      <c r="L1983" s="30" t="s">
        <v>148</v>
      </c>
    </row>
    <row r="1984" customFormat="false" ht="18" hidden="false" customHeight="true" outlineLevel="0" collapsed="false">
      <c r="A1984" s="25" t="s">
        <v>84</v>
      </c>
      <c r="B1984" s="26" t="s">
        <v>175</v>
      </c>
      <c r="C1984" s="27" t="s">
        <v>103</v>
      </c>
      <c r="D1984" s="28"/>
      <c r="E1984" s="28"/>
      <c r="F1984" s="29" t="n">
        <f aca="false">'📋 Matches'!E40</f>
        <v>0</v>
      </c>
      <c r="G1984" s="29" t="n">
        <f aca="false">'📋 Matches'!F40</f>
        <v>0</v>
      </c>
      <c r="H1984" s="30" t="s">
        <v>148</v>
      </c>
      <c r="I1984" s="30" t="s">
        <v>148</v>
      </c>
      <c r="J1984" s="30" t="s">
        <v>148</v>
      </c>
      <c r="K1984" s="30" t="s">
        <v>148</v>
      </c>
      <c r="L1984" s="30" t="s">
        <v>148</v>
      </c>
    </row>
    <row r="1985" customFormat="false" ht="18" hidden="false" customHeight="true" outlineLevel="0" collapsed="false">
      <c r="A1985" s="25" t="s">
        <v>84</v>
      </c>
      <c r="B1985" s="26" t="s">
        <v>175</v>
      </c>
      <c r="C1985" s="27" t="s">
        <v>104</v>
      </c>
      <c r="D1985" s="28"/>
      <c r="E1985" s="28"/>
      <c r="F1985" s="29" t="n">
        <f aca="false">'📋 Matches'!E41</f>
        <v>0</v>
      </c>
      <c r="G1985" s="29" t="n">
        <f aca="false">'📋 Matches'!F41</f>
        <v>0</v>
      </c>
      <c r="H1985" s="30" t="s">
        <v>148</v>
      </c>
      <c r="I1985" s="30" t="s">
        <v>148</v>
      </c>
      <c r="J1985" s="30" t="s">
        <v>148</v>
      </c>
      <c r="K1985" s="30" t="s">
        <v>148</v>
      </c>
      <c r="L1985" s="30" t="s">
        <v>148</v>
      </c>
    </row>
    <row r="1986" customFormat="false" ht="18" hidden="false" customHeight="true" outlineLevel="0" collapsed="false">
      <c r="A1986" s="25" t="s">
        <v>84</v>
      </c>
      <c r="B1986" s="26" t="s">
        <v>175</v>
      </c>
      <c r="C1986" s="27" t="s">
        <v>105</v>
      </c>
      <c r="D1986" s="28"/>
      <c r="E1986" s="28"/>
      <c r="F1986" s="29" t="n">
        <f aca="false">'📋 Matches'!E42</f>
        <v>0</v>
      </c>
      <c r="G1986" s="29" t="n">
        <f aca="false">'📋 Matches'!F42</f>
        <v>0</v>
      </c>
      <c r="H1986" s="30" t="s">
        <v>148</v>
      </c>
      <c r="I1986" s="30" t="s">
        <v>148</v>
      </c>
      <c r="J1986" s="30" t="s">
        <v>148</v>
      </c>
      <c r="K1986" s="30" t="s">
        <v>148</v>
      </c>
      <c r="L1986" s="30" t="s">
        <v>148</v>
      </c>
    </row>
    <row r="1987" customFormat="false" ht="18" hidden="false" customHeight="true" outlineLevel="0" collapsed="false">
      <c r="A1987" s="25" t="s">
        <v>84</v>
      </c>
      <c r="B1987" s="26" t="s">
        <v>175</v>
      </c>
      <c r="C1987" s="27" t="s">
        <v>106</v>
      </c>
      <c r="D1987" s="28"/>
      <c r="E1987" s="28"/>
      <c r="F1987" s="29" t="n">
        <f aca="false">'📋 Matches'!E43</f>
        <v>0</v>
      </c>
      <c r="G1987" s="29" t="n">
        <f aca="false">'📋 Matches'!F43</f>
        <v>0</v>
      </c>
      <c r="H1987" s="30" t="s">
        <v>148</v>
      </c>
      <c r="I1987" s="30" t="s">
        <v>148</v>
      </c>
      <c r="J1987" s="30" t="s">
        <v>148</v>
      </c>
      <c r="K1987" s="30" t="s">
        <v>148</v>
      </c>
      <c r="L1987" s="30" t="s">
        <v>148</v>
      </c>
    </row>
    <row r="1988" customFormat="false" ht="18" hidden="false" customHeight="true" outlineLevel="0" collapsed="false">
      <c r="A1988" s="25" t="s">
        <v>84</v>
      </c>
      <c r="B1988" s="26" t="s">
        <v>175</v>
      </c>
      <c r="C1988" s="27" t="s">
        <v>107</v>
      </c>
      <c r="D1988" s="28"/>
      <c r="E1988" s="28"/>
      <c r="F1988" s="29" t="n">
        <f aca="false">'📋 Matches'!E44</f>
        <v>0</v>
      </c>
      <c r="G1988" s="29" t="n">
        <f aca="false">'📋 Matches'!F44</f>
        <v>0</v>
      </c>
      <c r="H1988" s="30" t="s">
        <v>148</v>
      </c>
      <c r="I1988" s="30" t="s">
        <v>148</v>
      </c>
      <c r="J1988" s="30" t="s">
        <v>148</v>
      </c>
      <c r="K1988" s="30" t="s">
        <v>148</v>
      </c>
      <c r="L1988" s="30" t="s">
        <v>148</v>
      </c>
    </row>
    <row r="1989" customFormat="false" ht="18" hidden="false" customHeight="true" outlineLevel="0" collapsed="false">
      <c r="A1989" s="25" t="s">
        <v>84</v>
      </c>
      <c r="B1989" s="26" t="s">
        <v>175</v>
      </c>
      <c r="C1989" s="27" t="s">
        <v>108</v>
      </c>
      <c r="D1989" s="28"/>
      <c r="E1989" s="28"/>
      <c r="F1989" s="29" t="n">
        <f aca="false">'📋 Matches'!E45</f>
        <v>0</v>
      </c>
      <c r="G1989" s="29" t="n">
        <f aca="false">'📋 Matches'!F45</f>
        <v>0</v>
      </c>
      <c r="H1989" s="30" t="s">
        <v>148</v>
      </c>
      <c r="I1989" s="30" t="s">
        <v>148</v>
      </c>
      <c r="J1989" s="30" t="s">
        <v>148</v>
      </c>
      <c r="K1989" s="30" t="s">
        <v>148</v>
      </c>
      <c r="L1989" s="30" t="s">
        <v>148</v>
      </c>
    </row>
    <row r="1990" customFormat="false" ht="18" hidden="false" customHeight="true" outlineLevel="0" collapsed="false">
      <c r="A1990" s="25" t="s">
        <v>84</v>
      </c>
      <c r="B1990" s="26" t="s">
        <v>175</v>
      </c>
      <c r="C1990" s="27" t="s">
        <v>109</v>
      </c>
      <c r="D1990" s="28"/>
      <c r="E1990" s="28"/>
      <c r="F1990" s="29" t="n">
        <f aca="false">'📋 Matches'!E46</f>
        <v>0</v>
      </c>
      <c r="G1990" s="29" t="n">
        <f aca="false">'📋 Matches'!F46</f>
        <v>0</v>
      </c>
      <c r="H1990" s="30" t="s">
        <v>148</v>
      </c>
      <c r="I1990" s="30" t="s">
        <v>148</v>
      </c>
      <c r="J1990" s="30" t="s">
        <v>148</v>
      </c>
      <c r="K1990" s="30" t="s">
        <v>148</v>
      </c>
      <c r="L1990" s="30" t="s">
        <v>148</v>
      </c>
    </row>
    <row r="1991" customFormat="false" ht="18" hidden="false" customHeight="true" outlineLevel="0" collapsed="false">
      <c r="A1991" s="25" t="s">
        <v>84</v>
      </c>
      <c r="B1991" s="26" t="s">
        <v>175</v>
      </c>
      <c r="C1991" s="27" t="s">
        <v>110</v>
      </c>
      <c r="D1991" s="28"/>
      <c r="E1991" s="28"/>
      <c r="F1991" s="29" t="n">
        <f aca="false">'📋 Matches'!E47</f>
        <v>0</v>
      </c>
      <c r="G1991" s="29" t="n">
        <f aca="false">'📋 Matches'!F47</f>
        <v>0</v>
      </c>
      <c r="H1991" s="30" t="s">
        <v>148</v>
      </c>
      <c r="I1991" s="30" t="s">
        <v>148</v>
      </c>
      <c r="J1991" s="30" t="s">
        <v>148</v>
      </c>
      <c r="K1991" s="30" t="s">
        <v>148</v>
      </c>
      <c r="L1991" s="30" t="s">
        <v>148</v>
      </c>
    </row>
    <row r="1992" customFormat="false" ht="18" hidden="false" customHeight="true" outlineLevel="0" collapsed="false">
      <c r="A1992" s="25" t="s">
        <v>84</v>
      </c>
      <c r="B1992" s="26" t="s">
        <v>175</v>
      </c>
      <c r="C1992" s="27" t="s">
        <v>111</v>
      </c>
      <c r="D1992" s="28"/>
      <c r="E1992" s="28"/>
      <c r="F1992" s="29" t="n">
        <f aca="false">'📋 Matches'!E48</f>
        <v>0</v>
      </c>
      <c r="G1992" s="29" t="n">
        <f aca="false">'📋 Matches'!F48</f>
        <v>0</v>
      </c>
      <c r="H1992" s="30" t="s">
        <v>148</v>
      </c>
      <c r="I1992" s="30" t="s">
        <v>148</v>
      </c>
      <c r="J1992" s="30" t="s">
        <v>148</v>
      </c>
      <c r="K1992" s="30" t="s">
        <v>148</v>
      </c>
      <c r="L1992" s="30" t="s">
        <v>148</v>
      </c>
    </row>
    <row r="1993" customFormat="false" ht="18" hidden="false" customHeight="true" outlineLevel="0" collapsed="false">
      <c r="A1993" s="25" t="s">
        <v>84</v>
      </c>
      <c r="B1993" s="26" t="s">
        <v>175</v>
      </c>
      <c r="C1993" s="27" t="s">
        <v>112</v>
      </c>
      <c r="D1993" s="28"/>
      <c r="E1993" s="28"/>
      <c r="F1993" s="29" t="n">
        <f aca="false">'📋 Matches'!E49</f>
        <v>0</v>
      </c>
      <c r="G1993" s="29" t="n">
        <f aca="false">'📋 Matches'!F49</f>
        <v>0</v>
      </c>
      <c r="H1993" s="30" t="s">
        <v>148</v>
      </c>
      <c r="I1993" s="30" t="s">
        <v>148</v>
      </c>
      <c r="J1993" s="30" t="s">
        <v>148</v>
      </c>
      <c r="K1993" s="30" t="s">
        <v>148</v>
      </c>
      <c r="L1993" s="30" t="s">
        <v>148</v>
      </c>
    </row>
    <row r="1994" customFormat="false" ht="18" hidden="false" customHeight="true" outlineLevel="0" collapsed="false">
      <c r="A1994" s="25" t="s">
        <v>114</v>
      </c>
      <c r="B1994" s="26" t="s">
        <v>175</v>
      </c>
      <c r="C1994" s="27" t="s">
        <v>115</v>
      </c>
      <c r="D1994" s="28"/>
      <c r="E1994" s="28"/>
      <c r="F1994" s="29" t="n">
        <f aca="false">'📋 Matches'!E50</f>
        <v>0</v>
      </c>
      <c r="G1994" s="29" t="n">
        <f aca="false">'📋 Matches'!F50</f>
        <v>0</v>
      </c>
      <c r="H1994" s="30" t="s">
        <v>148</v>
      </c>
      <c r="I1994" s="30" t="s">
        <v>148</v>
      </c>
      <c r="J1994" s="30" t="s">
        <v>148</v>
      </c>
      <c r="K1994" s="30" t="s">
        <v>148</v>
      </c>
      <c r="L1994" s="30" t="s">
        <v>148</v>
      </c>
    </row>
    <row r="1995" customFormat="false" ht="18" hidden="false" customHeight="true" outlineLevel="0" collapsed="false">
      <c r="A1995" s="25" t="s">
        <v>114</v>
      </c>
      <c r="B1995" s="26" t="s">
        <v>175</v>
      </c>
      <c r="C1995" s="27" t="s">
        <v>116</v>
      </c>
      <c r="D1995" s="28"/>
      <c r="E1995" s="28"/>
      <c r="F1995" s="29" t="n">
        <f aca="false">'📋 Matches'!E51</f>
        <v>0</v>
      </c>
      <c r="G1995" s="29" t="n">
        <f aca="false">'📋 Matches'!F51</f>
        <v>0</v>
      </c>
      <c r="H1995" s="30" t="s">
        <v>148</v>
      </c>
      <c r="I1995" s="30" t="s">
        <v>148</v>
      </c>
      <c r="J1995" s="30" t="s">
        <v>148</v>
      </c>
      <c r="K1995" s="30" t="s">
        <v>148</v>
      </c>
      <c r="L1995" s="30" t="s">
        <v>148</v>
      </c>
    </row>
    <row r="1996" customFormat="false" ht="18" hidden="false" customHeight="true" outlineLevel="0" collapsed="false">
      <c r="A1996" s="25" t="s">
        <v>114</v>
      </c>
      <c r="B1996" s="26" t="s">
        <v>175</v>
      </c>
      <c r="C1996" s="27" t="s">
        <v>117</v>
      </c>
      <c r="D1996" s="28"/>
      <c r="E1996" s="28"/>
      <c r="F1996" s="29" t="n">
        <f aca="false">'📋 Matches'!E52</f>
        <v>0</v>
      </c>
      <c r="G1996" s="29" t="n">
        <f aca="false">'📋 Matches'!F52</f>
        <v>0</v>
      </c>
      <c r="H1996" s="30" t="s">
        <v>148</v>
      </c>
      <c r="I1996" s="30" t="s">
        <v>148</v>
      </c>
      <c r="J1996" s="30" t="s">
        <v>148</v>
      </c>
      <c r="K1996" s="30" t="s">
        <v>148</v>
      </c>
      <c r="L1996" s="30" t="s">
        <v>148</v>
      </c>
    </row>
    <row r="1997" customFormat="false" ht="18" hidden="false" customHeight="true" outlineLevel="0" collapsed="false">
      <c r="A1997" s="25" t="s">
        <v>114</v>
      </c>
      <c r="B1997" s="26" t="s">
        <v>175</v>
      </c>
      <c r="C1997" s="27" t="s">
        <v>118</v>
      </c>
      <c r="D1997" s="28"/>
      <c r="E1997" s="28"/>
      <c r="F1997" s="29" t="n">
        <f aca="false">'📋 Matches'!E53</f>
        <v>0</v>
      </c>
      <c r="G1997" s="29" t="n">
        <f aca="false">'📋 Matches'!F53</f>
        <v>0</v>
      </c>
      <c r="H1997" s="30" t="s">
        <v>148</v>
      </c>
      <c r="I1997" s="30" t="s">
        <v>148</v>
      </c>
      <c r="J1997" s="30" t="s">
        <v>148</v>
      </c>
      <c r="K1997" s="30" t="s">
        <v>148</v>
      </c>
      <c r="L1997" s="30" t="s">
        <v>148</v>
      </c>
    </row>
    <row r="1998" customFormat="false" ht="18" hidden="false" customHeight="true" outlineLevel="0" collapsed="false">
      <c r="A1998" s="25" t="s">
        <v>114</v>
      </c>
      <c r="B1998" s="26" t="s">
        <v>175</v>
      </c>
      <c r="C1998" s="27" t="s">
        <v>119</v>
      </c>
      <c r="D1998" s="28"/>
      <c r="E1998" s="28"/>
      <c r="F1998" s="29" t="n">
        <f aca="false">'📋 Matches'!E54</f>
        <v>0</v>
      </c>
      <c r="G1998" s="29" t="n">
        <f aca="false">'📋 Matches'!F54</f>
        <v>0</v>
      </c>
      <c r="H1998" s="30" t="s">
        <v>148</v>
      </c>
      <c r="I1998" s="30" t="s">
        <v>148</v>
      </c>
      <c r="J1998" s="30" t="s">
        <v>148</v>
      </c>
      <c r="K1998" s="30" t="s">
        <v>148</v>
      </c>
      <c r="L1998" s="30" t="s">
        <v>148</v>
      </c>
    </row>
    <row r="1999" customFormat="false" ht="18" hidden="false" customHeight="true" outlineLevel="0" collapsed="false">
      <c r="A1999" s="25" t="s">
        <v>114</v>
      </c>
      <c r="B1999" s="26" t="s">
        <v>175</v>
      </c>
      <c r="C1999" s="27" t="s">
        <v>120</v>
      </c>
      <c r="D1999" s="28"/>
      <c r="E1999" s="28"/>
      <c r="F1999" s="29" t="n">
        <f aca="false">'📋 Matches'!E55</f>
        <v>0</v>
      </c>
      <c r="G1999" s="29" t="n">
        <f aca="false">'📋 Matches'!F55</f>
        <v>0</v>
      </c>
      <c r="H1999" s="30" t="s">
        <v>148</v>
      </c>
      <c r="I1999" s="30" t="s">
        <v>148</v>
      </c>
      <c r="J1999" s="30" t="s">
        <v>148</v>
      </c>
      <c r="K1999" s="30" t="s">
        <v>148</v>
      </c>
      <c r="L1999" s="30" t="s">
        <v>148</v>
      </c>
    </row>
    <row r="2000" customFormat="false" ht="18" hidden="false" customHeight="true" outlineLevel="0" collapsed="false">
      <c r="A2000" s="25" t="s">
        <v>114</v>
      </c>
      <c r="B2000" s="26" t="s">
        <v>175</v>
      </c>
      <c r="C2000" s="27" t="s">
        <v>121</v>
      </c>
      <c r="D2000" s="28"/>
      <c r="E2000" s="28"/>
      <c r="F2000" s="29" t="n">
        <f aca="false">'📋 Matches'!E56</f>
        <v>0</v>
      </c>
      <c r="G2000" s="29" t="n">
        <f aca="false">'📋 Matches'!F56</f>
        <v>0</v>
      </c>
      <c r="H2000" s="30" t="s">
        <v>148</v>
      </c>
      <c r="I2000" s="30" t="s">
        <v>148</v>
      </c>
      <c r="J2000" s="30" t="s">
        <v>148</v>
      </c>
      <c r="K2000" s="30" t="s">
        <v>148</v>
      </c>
      <c r="L2000" s="30" t="s">
        <v>148</v>
      </c>
    </row>
    <row r="2001" customFormat="false" ht="18" hidden="false" customHeight="true" outlineLevel="0" collapsed="false">
      <c r="A2001" s="25" t="s">
        <v>114</v>
      </c>
      <c r="B2001" s="26" t="s">
        <v>175</v>
      </c>
      <c r="C2001" s="27" t="s">
        <v>122</v>
      </c>
      <c r="D2001" s="28"/>
      <c r="E2001" s="28"/>
      <c r="F2001" s="29" t="n">
        <f aca="false">'📋 Matches'!E57</f>
        <v>0</v>
      </c>
      <c r="G2001" s="29" t="n">
        <f aca="false">'📋 Matches'!F57</f>
        <v>0</v>
      </c>
      <c r="H2001" s="30" t="s">
        <v>148</v>
      </c>
      <c r="I2001" s="30" t="s">
        <v>148</v>
      </c>
      <c r="J2001" s="30" t="s">
        <v>148</v>
      </c>
      <c r="K2001" s="30" t="s">
        <v>148</v>
      </c>
      <c r="L2001" s="30" t="s">
        <v>148</v>
      </c>
    </row>
    <row r="2002" customFormat="false" ht="18" hidden="false" customHeight="true" outlineLevel="0" collapsed="false">
      <c r="A2002" s="25" t="s">
        <v>114</v>
      </c>
      <c r="B2002" s="26" t="s">
        <v>175</v>
      </c>
      <c r="C2002" s="27" t="s">
        <v>123</v>
      </c>
      <c r="D2002" s="28"/>
      <c r="E2002" s="28"/>
      <c r="F2002" s="29" t="n">
        <f aca="false">'📋 Matches'!E58</f>
        <v>0</v>
      </c>
      <c r="G2002" s="29" t="n">
        <f aca="false">'📋 Matches'!F58</f>
        <v>0</v>
      </c>
      <c r="H2002" s="30" t="s">
        <v>148</v>
      </c>
      <c r="I2002" s="30" t="s">
        <v>148</v>
      </c>
      <c r="J2002" s="30" t="s">
        <v>148</v>
      </c>
      <c r="K2002" s="30" t="s">
        <v>148</v>
      </c>
      <c r="L2002" s="30" t="s">
        <v>148</v>
      </c>
    </row>
    <row r="2003" customFormat="false" ht="18" hidden="false" customHeight="true" outlineLevel="0" collapsed="false">
      <c r="A2003" s="25" t="s">
        <v>114</v>
      </c>
      <c r="B2003" s="26" t="s">
        <v>175</v>
      </c>
      <c r="C2003" s="27" t="s">
        <v>124</v>
      </c>
      <c r="D2003" s="28"/>
      <c r="E2003" s="28"/>
      <c r="F2003" s="29" t="n">
        <f aca="false">'📋 Matches'!E59</f>
        <v>0</v>
      </c>
      <c r="G2003" s="29" t="n">
        <f aca="false">'📋 Matches'!F59</f>
        <v>0</v>
      </c>
      <c r="H2003" s="30" t="s">
        <v>148</v>
      </c>
      <c r="I2003" s="30" t="s">
        <v>148</v>
      </c>
      <c r="J2003" s="30" t="s">
        <v>148</v>
      </c>
      <c r="K2003" s="30" t="s">
        <v>148</v>
      </c>
      <c r="L2003" s="30" t="s">
        <v>148</v>
      </c>
    </row>
    <row r="2004" customFormat="false" ht="18" hidden="false" customHeight="true" outlineLevel="0" collapsed="false">
      <c r="A2004" s="25" t="s">
        <v>114</v>
      </c>
      <c r="B2004" s="26" t="s">
        <v>175</v>
      </c>
      <c r="C2004" s="27" t="s">
        <v>125</v>
      </c>
      <c r="D2004" s="28"/>
      <c r="E2004" s="28"/>
      <c r="F2004" s="29" t="n">
        <f aca="false">'📋 Matches'!E60</f>
        <v>0</v>
      </c>
      <c r="G2004" s="29" t="n">
        <f aca="false">'📋 Matches'!F60</f>
        <v>0</v>
      </c>
      <c r="H2004" s="30" t="s">
        <v>148</v>
      </c>
      <c r="I2004" s="30" t="s">
        <v>148</v>
      </c>
      <c r="J2004" s="30" t="s">
        <v>148</v>
      </c>
      <c r="K2004" s="30" t="s">
        <v>148</v>
      </c>
      <c r="L2004" s="30" t="s">
        <v>148</v>
      </c>
    </row>
    <row r="2005" customFormat="false" ht="18" hidden="false" customHeight="true" outlineLevel="0" collapsed="false">
      <c r="A2005" s="25" t="s">
        <v>114</v>
      </c>
      <c r="B2005" s="26" t="s">
        <v>175</v>
      </c>
      <c r="C2005" s="27" t="s">
        <v>126</v>
      </c>
      <c r="D2005" s="28"/>
      <c r="E2005" s="28"/>
      <c r="F2005" s="29" t="n">
        <f aca="false">'📋 Matches'!E61</f>
        <v>0</v>
      </c>
      <c r="G2005" s="29" t="n">
        <f aca="false">'📋 Matches'!F61</f>
        <v>0</v>
      </c>
      <c r="H2005" s="30" t="s">
        <v>148</v>
      </c>
      <c r="I2005" s="30" t="s">
        <v>148</v>
      </c>
      <c r="J2005" s="30" t="s">
        <v>148</v>
      </c>
      <c r="K2005" s="30" t="s">
        <v>148</v>
      </c>
      <c r="L2005" s="30" t="s">
        <v>148</v>
      </c>
    </row>
    <row r="2006" customFormat="false" ht="18" hidden="false" customHeight="true" outlineLevel="0" collapsed="false">
      <c r="A2006" s="25" t="s">
        <v>114</v>
      </c>
      <c r="B2006" s="26" t="s">
        <v>175</v>
      </c>
      <c r="C2006" s="27" t="s">
        <v>127</v>
      </c>
      <c r="D2006" s="28"/>
      <c r="E2006" s="28"/>
      <c r="F2006" s="29" t="n">
        <f aca="false">'📋 Matches'!E62</f>
        <v>0</v>
      </c>
      <c r="G2006" s="29" t="n">
        <f aca="false">'📋 Matches'!F62</f>
        <v>0</v>
      </c>
      <c r="H2006" s="30" t="s">
        <v>148</v>
      </c>
      <c r="I2006" s="30" t="s">
        <v>148</v>
      </c>
      <c r="J2006" s="30" t="s">
        <v>148</v>
      </c>
      <c r="K2006" s="30" t="s">
        <v>148</v>
      </c>
      <c r="L2006" s="30" t="s">
        <v>148</v>
      </c>
    </row>
    <row r="2007" customFormat="false" ht="18" hidden="false" customHeight="true" outlineLevel="0" collapsed="false">
      <c r="A2007" s="25" t="s">
        <v>114</v>
      </c>
      <c r="B2007" s="26" t="s">
        <v>175</v>
      </c>
      <c r="C2007" s="27" t="s">
        <v>128</v>
      </c>
      <c r="D2007" s="28"/>
      <c r="E2007" s="28"/>
      <c r="F2007" s="29" t="n">
        <f aca="false">'📋 Matches'!E63</f>
        <v>0</v>
      </c>
      <c r="G2007" s="29" t="n">
        <f aca="false">'📋 Matches'!F63</f>
        <v>0</v>
      </c>
      <c r="H2007" s="30" t="s">
        <v>148</v>
      </c>
      <c r="I2007" s="30" t="s">
        <v>148</v>
      </c>
      <c r="J2007" s="30" t="s">
        <v>148</v>
      </c>
      <c r="K2007" s="30" t="s">
        <v>148</v>
      </c>
      <c r="L2007" s="30" t="s">
        <v>148</v>
      </c>
    </row>
    <row r="2008" customFormat="false" ht="18" hidden="false" customHeight="true" outlineLevel="0" collapsed="false">
      <c r="A2008" s="25" t="s">
        <v>114</v>
      </c>
      <c r="B2008" s="26" t="s">
        <v>175</v>
      </c>
      <c r="C2008" s="27" t="s">
        <v>129</v>
      </c>
      <c r="D2008" s="28"/>
      <c r="E2008" s="28"/>
      <c r="F2008" s="29" t="n">
        <f aca="false">'📋 Matches'!E64</f>
        <v>0</v>
      </c>
      <c r="G2008" s="29" t="n">
        <f aca="false">'📋 Matches'!F64</f>
        <v>0</v>
      </c>
      <c r="H2008" s="30" t="s">
        <v>148</v>
      </c>
      <c r="I2008" s="30" t="s">
        <v>148</v>
      </c>
      <c r="J2008" s="30" t="s">
        <v>148</v>
      </c>
      <c r="K2008" s="30" t="s">
        <v>148</v>
      </c>
      <c r="L2008" s="30" t="s">
        <v>148</v>
      </c>
    </row>
    <row r="2009" customFormat="false" ht="18" hidden="false" customHeight="true" outlineLevel="0" collapsed="false">
      <c r="A2009" s="25" t="s">
        <v>114</v>
      </c>
      <c r="B2009" s="26" t="s">
        <v>175</v>
      </c>
      <c r="C2009" s="27" t="s">
        <v>130</v>
      </c>
      <c r="D2009" s="28"/>
      <c r="E2009" s="28"/>
      <c r="F2009" s="29" t="n">
        <f aca="false">'📋 Matches'!E65</f>
        <v>0</v>
      </c>
      <c r="G2009" s="29" t="n">
        <f aca="false">'📋 Matches'!F65</f>
        <v>0</v>
      </c>
      <c r="H2009" s="30" t="s">
        <v>148</v>
      </c>
      <c r="I2009" s="30" t="s">
        <v>148</v>
      </c>
      <c r="J2009" s="30" t="s">
        <v>148</v>
      </c>
      <c r="K2009" s="30" t="s">
        <v>148</v>
      </c>
      <c r="L2009" s="30" t="s">
        <v>148</v>
      </c>
    </row>
    <row r="2010" customFormat="false" ht="18" hidden="false" customHeight="true" outlineLevel="0" collapsed="false">
      <c r="A2010" s="25" t="s">
        <v>114</v>
      </c>
      <c r="B2010" s="26" t="s">
        <v>175</v>
      </c>
      <c r="C2010" s="27" t="s">
        <v>131</v>
      </c>
      <c r="D2010" s="28"/>
      <c r="E2010" s="28"/>
      <c r="F2010" s="29" t="n">
        <f aca="false">'📋 Matches'!E66</f>
        <v>0</v>
      </c>
      <c r="G2010" s="29" t="n">
        <f aca="false">'📋 Matches'!F66</f>
        <v>0</v>
      </c>
      <c r="H2010" s="30" t="s">
        <v>148</v>
      </c>
      <c r="I2010" s="30" t="s">
        <v>148</v>
      </c>
      <c r="J2010" s="30" t="s">
        <v>148</v>
      </c>
      <c r="K2010" s="30" t="s">
        <v>148</v>
      </c>
      <c r="L2010" s="30" t="s">
        <v>148</v>
      </c>
    </row>
    <row r="2011" customFormat="false" ht="18" hidden="false" customHeight="true" outlineLevel="0" collapsed="false">
      <c r="A2011" s="25" t="s">
        <v>114</v>
      </c>
      <c r="B2011" s="26" t="s">
        <v>175</v>
      </c>
      <c r="C2011" s="27" t="s">
        <v>132</v>
      </c>
      <c r="D2011" s="28"/>
      <c r="E2011" s="28"/>
      <c r="F2011" s="29" t="n">
        <f aca="false">'📋 Matches'!E67</f>
        <v>0</v>
      </c>
      <c r="G2011" s="29" t="n">
        <f aca="false">'📋 Matches'!F67</f>
        <v>0</v>
      </c>
      <c r="H2011" s="30" t="s">
        <v>148</v>
      </c>
      <c r="I2011" s="30" t="s">
        <v>148</v>
      </c>
      <c r="J2011" s="30" t="s">
        <v>148</v>
      </c>
      <c r="K2011" s="30" t="s">
        <v>148</v>
      </c>
      <c r="L2011" s="30" t="s">
        <v>148</v>
      </c>
    </row>
    <row r="2012" customFormat="false" ht="18" hidden="false" customHeight="true" outlineLevel="0" collapsed="false">
      <c r="A2012" s="25" t="s">
        <v>114</v>
      </c>
      <c r="B2012" s="26" t="s">
        <v>175</v>
      </c>
      <c r="C2012" s="27" t="s">
        <v>133</v>
      </c>
      <c r="D2012" s="28"/>
      <c r="E2012" s="28"/>
      <c r="F2012" s="29" t="n">
        <f aca="false">'📋 Matches'!E68</f>
        <v>0</v>
      </c>
      <c r="G2012" s="29" t="n">
        <f aca="false">'📋 Matches'!F68</f>
        <v>0</v>
      </c>
      <c r="H2012" s="30" t="s">
        <v>148</v>
      </c>
      <c r="I2012" s="30" t="s">
        <v>148</v>
      </c>
      <c r="J2012" s="30" t="s">
        <v>148</v>
      </c>
      <c r="K2012" s="30" t="s">
        <v>148</v>
      </c>
      <c r="L2012" s="30" t="s">
        <v>148</v>
      </c>
    </row>
    <row r="2013" customFormat="false" ht="18" hidden="false" customHeight="true" outlineLevel="0" collapsed="false">
      <c r="A2013" s="25" t="s">
        <v>114</v>
      </c>
      <c r="B2013" s="26" t="s">
        <v>175</v>
      </c>
      <c r="C2013" s="27" t="s">
        <v>134</v>
      </c>
      <c r="D2013" s="28"/>
      <c r="E2013" s="28"/>
      <c r="F2013" s="29" t="n">
        <f aca="false">'📋 Matches'!E69</f>
        <v>0</v>
      </c>
      <c r="G2013" s="29" t="n">
        <f aca="false">'📋 Matches'!F69</f>
        <v>0</v>
      </c>
      <c r="H2013" s="30" t="s">
        <v>148</v>
      </c>
      <c r="I2013" s="30" t="s">
        <v>148</v>
      </c>
      <c r="J2013" s="30" t="s">
        <v>148</v>
      </c>
      <c r="K2013" s="30" t="s">
        <v>148</v>
      </c>
      <c r="L2013" s="30" t="s">
        <v>148</v>
      </c>
    </row>
    <row r="2014" customFormat="false" ht="18" hidden="false" customHeight="true" outlineLevel="0" collapsed="false">
      <c r="A2014" s="25" t="s">
        <v>114</v>
      </c>
      <c r="B2014" s="26" t="s">
        <v>175</v>
      </c>
      <c r="C2014" s="27" t="s">
        <v>135</v>
      </c>
      <c r="D2014" s="28"/>
      <c r="E2014" s="28"/>
      <c r="F2014" s="29" t="n">
        <f aca="false">'📋 Matches'!E70</f>
        <v>0</v>
      </c>
      <c r="G2014" s="29" t="n">
        <f aca="false">'📋 Matches'!F70</f>
        <v>0</v>
      </c>
      <c r="H2014" s="30" t="s">
        <v>148</v>
      </c>
      <c r="I2014" s="30" t="s">
        <v>148</v>
      </c>
      <c r="J2014" s="30" t="s">
        <v>148</v>
      </c>
      <c r="K2014" s="30" t="s">
        <v>148</v>
      </c>
      <c r="L2014" s="30" t="s">
        <v>148</v>
      </c>
    </row>
    <row r="2015" customFormat="false" ht="18" hidden="false" customHeight="true" outlineLevel="0" collapsed="false">
      <c r="A2015" s="25" t="s">
        <v>114</v>
      </c>
      <c r="B2015" s="26" t="s">
        <v>175</v>
      </c>
      <c r="C2015" s="27" t="s">
        <v>136</v>
      </c>
      <c r="D2015" s="28"/>
      <c r="E2015" s="28"/>
      <c r="F2015" s="29" t="n">
        <f aca="false">'📋 Matches'!E71</f>
        <v>0</v>
      </c>
      <c r="G2015" s="29" t="n">
        <f aca="false">'📋 Matches'!F71</f>
        <v>0</v>
      </c>
      <c r="H2015" s="30" t="s">
        <v>148</v>
      </c>
      <c r="I2015" s="30" t="s">
        <v>148</v>
      </c>
      <c r="J2015" s="30" t="s">
        <v>148</v>
      </c>
      <c r="K2015" s="30" t="s">
        <v>148</v>
      </c>
      <c r="L2015" s="30" t="s">
        <v>148</v>
      </c>
    </row>
    <row r="2016" customFormat="false" ht="18" hidden="false" customHeight="true" outlineLevel="0" collapsed="false">
      <c r="A2016" s="25" t="s">
        <v>114</v>
      </c>
      <c r="B2016" s="26" t="s">
        <v>175</v>
      </c>
      <c r="C2016" s="27" t="s">
        <v>137</v>
      </c>
      <c r="D2016" s="28"/>
      <c r="E2016" s="28"/>
      <c r="F2016" s="29" t="n">
        <f aca="false">'📋 Matches'!E72</f>
        <v>0</v>
      </c>
      <c r="G2016" s="29" t="n">
        <f aca="false">'📋 Matches'!F72</f>
        <v>0</v>
      </c>
      <c r="H2016" s="30" t="s">
        <v>148</v>
      </c>
      <c r="I2016" s="30" t="s">
        <v>148</v>
      </c>
      <c r="J2016" s="30" t="s">
        <v>148</v>
      </c>
      <c r="K2016" s="30" t="s">
        <v>148</v>
      </c>
      <c r="L2016" s="30" t="s">
        <v>148</v>
      </c>
    </row>
    <row r="2017" customFormat="false" ht="18" hidden="false" customHeight="true" outlineLevel="0" collapsed="false">
      <c r="A2017" s="25" t="s">
        <v>114</v>
      </c>
      <c r="B2017" s="26" t="s">
        <v>175</v>
      </c>
      <c r="C2017" s="27" t="s">
        <v>138</v>
      </c>
      <c r="D2017" s="28"/>
      <c r="E2017" s="28"/>
      <c r="F2017" s="29" t="n">
        <f aca="false">'📋 Matches'!E73</f>
        <v>0</v>
      </c>
      <c r="G2017" s="29" t="n">
        <f aca="false">'📋 Matches'!F73</f>
        <v>0</v>
      </c>
      <c r="H2017" s="30" t="s">
        <v>148</v>
      </c>
      <c r="I2017" s="30" t="s">
        <v>148</v>
      </c>
      <c r="J2017" s="30" t="s">
        <v>148</v>
      </c>
      <c r="K2017" s="30" t="s">
        <v>148</v>
      </c>
      <c r="L2017" s="30" t="s">
        <v>148</v>
      </c>
    </row>
    <row r="2018" customFormat="false" ht="18" hidden="false" customHeight="true" outlineLevel="0" collapsed="false">
      <c r="A2018" s="17" t="s">
        <v>9</v>
      </c>
      <c r="B2018" s="18" t="s">
        <v>176</v>
      </c>
      <c r="C2018" s="19" t="s">
        <v>10</v>
      </c>
      <c r="D2018" s="20" t="n">
        <v>2</v>
      </c>
      <c r="E2018" s="20" t="n">
        <v>1</v>
      </c>
      <c r="F2018" s="21" t="n">
        <f aca="false">'📋 Matches'!E2</f>
        <v>2</v>
      </c>
      <c r="G2018" s="21" t="n">
        <f aca="false">'📋 Matches'!F2</f>
        <v>0</v>
      </c>
      <c r="H2018" s="22" t="n">
        <f aca="false">IF(AND(ISNUMBER(F2018),ISNUMBER(G2018)),IF(SIGN(D2018-E2018)=SIGN(F2018-G2018),48,0),"")</f>
        <v>48</v>
      </c>
      <c r="I2018" s="22" t="n">
        <f aca="false">IF(AND(ISNUMBER(F2018),ISNUMBER(G2018)),IF(D2018=F2018,15,0),"")</f>
        <v>15</v>
      </c>
      <c r="J2018" s="22" t="n">
        <f aca="false">IF(AND(ISNUMBER(F2018),ISNUMBER(G2018)),IF(E2018=G2018,15,0),"")</f>
        <v>0</v>
      </c>
      <c r="K2018" s="22" t="n">
        <f aca="false">IF(AND(ISNUMBER(F2018),ISNUMBER(G2018)),IF(ABS(D2018-E2018)=ABS(F2018-G2018),12,0),"")</f>
        <v>0</v>
      </c>
      <c r="L2018" s="23" t="n">
        <f aca="false">IF(ISNUMBER(H2018),H2018+I2018+J2018+K2018,"")</f>
        <v>63</v>
      </c>
    </row>
    <row r="2019" customFormat="false" ht="18" hidden="false" customHeight="true" outlineLevel="0" collapsed="false">
      <c r="A2019" s="17" t="s">
        <v>9</v>
      </c>
      <c r="B2019" s="18" t="s">
        <v>176</v>
      </c>
      <c r="C2019" s="19" t="s">
        <v>14</v>
      </c>
      <c r="D2019" s="20" t="n">
        <v>2</v>
      </c>
      <c r="E2019" s="20" t="n">
        <v>0</v>
      </c>
      <c r="F2019" s="21" t="n">
        <f aca="false">'📋 Matches'!E3</f>
        <v>2</v>
      </c>
      <c r="G2019" s="21" t="n">
        <f aca="false">'📋 Matches'!F3</f>
        <v>1</v>
      </c>
      <c r="H2019" s="22" t="n">
        <f aca="false">IF(AND(ISNUMBER(F2019),ISNUMBER(G2019)),IF(SIGN(D2019-E2019)=SIGN(F2019-G2019),48,0),"")</f>
        <v>48</v>
      </c>
      <c r="I2019" s="22" t="n">
        <f aca="false">IF(AND(ISNUMBER(F2019),ISNUMBER(G2019)),IF(D2019=F2019,15,0),"")</f>
        <v>15</v>
      </c>
      <c r="J2019" s="22" t="n">
        <f aca="false">IF(AND(ISNUMBER(F2019),ISNUMBER(G2019)),IF(E2019=G2019,15,0),"")</f>
        <v>0</v>
      </c>
      <c r="K2019" s="22" t="n">
        <f aca="false">IF(AND(ISNUMBER(F2019),ISNUMBER(G2019)),IF(ABS(D2019-E2019)=ABS(F2019-G2019),12,0),"")</f>
        <v>0</v>
      </c>
      <c r="L2019" s="23" t="n">
        <f aca="false">IF(ISNUMBER(H2019),H2019+I2019+J2019+K2019,"")</f>
        <v>63</v>
      </c>
    </row>
    <row r="2020" customFormat="false" ht="18" hidden="false" customHeight="true" outlineLevel="0" collapsed="false">
      <c r="A2020" s="17" t="s">
        <v>9</v>
      </c>
      <c r="B2020" s="18" t="s">
        <v>176</v>
      </c>
      <c r="C2020" s="19" t="s">
        <v>17</v>
      </c>
      <c r="D2020" s="20" t="n">
        <v>1</v>
      </c>
      <c r="E2020" s="20" t="n">
        <v>0</v>
      </c>
      <c r="F2020" s="21" t="n">
        <f aca="false">'📋 Matches'!E4</f>
        <v>1</v>
      </c>
      <c r="G2020" s="21" t="n">
        <f aca="false">'📋 Matches'!F4</f>
        <v>1</v>
      </c>
      <c r="H2020" s="22" t="n">
        <f aca="false">IF(AND(ISNUMBER(F2020),ISNUMBER(G2020)),IF(SIGN(D2020-E2020)=SIGN(F2020-G2020),48,0),"")</f>
        <v>0</v>
      </c>
      <c r="I2020" s="22" t="n">
        <f aca="false">IF(AND(ISNUMBER(F2020),ISNUMBER(G2020)),IF(D2020=F2020,15,0),"")</f>
        <v>15</v>
      </c>
      <c r="J2020" s="22" t="n">
        <f aca="false">IF(AND(ISNUMBER(F2020),ISNUMBER(G2020)),IF(E2020=G2020,15,0),"")</f>
        <v>0</v>
      </c>
      <c r="K2020" s="22" t="n">
        <f aca="false">IF(AND(ISNUMBER(F2020),ISNUMBER(G2020)),IF(ABS(D2020-E2020)=ABS(F2020-G2020),12,0),"")</f>
        <v>0</v>
      </c>
      <c r="L2020" s="23" t="n">
        <f aca="false">IF(ISNUMBER(H2020),H2020+I2020+J2020+K2020,"")</f>
        <v>15</v>
      </c>
    </row>
    <row r="2021" customFormat="false" ht="18" hidden="false" customHeight="true" outlineLevel="0" collapsed="false">
      <c r="A2021" s="17" t="s">
        <v>9</v>
      </c>
      <c r="B2021" s="18" t="s">
        <v>176</v>
      </c>
      <c r="C2021" s="19" t="s">
        <v>20</v>
      </c>
      <c r="D2021" s="20" t="n">
        <v>1</v>
      </c>
      <c r="E2021" s="20" t="n">
        <v>0</v>
      </c>
      <c r="F2021" s="21" t="n">
        <f aca="false">'📋 Matches'!E5</f>
        <v>4</v>
      </c>
      <c r="G2021" s="21" t="n">
        <f aca="false">'📋 Matches'!F5</f>
        <v>1</v>
      </c>
      <c r="H2021" s="22" t="n">
        <f aca="false">IF(AND(ISNUMBER(F2021),ISNUMBER(G2021)),IF(SIGN(D2021-E2021)=SIGN(F2021-G2021),48,0),"")</f>
        <v>48</v>
      </c>
      <c r="I2021" s="22" t="n">
        <f aca="false">IF(AND(ISNUMBER(F2021),ISNUMBER(G2021)),IF(D2021=F2021,15,0),"")</f>
        <v>0</v>
      </c>
      <c r="J2021" s="22" t="n">
        <f aca="false">IF(AND(ISNUMBER(F2021),ISNUMBER(G2021)),IF(E2021=G2021,15,0),"")</f>
        <v>0</v>
      </c>
      <c r="K2021" s="22" t="n">
        <f aca="false">IF(AND(ISNUMBER(F2021),ISNUMBER(G2021)),IF(ABS(D2021-E2021)=ABS(F2021-G2021),12,0),"")</f>
        <v>0</v>
      </c>
      <c r="L2021" s="23" t="n">
        <f aca="false">IF(ISNUMBER(H2021),H2021+I2021+J2021+K2021,"")</f>
        <v>48</v>
      </c>
    </row>
    <row r="2022" customFormat="false" ht="18" hidden="false" customHeight="true" outlineLevel="0" collapsed="false">
      <c r="A2022" s="17" t="s">
        <v>9</v>
      </c>
      <c r="B2022" s="18" t="s">
        <v>176</v>
      </c>
      <c r="C2022" s="19" t="s">
        <v>23</v>
      </c>
      <c r="D2022" s="20" t="n">
        <v>0</v>
      </c>
      <c r="E2022" s="20" t="n">
        <v>2</v>
      </c>
      <c r="F2022" s="21" t="n">
        <f aca="false">'📋 Matches'!E6</f>
        <v>0</v>
      </c>
      <c r="G2022" s="21" t="n">
        <f aca="false">'📋 Matches'!F6</f>
        <v>0</v>
      </c>
      <c r="H2022" s="22" t="str">
        <f aca="false">IF(AND(ISNUMBER(F2022),ISNUMBER(G2022)),IF(SIGN(D2022-E2022)=SIGN(F2022-G2022),48,0),"")</f>
        <v/>
      </c>
      <c r="I2022" s="22" t="str">
        <f aca="false">IF(AND(ISNUMBER(F2022),ISNUMBER(G2022)),IF(D2022=F2022,15,0),"")</f>
        <v/>
      </c>
      <c r="J2022" s="22" t="str">
        <f aca="false">IF(AND(ISNUMBER(F2022),ISNUMBER(G2022)),IF(E2022=G2022,15,0),"")</f>
        <v/>
      </c>
      <c r="K2022" s="22" t="str">
        <f aca="false">IF(AND(ISNUMBER(F2022),ISNUMBER(G2022)),IF(ABS(D2022-E2022)=ABS(F2022-G2022),12,0),"")</f>
        <v/>
      </c>
      <c r="L2022" s="23" t="str">
        <f aca="false">IF(ISNUMBER(H2022),H2022+I2022+J2022+K2022,"")</f>
        <v/>
      </c>
    </row>
    <row r="2023" customFormat="false" ht="18" hidden="false" customHeight="true" outlineLevel="0" collapsed="false">
      <c r="A2023" s="17" t="s">
        <v>9</v>
      </c>
      <c r="B2023" s="18" t="s">
        <v>176</v>
      </c>
      <c r="C2023" s="19" t="s">
        <v>27</v>
      </c>
      <c r="D2023" s="20" t="n">
        <v>2</v>
      </c>
      <c r="E2023" s="20" t="n">
        <v>1</v>
      </c>
      <c r="F2023" s="21" t="n">
        <f aca="false">'📋 Matches'!E7</f>
        <v>0</v>
      </c>
      <c r="G2023" s="21" t="n">
        <f aca="false">'📋 Matches'!F7</f>
        <v>0</v>
      </c>
      <c r="H2023" s="22" t="str">
        <f aca="false">IF(AND(ISNUMBER(F2023),ISNUMBER(G2023)),IF(SIGN(D2023-E2023)=SIGN(F2023-G2023),48,0),"")</f>
        <v/>
      </c>
      <c r="I2023" s="22" t="str">
        <f aca="false">IF(AND(ISNUMBER(F2023),ISNUMBER(G2023)),IF(D2023=F2023,15,0),"")</f>
        <v/>
      </c>
      <c r="J2023" s="22" t="str">
        <f aca="false">IF(AND(ISNUMBER(F2023),ISNUMBER(G2023)),IF(E2023=G2023,15,0),"")</f>
        <v/>
      </c>
      <c r="K2023" s="22" t="str">
        <f aca="false">IF(AND(ISNUMBER(F2023),ISNUMBER(G2023)),IF(ABS(D2023-E2023)=ABS(F2023-G2023),12,0),"")</f>
        <v/>
      </c>
      <c r="L2023" s="23" t="str">
        <f aca="false">IF(ISNUMBER(H2023),H2023+I2023+J2023+K2023,"")</f>
        <v/>
      </c>
    </row>
    <row r="2024" customFormat="false" ht="18" hidden="false" customHeight="true" outlineLevel="0" collapsed="false">
      <c r="A2024" s="17" t="s">
        <v>9</v>
      </c>
      <c r="B2024" s="18" t="s">
        <v>176</v>
      </c>
      <c r="C2024" s="19" t="s">
        <v>30</v>
      </c>
      <c r="D2024" s="20" t="n">
        <v>0</v>
      </c>
      <c r="E2024" s="20" t="n">
        <v>2</v>
      </c>
      <c r="F2024" s="21" t="n">
        <f aca="false">'📋 Matches'!E8</f>
        <v>0</v>
      </c>
      <c r="G2024" s="21" t="n">
        <f aca="false">'📋 Matches'!F8</f>
        <v>0</v>
      </c>
      <c r="H2024" s="22" t="str">
        <f aca="false">IF(AND(ISNUMBER(F2024),ISNUMBER(G2024)),IF(SIGN(D2024-E2024)=SIGN(F2024-G2024),48,0),"")</f>
        <v/>
      </c>
      <c r="I2024" s="22" t="str">
        <f aca="false">IF(AND(ISNUMBER(F2024),ISNUMBER(G2024)),IF(D2024=F2024,15,0),"")</f>
        <v/>
      </c>
      <c r="J2024" s="22" t="str">
        <f aca="false">IF(AND(ISNUMBER(F2024),ISNUMBER(G2024)),IF(E2024=G2024,15,0),"")</f>
        <v/>
      </c>
      <c r="K2024" s="22" t="str">
        <f aca="false">IF(AND(ISNUMBER(F2024),ISNUMBER(G2024)),IF(ABS(D2024-E2024)=ABS(F2024-G2024),12,0),"")</f>
        <v/>
      </c>
      <c r="L2024" s="23" t="str">
        <f aca="false">IF(ISNUMBER(H2024),H2024+I2024+J2024+K2024,"")</f>
        <v/>
      </c>
    </row>
    <row r="2025" customFormat="false" ht="18" hidden="false" customHeight="true" outlineLevel="0" collapsed="false">
      <c r="A2025" s="17" t="s">
        <v>9</v>
      </c>
      <c r="B2025" s="18" t="s">
        <v>176</v>
      </c>
      <c r="C2025" s="19" t="s">
        <v>33</v>
      </c>
      <c r="D2025" s="20" t="n">
        <v>0</v>
      </c>
      <c r="E2025" s="20" t="n">
        <v>2</v>
      </c>
      <c r="F2025" s="21" t="n">
        <f aca="false">'📋 Matches'!E9</f>
        <v>0</v>
      </c>
      <c r="G2025" s="21" t="n">
        <f aca="false">'📋 Matches'!F9</f>
        <v>0</v>
      </c>
      <c r="H2025" s="22" t="str">
        <f aca="false">IF(AND(ISNUMBER(F2025),ISNUMBER(G2025)),IF(SIGN(D2025-E2025)=SIGN(F2025-G2025),48,0),"")</f>
        <v/>
      </c>
      <c r="I2025" s="22" t="str">
        <f aca="false">IF(AND(ISNUMBER(F2025),ISNUMBER(G2025)),IF(D2025=F2025,15,0),"")</f>
        <v/>
      </c>
      <c r="J2025" s="22" t="str">
        <f aca="false">IF(AND(ISNUMBER(F2025),ISNUMBER(G2025)),IF(E2025=G2025,15,0),"")</f>
        <v/>
      </c>
      <c r="K2025" s="22" t="str">
        <f aca="false">IF(AND(ISNUMBER(F2025),ISNUMBER(G2025)),IF(ABS(D2025-E2025)=ABS(F2025-G2025),12,0),"")</f>
        <v/>
      </c>
      <c r="L2025" s="23" t="str">
        <f aca="false">IF(ISNUMBER(H2025),H2025+I2025+J2025+K2025,"")</f>
        <v/>
      </c>
    </row>
    <row r="2026" customFormat="false" ht="18" hidden="false" customHeight="true" outlineLevel="0" collapsed="false">
      <c r="A2026" s="17" t="s">
        <v>9</v>
      </c>
      <c r="B2026" s="18" t="s">
        <v>176</v>
      </c>
      <c r="C2026" s="19" t="s">
        <v>36</v>
      </c>
      <c r="D2026" s="20" t="n">
        <v>3</v>
      </c>
      <c r="E2026" s="20" t="n">
        <v>0</v>
      </c>
      <c r="F2026" s="21" t="n">
        <f aca="false">'📋 Matches'!E10</f>
        <v>0</v>
      </c>
      <c r="G2026" s="21" t="n">
        <f aca="false">'📋 Matches'!F10</f>
        <v>0</v>
      </c>
      <c r="H2026" s="22" t="str">
        <f aca="false">IF(AND(ISNUMBER(F2026),ISNUMBER(G2026)),IF(SIGN(D2026-E2026)=SIGN(F2026-G2026),48,0),"")</f>
        <v/>
      </c>
      <c r="I2026" s="22" t="str">
        <f aca="false">IF(AND(ISNUMBER(F2026),ISNUMBER(G2026)),IF(D2026=F2026,15,0),"")</f>
        <v/>
      </c>
      <c r="J2026" s="22" t="str">
        <f aca="false">IF(AND(ISNUMBER(F2026),ISNUMBER(G2026)),IF(E2026=G2026,15,0),"")</f>
        <v/>
      </c>
      <c r="K2026" s="22" t="str">
        <f aca="false">IF(AND(ISNUMBER(F2026),ISNUMBER(G2026)),IF(ABS(D2026-E2026)=ABS(F2026-G2026),12,0),"")</f>
        <v/>
      </c>
      <c r="L2026" s="23" t="str">
        <f aca="false">IF(ISNUMBER(H2026),H2026+I2026+J2026+K2026,"")</f>
        <v/>
      </c>
    </row>
    <row r="2027" customFormat="false" ht="18" hidden="false" customHeight="true" outlineLevel="0" collapsed="false">
      <c r="A2027" s="17" t="s">
        <v>9</v>
      </c>
      <c r="B2027" s="18" t="s">
        <v>176</v>
      </c>
      <c r="C2027" s="19" t="s">
        <v>39</v>
      </c>
      <c r="D2027" s="20" t="n">
        <v>2</v>
      </c>
      <c r="E2027" s="20" t="n">
        <v>1</v>
      </c>
      <c r="F2027" s="21" t="n">
        <f aca="false">'📋 Matches'!E11</f>
        <v>0</v>
      </c>
      <c r="G2027" s="21" t="n">
        <f aca="false">'📋 Matches'!F11</f>
        <v>0</v>
      </c>
      <c r="H2027" s="22" t="str">
        <f aca="false">IF(AND(ISNUMBER(F2027),ISNUMBER(G2027)),IF(SIGN(D2027-E2027)=SIGN(F2027-G2027),48,0),"")</f>
        <v/>
      </c>
      <c r="I2027" s="22" t="str">
        <f aca="false">IF(AND(ISNUMBER(F2027),ISNUMBER(G2027)),IF(D2027=F2027,15,0),"")</f>
        <v/>
      </c>
      <c r="J2027" s="22" t="str">
        <f aca="false">IF(AND(ISNUMBER(F2027),ISNUMBER(G2027)),IF(E2027=G2027,15,0),"")</f>
        <v/>
      </c>
      <c r="K2027" s="22" t="str">
        <f aca="false">IF(AND(ISNUMBER(F2027),ISNUMBER(G2027)),IF(ABS(D2027-E2027)=ABS(F2027-G2027),12,0),"")</f>
        <v/>
      </c>
      <c r="L2027" s="23" t="str">
        <f aca="false">IF(ISNUMBER(H2027),H2027+I2027+J2027+K2027,"")</f>
        <v/>
      </c>
    </row>
    <row r="2028" customFormat="false" ht="18" hidden="false" customHeight="true" outlineLevel="0" collapsed="false">
      <c r="A2028" s="17" t="s">
        <v>9</v>
      </c>
      <c r="B2028" s="18" t="s">
        <v>176</v>
      </c>
      <c r="C2028" s="19" t="s">
        <v>42</v>
      </c>
      <c r="D2028" s="20" t="n">
        <v>0</v>
      </c>
      <c r="E2028" s="20" t="n">
        <v>1</v>
      </c>
      <c r="F2028" s="21" t="n">
        <f aca="false">'📋 Matches'!E12</f>
        <v>0</v>
      </c>
      <c r="G2028" s="21" t="n">
        <f aca="false">'📋 Matches'!F12</f>
        <v>0</v>
      </c>
      <c r="H2028" s="22" t="str">
        <f aca="false">IF(AND(ISNUMBER(F2028),ISNUMBER(G2028)),IF(SIGN(D2028-E2028)=SIGN(F2028-G2028),48,0),"")</f>
        <v/>
      </c>
      <c r="I2028" s="22" t="str">
        <f aca="false">IF(AND(ISNUMBER(F2028),ISNUMBER(G2028)),IF(D2028=F2028,15,0),"")</f>
        <v/>
      </c>
      <c r="J2028" s="22" t="str">
        <f aca="false">IF(AND(ISNUMBER(F2028),ISNUMBER(G2028)),IF(E2028=G2028,15,0),"")</f>
        <v/>
      </c>
      <c r="K2028" s="22" t="str">
        <f aca="false">IF(AND(ISNUMBER(F2028),ISNUMBER(G2028)),IF(ABS(D2028-E2028)=ABS(F2028-G2028),12,0),"")</f>
        <v/>
      </c>
      <c r="L2028" s="23" t="str">
        <f aca="false">IF(ISNUMBER(H2028),H2028+I2028+J2028+K2028,"")</f>
        <v/>
      </c>
    </row>
    <row r="2029" customFormat="false" ht="18" hidden="false" customHeight="true" outlineLevel="0" collapsed="false">
      <c r="A2029" s="17" t="s">
        <v>9</v>
      </c>
      <c r="B2029" s="18" t="s">
        <v>176</v>
      </c>
      <c r="C2029" s="19" t="s">
        <v>45</v>
      </c>
      <c r="D2029" s="20" t="n">
        <v>2</v>
      </c>
      <c r="E2029" s="20" t="n">
        <v>1</v>
      </c>
      <c r="F2029" s="21" t="n">
        <f aca="false">'📋 Matches'!E13</f>
        <v>0</v>
      </c>
      <c r="G2029" s="21" t="n">
        <f aca="false">'📋 Matches'!F13</f>
        <v>0</v>
      </c>
      <c r="H2029" s="22" t="str">
        <f aca="false">IF(AND(ISNUMBER(F2029),ISNUMBER(G2029)),IF(SIGN(D2029-E2029)=SIGN(F2029-G2029),48,0),"")</f>
        <v/>
      </c>
      <c r="I2029" s="22" t="str">
        <f aca="false">IF(AND(ISNUMBER(F2029),ISNUMBER(G2029)),IF(D2029=F2029,15,0),"")</f>
        <v/>
      </c>
      <c r="J2029" s="22" t="str">
        <f aca="false">IF(AND(ISNUMBER(F2029),ISNUMBER(G2029)),IF(E2029=G2029,15,0),"")</f>
        <v/>
      </c>
      <c r="K2029" s="22" t="str">
        <f aca="false">IF(AND(ISNUMBER(F2029),ISNUMBER(G2029)),IF(ABS(D2029-E2029)=ABS(F2029-G2029),12,0),"")</f>
        <v/>
      </c>
      <c r="L2029" s="23" t="str">
        <f aca="false">IF(ISNUMBER(H2029),H2029+I2029+J2029+K2029,"")</f>
        <v/>
      </c>
    </row>
    <row r="2030" customFormat="false" ht="18" hidden="false" customHeight="true" outlineLevel="0" collapsed="false">
      <c r="A2030" s="17" t="s">
        <v>9</v>
      </c>
      <c r="B2030" s="18" t="s">
        <v>176</v>
      </c>
      <c r="C2030" s="19" t="s">
        <v>48</v>
      </c>
      <c r="D2030" s="20" t="n">
        <v>3</v>
      </c>
      <c r="E2030" s="20" t="n">
        <v>0</v>
      </c>
      <c r="F2030" s="21" t="n">
        <f aca="false">'📋 Matches'!E14</f>
        <v>0</v>
      </c>
      <c r="G2030" s="21" t="n">
        <f aca="false">'📋 Matches'!F14</f>
        <v>0</v>
      </c>
      <c r="H2030" s="22" t="str">
        <f aca="false">IF(AND(ISNUMBER(F2030),ISNUMBER(G2030)),IF(SIGN(D2030-E2030)=SIGN(F2030-G2030),48,0),"")</f>
        <v/>
      </c>
      <c r="I2030" s="22" t="str">
        <f aca="false">IF(AND(ISNUMBER(F2030),ISNUMBER(G2030)),IF(D2030=F2030,15,0),"")</f>
        <v/>
      </c>
      <c r="J2030" s="22" t="str">
        <f aca="false">IF(AND(ISNUMBER(F2030),ISNUMBER(G2030)),IF(E2030=G2030,15,0),"")</f>
        <v/>
      </c>
      <c r="K2030" s="22" t="str">
        <f aca="false">IF(AND(ISNUMBER(F2030),ISNUMBER(G2030)),IF(ABS(D2030-E2030)=ABS(F2030-G2030),12,0),"")</f>
        <v/>
      </c>
      <c r="L2030" s="23" t="str">
        <f aca="false">IF(ISNUMBER(H2030),H2030+I2030+J2030+K2030,"")</f>
        <v/>
      </c>
    </row>
    <row r="2031" customFormat="false" ht="18" hidden="false" customHeight="true" outlineLevel="0" collapsed="false">
      <c r="A2031" s="17" t="s">
        <v>9</v>
      </c>
      <c r="B2031" s="18" t="s">
        <v>176</v>
      </c>
      <c r="C2031" s="19" t="s">
        <v>51</v>
      </c>
      <c r="D2031" s="20" t="n">
        <v>2</v>
      </c>
      <c r="E2031" s="20" t="n">
        <v>1</v>
      </c>
      <c r="F2031" s="21" t="n">
        <f aca="false">'📋 Matches'!E15</f>
        <v>0</v>
      </c>
      <c r="G2031" s="21" t="n">
        <f aca="false">'📋 Matches'!F15</f>
        <v>0</v>
      </c>
      <c r="H2031" s="22" t="str">
        <f aca="false">IF(AND(ISNUMBER(F2031),ISNUMBER(G2031)),IF(SIGN(D2031-E2031)=SIGN(F2031-G2031),48,0),"")</f>
        <v/>
      </c>
      <c r="I2031" s="22" t="str">
        <f aca="false">IF(AND(ISNUMBER(F2031),ISNUMBER(G2031)),IF(D2031=F2031,15,0),"")</f>
        <v/>
      </c>
      <c r="J2031" s="22" t="str">
        <f aca="false">IF(AND(ISNUMBER(F2031),ISNUMBER(G2031)),IF(E2031=G2031,15,0),"")</f>
        <v/>
      </c>
      <c r="K2031" s="22" t="str">
        <f aca="false">IF(AND(ISNUMBER(F2031),ISNUMBER(G2031)),IF(ABS(D2031-E2031)=ABS(F2031-G2031),12,0),"")</f>
        <v/>
      </c>
      <c r="L2031" s="23" t="str">
        <f aca="false">IF(ISNUMBER(H2031),H2031+I2031+J2031+K2031,"")</f>
        <v/>
      </c>
    </row>
    <row r="2032" customFormat="false" ht="18" hidden="false" customHeight="true" outlineLevel="0" collapsed="false">
      <c r="A2032" s="17" t="s">
        <v>9</v>
      </c>
      <c r="B2032" s="18" t="s">
        <v>176</v>
      </c>
      <c r="C2032" s="19" t="s">
        <v>54</v>
      </c>
      <c r="D2032" s="20" t="n">
        <v>1</v>
      </c>
      <c r="E2032" s="20" t="n">
        <v>2</v>
      </c>
      <c r="F2032" s="21" t="n">
        <f aca="false">'📋 Matches'!E16</f>
        <v>0</v>
      </c>
      <c r="G2032" s="21" t="n">
        <f aca="false">'📋 Matches'!F16</f>
        <v>0</v>
      </c>
      <c r="H2032" s="22" t="str">
        <f aca="false">IF(AND(ISNUMBER(F2032),ISNUMBER(G2032)),IF(SIGN(D2032-E2032)=SIGN(F2032-G2032),48,0),"")</f>
        <v/>
      </c>
      <c r="I2032" s="22" t="str">
        <f aca="false">IF(AND(ISNUMBER(F2032),ISNUMBER(G2032)),IF(D2032=F2032,15,0),"")</f>
        <v/>
      </c>
      <c r="J2032" s="22" t="str">
        <f aca="false">IF(AND(ISNUMBER(F2032),ISNUMBER(G2032)),IF(E2032=G2032,15,0),"")</f>
        <v/>
      </c>
      <c r="K2032" s="22" t="str">
        <f aca="false">IF(AND(ISNUMBER(F2032),ISNUMBER(G2032)),IF(ABS(D2032-E2032)=ABS(F2032-G2032),12,0),"")</f>
        <v/>
      </c>
      <c r="L2032" s="23" t="str">
        <f aca="false">IF(ISNUMBER(H2032),H2032+I2032+J2032+K2032,"")</f>
        <v/>
      </c>
    </row>
    <row r="2033" customFormat="false" ht="18" hidden="false" customHeight="true" outlineLevel="0" collapsed="false">
      <c r="A2033" s="17" t="s">
        <v>9</v>
      </c>
      <c r="B2033" s="18" t="s">
        <v>176</v>
      </c>
      <c r="C2033" s="19" t="s">
        <v>57</v>
      </c>
      <c r="D2033" s="20" t="n">
        <v>0</v>
      </c>
      <c r="E2033" s="20" t="n">
        <v>2</v>
      </c>
      <c r="F2033" s="21" t="n">
        <f aca="false">'📋 Matches'!E17</f>
        <v>0</v>
      </c>
      <c r="G2033" s="21" t="n">
        <f aca="false">'📋 Matches'!F17</f>
        <v>0</v>
      </c>
      <c r="H2033" s="22" t="str">
        <f aca="false">IF(AND(ISNUMBER(F2033),ISNUMBER(G2033)),IF(SIGN(D2033-E2033)=SIGN(F2033-G2033),48,0),"")</f>
        <v/>
      </c>
      <c r="I2033" s="22" t="str">
        <f aca="false">IF(AND(ISNUMBER(F2033),ISNUMBER(G2033)),IF(D2033=F2033,15,0),"")</f>
        <v/>
      </c>
      <c r="J2033" s="22" t="str">
        <f aca="false">IF(AND(ISNUMBER(F2033),ISNUMBER(G2033)),IF(E2033=G2033,15,0),"")</f>
        <v/>
      </c>
      <c r="K2033" s="22" t="str">
        <f aca="false">IF(AND(ISNUMBER(F2033),ISNUMBER(G2033)),IF(ABS(D2033-E2033)=ABS(F2033-G2033),12,0),"")</f>
        <v/>
      </c>
      <c r="L2033" s="23" t="str">
        <f aca="false">IF(ISNUMBER(H2033),H2033+I2033+J2033+K2033,"")</f>
        <v/>
      </c>
    </row>
    <row r="2034" customFormat="false" ht="18" hidden="false" customHeight="true" outlineLevel="0" collapsed="false">
      <c r="A2034" s="17" t="s">
        <v>9</v>
      </c>
      <c r="B2034" s="18" t="s">
        <v>176</v>
      </c>
      <c r="C2034" s="19" t="s">
        <v>60</v>
      </c>
      <c r="D2034" s="20" t="n">
        <v>3</v>
      </c>
      <c r="E2034" s="20" t="n">
        <v>1</v>
      </c>
      <c r="F2034" s="21" t="n">
        <f aca="false">'📋 Matches'!E18</f>
        <v>0</v>
      </c>
      <c r="G2034" s="21" t="n">
        <f aca="false">'📋 Matches'!F18</f>
        <v>0</v>
      </c>
      <c r="H2034" s="22" t="str">
        <f aca="false">IF(AND(ISNUMBER(F2034),ISNUMBER(G2034)),IF(SIGN(D2034-E2034)=SIGN(F2034-G2034),48,0),"")</f>
        <v/>
      </c>
      <c r="I2034" s="22" t="str">
        <f aca="false">IF(AND(ISNUMBER(F2034),ISNUMBER(G2034)),IF(D2034=F2034,15,0),"")</f>
        <v/>
      </c>
      <c r="J2034" s="22" t="str">
        <f aca="false">IF(AND(ISNUMBER(F2034),ISNUMBER(G2034)),IF(E2034=G2034,15,0),"")</f>
        <v/>
      </c>
      <c r="K2034" s="22" t="str">
        <f aca="false">IF(AND(ISNUMBER(F2034),ISNUMBER(G2034)),IF(ABS(D2034-E2034)=ABS(F2034-G2034),12,0),"")</f>
        <v/>
      </c>
      <c r="L2034" s="23" t="str">
        <f aca="false">IF(ISNUMBER(H2034),H2034+I2034+J2034+K2034,"")</f>
        <v/>
      </c>
    </row>
    <row r="2035" customFormat="false" ht="18" hidden="false" customHeight="true" outlineLevel="0" collapsed="false">
      <c r="A2035" s="17" t="s">
        <v>9</v>
      </c>
      <c r="B2035" s="18" t="s">
        <v>176</v>
      </c>
      <c r="C2035" s="19" t="s">
        <v>63</v>
      </c>
      <c r="D2035" s="20" t="n">
        <v>1</v>
      </c>
      <c r="E2035" s="20" t="n">
        <v>3</v>
      </c>
      <c r="F2035" s="21" t="n">
        <f aca="false">'📋 Matches'!E19</f>
        <v>0</v>
      </c>
      <c r="G2035" s="21" t="n">
        <f aca="false">'📋 Matches'!F19</f>
        <v>0</v>
      </c>
      <c r="H2035" s="22" t="str">
        <f aca="false">IF(AND(ISNUMBER(F2035),ISNUMBER(G2035)),IF(SIGN(D2035-E2035)=SIGN(F2035-G2035),48,0),"")</f>
        <v/>
      </c>
      <c r="I2035" s="22" t="str">
        <f aca="false">IF(AND(ISNUMBER(F2035),ISNUMBER(G2035)),IF(D2035=F2035,15,0),"")</f>
        <v/>
      </c>
      <c r="J2035" s="22" t="str">
        <f aca="false">IF(AND(ISNUMBER(F2035),ISNUMBER(G2035)),IF(E2035=G2035,15,0),"")</f>
        <v/>
      </c>
      <c r="K2035" s="22" t="str">
        <f aca="false">IF(AND(ISNUMBER(F2035),ISNUMBER(G2035)),IF(ABS(D2035-E2035)=ABS(F2035-G2035),12,0),"")</f>
        <v/>
      </c>
      <c r="L2035" s="23" t="str">
        <f aca="false">IF(ISNUMBER(H2035),H2035+I2035+J2035+K2035,"")</f>
        <v/>
      </c>
    </row>
    <row r="2036" customFormat="false" ht="18" hidden="false" customHeight="true" outlineLevel="0" collapsed="false">
      <c r="A2036" s="17" t="s">
        <v>9</v>
      </c>
      <c r="B2036" s="18" t="s">
        <v>176</v>
      </c>
      <c r="C2036" s="19" t="s">
        <v>66</v>
      </c>
      <c r="D2036" s="20" t="n">
        <v>2</v>
      </c>
      <c r="E2036" s="20" t="n">
        <v>0</v>
      </c>
      <c r="F2036" s="21" t="n">
        <f aca="false">'📋 Matches'!E20</f>
        <v>0</v>
      </c>
      <c r="G2036" s="21" t="n">
        <f aca="false">'📋 Matches'!F20</f>
        <v>0</v>
      </c>
      <c r="H2036" s="22" t="str">
        <f aca="false">IF(AND(ISNUMBER(F2036),ISNUMBER(G2036)),IF(SIGN(D2036-E2036)=SIGN(F2036-G2036),48,0),"")</f>
        <v/>
      </c>
      <c r="I2036" s="22" t="str">
        <f aca="false">IF(AND(ISNUMBER(F2036),ISNUMBER(G2036)),IF(D2036=F2036,15,0),"")</f>
        <v/>
      </c>
      <c r="J2036" s="22" t="str">
        <f aca="false">IF(AND(ISNUMBER(F2036),ISNUMBER(G2036)),IF(E2036=G2036,15,0),"")</f>
        <v/>
      </c>
      <c r="K2036" s="22" t="str">
        <f aca="false">IF(AND(ISNUMBER(F2036),ISNUMBER(G2036)),IF(ABS(D2036-E2036)=ABS(F2036-G2036),12,0),"")</f>
        <v/>
      </c>
      <c r="L2036" s="23" t="str">
        <f aca="false">IF(ISNUMBER(H2036),H2036+I2036+J2036+K2036,"")</f>
        <v/>
      </c>
    </row>
    <row r="2037" customFormat="false" ht="18" hidden="false" customHeight="true" outlineLevel="0" collapsed="false">
      <c r="A2037" s="17" t="s">
        <v>9</v>
      </c>
      <c r="B2037" s="18" t="s">
        <v>176</v>
      </c>
      <c r="C2037" s="19" t="s">
        <v>69</v>
      </c>
      <c r="D2037" s="20" t="n">
        <v>1</v>
      </c>
      <c r="E2037" s="20" t="n">
        <v>1</v>
      </c>
      <c r="F2037" s="21" t="n">
        <f aca="false">'📋 Matches'!E21</f>
        <v>0</v>
      </c>
      <c r="G2037" s="21" t="n">
        <f aca="false">'📋 Matches'!F21</f>
        <v>0</v>
      </c>
      <c r="H2037" s="22" t="str">
        <f aca="false">IF(AND(ISNUMBER(F2037),ISNUMBER(G2037)),IF(SIGN(D2037-E2037)=SIGN(F2037-G2037),48,0),"")</f>
        <v/>
      </c>
      <c r="I2037" s="22" t="str">
        <f aca="false">IF(AND(ISNUMBER(F2037),ISNUMBER(G2037)),IF(D2037=F2037,15,0),"")</f>
        <v/>
      </c>
      <c r="J2037" s="22" t="str">
        <f aca="false">IF(AND(ISNUMBER(F2037),ISNUMBER(G2037)),IF(E2037=G2037,15,0),"")</f>
        <v/>
      </c>
      <c r="K2037" s="22" t="str">
        <f aca="false">IF(AND(ISNUMBER(F2037),ISNUMBER(G2037)),IF(ABS(D2037-E2037)=ABS(F2037-G2037),12,0),"")</f>
        <v/>
      </c>
      <c r="L2037" s="23" t="str">
        <f aca="false">IF(ISNUMBER(H2037),H2037+I2037+J2037+K2037,"")</f>
        <v/>
      </c>
    </row>
    <row r="2038" customFormat="false" ht="18" hidden="false" customHeight="true" outlineLevel="0" collapsed="false">
      <c r="A2038" s="17" t="s">
        <v>9</v>
      </c>
      <c r="B2038" s="18" t="s">
        <v>176</v>
      </c>
      <c r="C2038" s="19" t="s">
        <v>72</v>
      </c>
      <c r="D2038" s="20" t="n">
        <v>2</v>
      </c>
      <c r="E2038" s="20" t="n">
        <v>0</v>
      </c>
      <c r="F2038" s="21" t="n">
        <f aca="false">'📋 Matches'!E22</f>
        <v>0</v>
      </c>
      <c r="G2038" s="21" t="n">
        <f aca="false">'📋 Matches'!F22</f>
        <v>0</v>
      </c>
      <c r="H2038" s="22" t="str">
        <f aca="false">IF(AND(ISNUMBER(F2038),ISNUMBER(G2038)),IF(SIGN(D2038-E2038)=SIGN(F2038-G2038),48,0),"")</f>
        <v/>
      </c>
      <c r="I2038" s="22" t="str">
        <f aca="false">IF(AND(ISNUMBER(F2038),ISNUMBER(G2038)),IF(D2038=F2038,15,0),"")</f>
        <v/>
      </c>
      <c r="J2038" s="22" t="str">
        <f aca="false">IF(AND(ISNUMBER(F2038),ISNUMBER(G2038)),IF(E2038=G2038,15,0),"")</f>
        <v/>
      </c>
      <c r="K2038" s="22" t="str">
        <f aca="false">IF(AND(ISNUMBER(F2038),ISNUMBER(G2038)),IF(ABS(D2038-E2038)=ABS(F2038-G2038),12,0),"")</f>
        <v/>
      </c>
      <c r="L2038" s="23" t="str">
        <f aca="false">IF(ISNUMBER(H2038),H2038+I2038+J2038+K2038,"")</f>
        <v/>
      </c>
    </row>
    <row r="2039" customFormat="false" ht="18" hidden="false" customHeight="true" outlineLevel="0" collapsed="false">
      <c r="A2039" s="17" t="s">
        <v>9</v>
      </c>
      <c r="B2039" s="18" t="s">
        <v>176</v>
      </c>
      <c r="C2039" s="19" t="s">
        <v>75</v>
      </c>
      <c r="D2039" s="20" t="n">
        <v>2</v>
      </c>
      <c r="E2039" s="20" t="n">
        <v>1</v>
      </c>
      <c r="F2039" s="21" t="n">
        <f aca="false">'📋 Matches'!E23</f>
        <v>0</v>
      </c>
      <c r="G2039" s="21" t="n">
        <f aca="false">'📋 Matches'!F23</f>
        <v>0</v>
      </c>
      <c r="H2039" s="22" t="str">
        <f aca="false">IF(AND(ISNUMBER(F2039),ISNUMBER(G2039)),IF(SIGN(D2039-E2039)=SIGN(F2039-G2039),48,0),"")</f>
        <v/>
      </c>
      <c r="I2039" s="22" t="str">
        <f aca="false">IF(AND(ISNUMBER(F2039),ISNUMBER(G2039)),IF(D2039=F2039,15,0),"")</f>
        <v/>
      </c>
      <c r="J2039" s="22" t="str">
        <f aca="false">IF(AND(ISNUMBER(F2039),ISNUMBER(G2039)),IF(E2039=G2039,15,0),"")</f>
        <v/>
      </c>
      <c r="K2039" s="22" t="str">
        <f aca="false">IF(AND(ISNUMBER(F2039),ISNUMBER(G2039)),IF(ABS(D2039-E2039)=ABS(F2039-G2039),12,0),"")</f>
        <v/>
      </c>
      <c r="L2039" s="23" t="str">
        <f aca="false">IF(ISNUMBER(H2039),H2039+I2039+J2039+K2039,"")</f>
        <v/>
      </c>
    </row>
    <row r="2040" customFormat="false" ht="18" hidden="false" customHeight="true" outlineLevel="0" collapsed="false">
      <c r="A2040" s="17" t="s">
        <v>9</v>
      </c>
      <c r="B2040" s="18" t="s">
        <v>176</v>
      </c>
      <c r="C2040" s="19" t="s">
        <v>78</v>
      </c>
      <c r="D2040" s="20" t="n">
        <v>1</v>
      </c>
      <c r="E2040" s="20" t="n">
        <v>0</v>
      </c>
      <c r="F2040" s="21" t="n">
        <f aca="false">'📋 Matches'!E24</f>
        <v>0</v>
      </c>
      <c r="G2040" s="21" t="n">
        <f aca="false">'📋 Matches'!F24</f>
        <v>0</v>
      </c>
      <c r="H2040" s="22" t="str">
        <f aca="false">IF(AND(ISNUMBER(F2040),ISNUMBER(G2040)),IF(SIGN(D2040-E2040)=SIGN(F2040-G2040),48,0),"")</f>
        <v/>
      </c>
      <c r="I2040" s="22" t="str">
        <f aca="false">IF(AND(ISNUMBER(F2040),ISNUMBER(G2040)),IF(D2040=F2040,15,0),"")</f>
        <v/>
      </c>
      <c r="J2040" s="22" t="str">
        <f aca="false">IF(AND(ISNUMBER(F2040),ISNUMBER(G2040)),IF(E2040=G2040,15,0),"")</f>
        <v/>
      </c>
      <c r="K2040" s="22" t="str">
        <f aca="false">IF(AND(ISNUMBER(F2040),ISNUMBER(G2040)),IF(ABS(D2040-E2040)=ABS(F2040-G2040),12,0),"")</f>
        <v/>
      </c>
      <c r="L2040" s="23" t="str">
        <f aca="false">IF(ISNUMBER(H2040),H2040+I2040+J2040+K2040,"")</f>
        <v/>
      </c>
    </row>
    <row r="2041" customFormat="false" ht="18" hidden="false" customHeight="true" outlineLevel="0" collapsed="false">
      <c r="A2041" s="17" t="s">
        <v>9</v>
      </c>
      <c r="B2041" s="18" t="s">
        <v>176</v>
      </c>
      <c r="C2041" s="19" t="s">
        <v>81</v>
      </c>
      <c r="D2041" s="20" t="n">
        <v>1</v>
      </c>
      <c r="E2041" s="20" t="n">
        <v>2</v>
      </c>
      <c r="F2041" s="21" t="n">
        <f aca="false">'📋 Matches'!E25</f>
        <v>0</v>
      </c>
      <c r="G2041" s="21" t="n">
        <f aca="false">'📋 Matches'!F25</f>
        <v>0</v>
      </c>
      <c r="H2041" s="22" t="str">
        <f aca="false">IF(AND(ISNUMBER(F2041),ISNUMBER(G2041)),IF(SIGN(D2041-E2041)=SIGN(F2041-G2041),48,0),"")</f>
        <v/>
      </c>
      <c r="I2041" s="22" t="str">
        <f aca="false">IF(AND(ISNUMBER(F2041),ISNUMBER(G2041)),IF(D2041=F2041,15,0),"")</f>
        <v/>
      </c>
      <c r="J2041" s="22" t="str">
        <f aca="false">IF(AND(ISNUMBER(F2041),ISNUMBER(G2041)),IF(E2041=G2041,15,0),"")</f>
        <v/>
      </c>
      <c r="K2041" s="22" t="str">
        <f aca="false">IF(AND(ISNUMBER(F2041),ISNUMBER(G2041)),IF(ABS(D2041-E2041)=ABS(F2041-G2041),12,0),"")</f>
        <v/>
      </c>
      <c r="L2041" s="23" t="str">
        <f aca="false">IF(ISNUMBER(H2041),H2041+I2041+J2041+K2041,"")</f>
        <v/>
      </c>
    </row>
    <row r="2042" customFormat="false" ht="18" hidden="false" customHeight="true" outlineLevel="0" collapsed="false">
      <c r="A2042" s="17" t="s">
        <v>84</v>
      </c>
      <c r="B2042" s="18" t="s">
        <v>176</v>
      </c>
      <c r="C2042" s="19" t="s">
        <v>85</v>
      </c>
      <c r="D2042" s="20"/>
      <c r="E2042" s="20"/>
      <c r="F2042" s="21" t="n">
        <f aca="false">'📋 Matches'!E26</f>
        <v>0</v>
      </c>
      <c r="G2042" s="21" t="n">
        <f aca="false">'📋 Matches'!F26</f>
        <v>0</v>
      </c>
      <c r="H2042" s="24" t="s">
        <v>148</v>
      </c>
      <c r="I2042" s="24" t="s">
        <v>148</v>
      </c>
      <c r="J2042" s="24" t="s">
        <v>148</v>
      </c>
      <c r="K2042" s="24" t="s">
        <v>148</v>
      </c>
      <c r="L2042" s="24" t="s">
        <v>148</v>
      </c>
    </row>
    <row r="2043" customFormat="false" ht="18" hidden="false" customHeight="true" outlineLevel="0" collapsed="false">
      <c r="A2043" s="17" t="s">
        <v>84</v>
      </c>
      <c r="B2043" s="18" t="s">
        <v>176</v>
      </c>
      <c r="C2043" s="19" t="s">
        <v>87</v>
      </c>
      <c r="D2043" s="20"/>
      <c r="E2043" s="20"/>
      <c r="F2043" s="21" t="n">
        <f aca="false">'📋 Matches'!E27</f>
        <v>0</v>
      </c>
      <c r="G2043" s="21" t="n">
        <f aca="false">'📋 Matches'!F27</f>
        <v>0</v>
      </c>
      <c r="H2043" s="24" t="s">
        <v>148</v>
      </c>
      <c r="I2043" s="24" t="s">
        <v>148</v>
      </c>
      <c r="J2043" s="24" t="s">
        <v>148</v>
      </c>
      <c r="K2043" s="24" t="s">
        <v>148</v>
      </c>
      <c r="L2043" s="24" t="s">
        <v>148</v>
      </c>
    </row>
    <row r="2044" customFormat="false" ht="18" hidden="false" customHeight="true" outlineLevel="0" collapsed="false">
      <c r="A2044" s="17" t="s">
        <v>84</v>
      </c>
      <c r="B2044" s="18" t="s">
        <v>176</v>
      </c>
      <c r="C2044" s="19" t="s">
        <v>89</v>
      </c>
      <c r="D2044" s="20"/>
      <c r="E2044" s="20"/>
      <c r="F2044" s="21" t="n">
        <f aca="false">'📋 Matches'!E28</f>
        <v>0</v>
      </c>
      <c r="G2044" s="21" t="n">
        <f aca="false">'📋 Matches'!F28</f>
        <v>0</v>
      </c>
      <c r="H2044" s="24" t="s">
        <v>148</v>
      </c>
      <c r="I2044" s="24" t="s">
        <v>148</v>
      </c>
      <c r="J2044" s="24" t="s">
        <v>148</v>
      </c>
      <c r="K2044" s="24" t="s">
        <v>148</v>
      </c>
      <c r="L2044" s="24" t="s">
        <v>148</v>
      </c>
    </row>
    <row r="2045" customFormat="false" ht="18" hidden="false" customHeight="true" outlineLevel="0" collapsed="false">
      <c r="A2045" s="17" t="s">
        <v>84</v>
      </c>
      <c r="B2045" s="18" t="s">
        <v>176</v>
      </c>
      <c r="C2045" s="19" t="s">
        <v>90</v>
      </c>
      <c r="D2045" s="20"/>
      <c r="E2045" s="20"/>
      <c r="F2045" s="21" t="n">
        <f aca="false">'📋 Matches'!E29</f>
        <v>0</v>
      </c>
      <c r="G2045" s="21" t="n">
        <f aca="false">'📋 Matches'!F29</f>
        <v>0</v>
      </c>
      <c r="H2045" s="24" t="s">
        <v>148</v>
      </c>
      <c r="I2045" s="24" t="s">
        <v>148</v>
      </c>
      <c r="J2045" s="24" t="s">
        <v>148</v>
      </c>
      <c r="K2045" s="24" t="s">
        <v>148</v>
      </c>
      <c r="L2045" s="24" t="s">
        <v>148</v>
      </c>
    </row>
    <row r="2046" customFormat="false" ht="18" hidden="false" customHeight="true" outlineLevel="0" collapsed="false">
      <c r="A2046" s="17" t="s">
        <v>84</v>
      </c>
      <c r="B2046" s="18" t="s">
        <v>176</v>
      </c>
      <c r="C2046" s="19" t="s">
        <v>91</v>
      </c>
      <c r="D2046" s="20"/>
      <c r="E2046" s="20"/>
      <c r="F2046" s="21" t="n">
        <f aca="false">'📋 Matches'!E30</f>
        <v>0</v>
      </c>
      <c r="G2046" s="21" t="n">
        <f aca="false">'📋 Matches'!F30</f>
        <v>0</v>
      </c>
      <c r="H2046" s="24" t="s">
        <v>148</v>
      </c>
      <c r="I2046" s="24" t="s">
        <v>148</v>
      </c>
      <c r="J2046" s="24" t="s">
        <v>148</v>
      </c>
      <c r="K2046" s="24" t="s">
        <v>148</v>
      </c>
      <c r="L2046" s="24" t="s">
        <v>148</v>
      </c>
    </row>
    <row r="2047" customFormat="false" ht="18" hidden="false" customHeight="true" outlineLevel="0" collapsed="false">
      <c r="A2047" s="17" t="s">
        <v>84</v>
      </c>
      <c r="B2047" s="18" t="s">
        <v>176</v>
      </c>
      <c r="C2047" s="19" t="s">
        <v>92</v>
      </c>
      <c r="D2047" s="20"/>
      <c r="E2047" s="20"/>
      <c r="F2047" s="21" t="n">
        <f aca="false">'📋 Matches'!E31</f>
        <v>0</v>
      </c>
      <c r="G2047" s="21" t="n">
        <f aca="false">'📋 Matches'!F31</f>
        <v>0</v>
      </c>
      <c r="H2047" s="24" t="s">
        <v>148</v>
      </c>
      <c r="I2047" s="24" t="s">
        <v>148</v>
      </c>
      <c r="J2047" s="24" t="s">
        <v>148</v>
      </c>
      <c r="K2047" s="24" t="s">
        <v>148</v>
      </c>
      <c r="L2047" s="24" t="s">
        <v>148</v>
      </c>
    </row>
    <row r="2048" customFormat="false" ht="18" hidden="false" customHeight="true" outlineLevel="0" collapsed="false">
      <c r="A2048" s="17" t="s">
        <v>84</v>
      </c>
      <c r="B2048" s="18" t="s">
        <v>176</v>
      </c>
      <c r="C2048" s="19" t="s">
        <v>93</v>
      </c>
      <c r="D2048" s="20"/>
      <c r="E2048" s="20"/>
      <c r="F2048" s="21" t="n">
        <f aca="false">'📋 Matches'!E32</f>
        <v>0</v>
      </c>
      <c r="G2048" s="21" t="n">
        <f aca="false">'📋 Matches'!F32</f>
        <v>0</v>
      </c>
      <c r="H2048" s="24" t="s">
        <v>148</v>
      </c>
      <c r="I2048" s="24" t="s">
        <v>148</v>
      </c>
      <c r="J2048" s="24" t="s">
        <v>148</v>
      </c>
      <c r="K2048" s="24" t="s">
        <v>148</v>
      </c>
      <c r="L2048" s="24" t="s">
        <v>148</v>
      </c>
    </row>
    <row r="2049" customFormat="false" ht="18" hidden="false" customHeight="true" outlineLevel="0" collapsed="false">
      <c r="A2049" s="17" t="s">
        <v>84</v>
      </c>
      <c r="B2049" s="18" t="s">
        <v>176</v>
      </c>
      <c r="C2049" s="19" t="s">
        <v>94</v>
      </c>
      <c r="D2049" s="20"/>
      <c r="E2049" s="20"/>
      <c r="F2049" s="21" t="n">
        <f aca="false">'📋 Matches'!E33</f>
        <v>0</v>
      </c>
      <c r="G2049" s="21" t="n">
        <f aca="false">'📋 Matches'!F33</f>
        <v>0</v>
      </c>
      <c r="H2049" s="24" t="s">
        <v>148</v>
      </c>
      <c r="I2049" s="24" t="s">
        <v>148</v>
      </c>
      <c r="J2049" s="24" t="s">
        <v>148</v>
      </c>
      <c r="K2049" s="24" t="s">
        <v>148</v>
      </c>
      <c r="L2049" s="24" t="s">
        <v>148</v>
      </c>
    </row>
    <row r="2050" customFormat="false" ht="18" hidden="false" customHeight="true" outlineLevel="0" collapsed="false">
      <c r="A2050" s="17" t="s">
        <v>84</v>
      </c>
      <c r="B2050" s="18" t="s">
        <v>176</v>
      </c>
      <c r="C2050" s="19" t="s">
        <v>96</v>
      </c>
      <c r="D2050" s="20"/>
      <c r="E2050" s="20"/>
      <c r="F2050" s="21" t="n">
        <f aca="false">'📋 Matches'!E34</f>
        <v>0</v>
      </c>
      <c r="G2050" s="21" t="n">
        <f aca="false">'📋 Matches'!F34</f>
        <v>0</v>
      </c>
      <c r="H2050" s="24" t="s">
        <v>148</v>
      </c>
      <c r="I2050" s="24" t="s">
        <v>148</v>
      </c>
      <c r="J2050" s="24" t="s">
        <v>148</v>
      </c>
      <c r="K2050" s="24" t="s">
        <v>148</v>
      </c>
      <c r="L2050" s="24" t="s">
        <v>148</v>
      </c>
    </row>
    <row r="2051" customFormat="false" ht="18" hidden="false" customHeight="true" outlineLevel="0" collapsed="false">
      <c r="A2051" s="17" t="s">
        <v>84</v>
      </c>
      <c r="B2051" s="18" t="s">
        <v>176</v>
      </c>
      <c r="C2051" s="19" t="s">
        <v>97</v>
      </c>
      <c r="D2051" s="20"/>
      <c r="E2051" s="20"/>
      <c r="F2051" s="21" t="n">
        <f aca="false">'📋 Matches'!E35</f>
        <v>0</v>
      </c>
      <c r="G2051" s="21" t="n">
        <f aca="false">'📋 Matches'!F35</f>
        <v>0</v>
      </c>
      <c r="H2051" s="24" t="s">
        <v>148</v>
      </c>
      <c r="I2051" s="24" t="s">
        <v>148</v>
      </c>
      <c r="J2051" s="24" t="s">
        <v>148</v>
      </c>
      <c r="K2051" s="24" t="s">
        <v>148</v>
      </c>
      <c r="L2051" s="24" t="s">
        <v>148</v>
      </c>
    </row>
    <row r="2052" customFormat="false" ht="18" hidden="false" customHeight="true" outlineLevel="0" collapsed="false">
      <c r="A2052" s="17" t="s">
        <v>84</v>
      </c>
      <c r="B2052" s="18" t="s">
        <v>176</v>
      </c>
      <c r="C2052" s="19" t="s">
        <v>98</v>
      </c>
      <c r="D2052" s="20"/>
      <c r="E2052" s="20"/>
      <c r="F2052" s="21" t="n">
        <f aca="false">'📋 Matches'!E36</f>
        <v>0</v>
      </c>
      <c r="G2052" s="21" t="n">
        <f aca="false">'📋 Matches'!F36</f>
        <v>0</v>
      </c>
      <c r="H2052" s="24" t="s">
        <v>148</v>
      </c>
      <c r="I2052" s="24" t="s">
        <v>148</v>
      </c>
      <c r="J2052" s="24" t="s">
        <v>148</v>
      </c>
      <c r="K2052" s="24" t="s">
        <v>148</v>
      </c>
      <c r="L2052" s="24" t="s">
        <v>148</v>
      </c>
    </row>
    <row r="2053" customFormat="false" ht="18" hidden="false" customHeight="true" outlineLevel="0" collapsed="false">
      <c r="A2053" s="17" t="s">
        <v>84</v>
      </c>
      <c r="B2053" s="18" t="s">
        <v>176</v>
      </c>
      <c r="C2053" s="19" t="s">
        <v>100</v>
      </c>
      <c r="D2053" s="20"/>
      <c r="E2053" s="20"/>
      <c r="F2053" s="21" t="n">
        <f aca="false">'📋 Matches'!E37</f>
        <v>0</v>
      </c>
      <c r="G2053" s="21" t="n">
        <f aca="false">'📋 Matches'!F37</f>
        <v>0</v>
      </c>
      <c r="H2053" s="24" t="s">
        <v>148</v>
      </c>
      <c r="I2053" s="24" t="s">
        <v>148</v>
      </c>
      <c r="J2053" s="24" t="s">
        <v>148</v>
      </c>
      <c r="K2053" s="24" t="s">
        <v>148</v>
      </c>
      <c r="L2053" s="24" t="s">
        <v>148</v>
      </c>
    </row>
    <row r="2054" customFormat="false" ht="18" hidden="false" customHeight="true" outlineLevel="0" collapsed="false">
      <c r="A2054" s="17" t="s">
        <v>84</v>
      </c>
      <c r="B2054" s="18" t="s">
        <v>176</v>
      </c>
      <c r="C2054" s="19" t="s">
        <v>101</v>
      </c>
      <c r="D2054" s="20"/>
      <c r="E2054" s="20"/>
      <c r="F2054" s="21" t="n">
        <f aca="false">'📋 Matches'!E38</f>
        <v>0</v>
      </c>
      <c r="G2054" s="21" t="n">
        <f aca="false">'📋 Matches'!F38</f>
        <v>0</v>
      </c>
      <c r="H2054" s="24" t="s">
        <v>148</v>
      </c>
      <c r="I2054" s="24" t="s">
        <v>148</v>
      </c>
      <c r="J2054" s="24" t="s">
        <v>148</v>
      </c>
      <c r="K2054" s="24" t="s">
        <v>148</v>
      </c>
      <c r="L2054" s="24" t="s">
        <v>148</v>
      </c>
    </row>
    <row r="2055" customFormat="false" ht="18" hidden="false" customHeight="true" outlineLevel="0" collapsed="false">
      <c r="A2055" s="17" t="s">
        <v>84</v>
      </c>
      <c r="B2055" s="18" t="s">
        <v>176</v>
      </c>
      <c r="C2055" s="19" t="s">
        <v>102</v>
      </c>
      <c r="D2055" s="20"/>
      <c r="E2055" s="20"/>
      <c r="F2055" s="21" t="n">
        <f aca="false">'📋 Matches'!E39</f>
        <v>0</v>
      </c>
      <c r="G2055" s="21" t="n">
        <f aca="false">'📋 Matches'!F39</f>
        <v>0</v>
      </c>
      <c r="H2055" s="24" t="s">
        <v>148</v>
      </c>
      <c r="I2055" s="24" t="s">
        <v>148</v>
      </c>
      <c r="J2055" s="24" t="s">
        <v>148</v>
      </c>
      <c r="K2055" s="24" t="s">
        <v>148</v>
      </c>
      <c r="L2055" s="24" t="s">
        <v>148</v>
      </c>
    </row>
    <row r="2056" customFormat="false" ht="18" hidden="false" customHeight="true" outlineLevel="0" collapsed="false">
      <c r="A2056" s="17" t="s">
        <v>84</v>
      </c>
      <c r="B2056" s="18" t="s">
        <v>176</v>
      </c>
      <c r="C2056" s="19" t="s">
        <v>103</v>
      </c>
      <c r="D2056" s="20"/>
      <c r="E2056" s="20"/>
      <c r="F2056" s="21" t="n">
        <f aca="false">'📋 Matches'!E40</f>
        <v>0</v>
      </c>
      <c r="G2056" s="21" t="n">
        <f aca="false">'📋 Matches'!F40</f>
        <v>0</v>
      </c>
      <c r="H2056" s="24" t="s">
        <v>148</v>
      </c>
      <c r="I2056" s="24" t="s">
        <v>148</v>
      </c>
      <c r="J2056" s="24" t="s">
        <v>148</v>
      </c>
      <c r="K2056" s="24" t="s">
        <v>148</v>
      </c>
      <c r="L2056" s="24" t="s">
        <v>148</v>
      </c>
    </row>
    <row r="2057" customFormat="false" ht="18" hidden="false" customHeight="true" outlineLevel="0" collapsed="false">
      <c r="A2057" s="17" t="s">
        <v>84</v>
      </c>
      <c r="B2057" s="18" t="s">
        <v>176</v>
      </c>
      <c r="C2057" s="19" t="s">
        <v>104</v>
      </c>
      <c r="D2057" s="20"/>
      <c r="E2057" s="20"/>
      <c r="F2057" s="21" t="n">
        <f aca="false">'📋 Matches'!E41</f>
        <v>0</v>
      </c>
      <c r="G2057" s="21" t="n">
        <f aca="false">'📋 Matches'!F41</f>
        <v>0</v>
      </c>
      <c r="H2057" s="24" t="s">
        <v>148</v>
      </c>
      <c r="I2057" s="24" t="s">
        <v>148</v>
      </c>
      <c r="J2057" s="24" t="s">
        <v>148</v>
      </c>
      <c r="K2057" s="24" t="s">
        <v>148</v>
      </c>
      <c r="L2057" s="24" t="s">
        <v>148</v>
      </c>
    </row>
    <row r="2058" customFormat="false" ht="18" hidden="false" customHeight="true" outlineLevel="0" collapsed="false">
      <c r="A2058" s="17" t="s">
        <v>84</v>
      </c>
      <c r="B2058" s="18" t="s">
        <v>176</v>
      </c>
      <c r="C2058" s="19" t="s">
        <v>105</v>
      </c>
      <c r="D2058" s="20"/>
      <c r="E2058" s="20"/>
      <c r="F2058" s="21" t="n">
        <f aca="false">'📋 Matches'!E42</f>
        <v>0</v>
      </c>
      <c r="G2058" s="21" t="n">
        <f aca="false">'📋 Matches'!F42</f>
        <v>0</v>
      </c>
      <c r="H2058" s="24" t="s">
        <v>148</v>
      </c>
      <c r="I2058" s="24" t="s">
        <v>148</v>
      </c>
      <c r="J2058" s="24" t="s">
        <v>148</v>
      </c>
      <c r="K2058" s="24" t="s">
        <v>148</v>
      </c>
      <c r="L2058" s="24" t="s">
        <v>148</v>
      </c>
    </row>
    <row r="2059" customFormat="false" ht="18" hidden="false" customHeight="true" outlineLevel="0" collapsed="false">
      <c r="A2059" s="17" t="s">
        <v>84</v>
      </c>
      <c r="B2059" s="18" t="s">
        <v>176</v>
      </c>
      <c r="C2059" s="19" t="s">
        <v>106</v>
      </c>
      <c r="D2059" s="20"/>
      <c r="E2059" s="20"/>
      <c r="F2059" s="21" t="n">
        <f aca="false">'📋 Matches'!E43</f>
        <v>0</v>
      </c>
      <c r="G2059" s="21" t="n">
        <f aca="false">'📋 Matches'!F43</f>
        <v>0</v>
      </c>
      <c r="H2059" s="24" t="s">
        <v>148</v>
      </c>
      <c r="I2059" s="24" t="s">
        <v>148</v>
      </c>
      <c r="J2059" s="24" t="s">
        <v>148</v>
      </c>
      <c r="K2059" s="24" t="s">
        <v>148</v>
      </c>
      <c r="L2059" s="24" t="s">
        <v>148</v>
      </c>
    </row>
    <row r="2060" customFormat="false" ht="18" hidden="false" customHeight="true" outlineLevel="0" collapsed="false">
      <c r="A2060" s="17" t="s">
        <v>84</v>
      </c>
      <c r="B2060" s="18" t="s">
        <v>176</v>
      </c>
      <c r="C2060" s="19" t="s">
        <v>107</v>
      </c>
      <c r="D2060" s="20"/>
      <c r="E2060" s="20"/>
      <c r="F2060" s="21" t="n">
        <f aca="false">'📋 Matches'!E44</f>
        <v>0</v>
      </c>
      <c r="G2060" s="21" t="n">
        <f aca="false">'📋 Matches'!F44</f>
        <v>0</v>
      </c>
      <c r="H2060" s="24" t="s">
        <v>148</v>
      </c>
      <c r="I2060" s="24" t="s">
        <v>148</v>
      </c>
      <c r="J2060" s="24" t="s">
        <v>148</v>
      </c>
      <c r="K2060" s="24" t="s">
        <v>148</v>
      </c>
      <c r="L2060" s="24" t="s">
        <v>148</v>
      </c>
    </row>
    <row r="2061" customFormat="false" ht="18" hidden="false" customHeight="true" outlineLevel="0" collapsed="false">
      <c r="A2061" s="17" t="s">
        <v>84</v>
      </c>
      <c r="B2061" s="18" t="s">
        <v>176</v>
      </c>
      <c r="C2061" s="19" t="s">
        <v>108</v>
      </c>
      <c r="D2061" s="20"/>
      <c r="E2061" s="20"/>
      <c r="F2061" s="21" t="n">
        <f aca="false">'📋 Matches'!E45</f>
        <v>0</v>
      </c>
      <c r="G2061" s="21" t="n">
        <f aca="false">'📋 Matches'!F45</f>
        <v>0</v>
      </c>
      <c r="H2061" s="24" t="s">
        <v>148</v>
      </c>
      <c r="I2061" s="24" t="s">
        <v>148</v>
      </c>
      <c r="J2061" s="24" t="s">
        <v>148</v>
      </c>
      <c r="K2061" s="24" t="s">
        <v>148</v>
      </c>
      <c r="L2061" s="24" t="s">
        <v>148</v>
      </c>
    </row>
    <row r="2062" customFormat="false" ht="18" hidden="false" customHeight="true" outlineLevel="0" collapsed="false">
      <c r="A2062" s="17" t="s">
        <v>84</v>
      </c>
      <c r="B2062" s="18" t="s">
        <v>176</v>
      </c>
      <c r="C2062" s="19" t="s">
        <v>109</v>
      </c>
      <c r="D2062" s="20"/>
      <c r="E2062" s="20"/>
      <c r="F2062" s="21" t="n">
        <f aca="false">'📋 Matches'!E46</f>
        <v>0</v>
      </c>
      <c r="G2062" s="21" t="n">
        <f aca="false">'📋 Matches'!F46</f>
        <v>0</v>
      </c>
      <c r="H2062" s="24" t="s">
        <v>148</v>
      </c>
      <c r="I2062" s="24" t="s">
        <v>148</v>
      </c>
      <c r="J2062" s="24" t="s">
        <v>148</v>
      </c>
      <c r="K2062" s="24" t="s">
        <v>148</v>
      </c>
      <c r="L2062" s="24" t="s">
        <v>148</v>
      </c>
    </row>
    <row r="2063" customFormat="false" ht="18" hidden="false" customHeight="true" outlineLevel="0" collapsed="false">
      <c r="A2063" s="17" t="s">
        <v>84</v>
      </c>
      <c r="B2063" s="18" t="s">
        <v>176</v>
      </c>
      <c r="C2063" s="19" t="s">
        <v>110</v>
      </c>
      <c r="D2063" s="20"/>
      <c r="E2063" s="20"/>
      <c r="F2063" s="21" t="n">
        <f aca="false">'📋 Matches'!E47</f>
        <v>0</v>
      </c>
      <c r="G2063" s="21" t="n">
        <f aca="false">'📋 Matches'!F47</f>
        <v>0</v>
      </c>
      <c r="H2063" s="24" t="s">
        <v>148</v>
      </c>
      <c r="I2063" s="24" t="s">
        <v>148</v>
      </c>
      <c r="J2063" s="24" t="s">
        <v>148</v>
      </c>
      <c r="K2063" s="24" t="s">
        <v>148</v>
      </c>
      <c r="L2063" s="24" t="s">
        <v>148</v>
      </c>
    </row>
    <row r="2064" customFormat="false" ht="18" hidden="false" customHeight="true" outlineLevel="0" collapsed="false">
      <c r="A2064" s="17" t="s">
        <v>84</v>
      </c>
      <c r="B2064" s="18" t="s">
        <v>176</v>
      </c>
      <c r="C2064" s="19" t="s">
        <v>111</v>
      </c>
      <c r="D2064" s="20"/>
      <c r="E2064" s="20"/>
      <c r="F2064" s="21" t="n">
        <f aca="false">'📋 Matches'!E48</f>
        <v>0</v>
      </c>
      <c r="G2064" s="21" t="n">
        <f aca="false">'📋 Matches'!F48</f>
        <v>0</v>
      </c>
      <c r="H2064" s="24" t="s">
        <v>148</v>
      </c>
      <c r="I2064" s="24" t="s">
        <v>148</v>
      </c>
      <c r="J2064" s="24" t="s">
        <v>148</v>
      </c>
      <c r="K2064" s="24" t="s">
        <v>148</v>
      </c>
      <c r="L2064" s="24" t="s">
        <v>148</v>
      </c>
    </row>
    <row r="2065" customFormat="false" ht="18" hidden="false" customHeight="true" outlineLevel="0" collapsed="false">
      <c r="A2065" s="17" t="s">
        <v>84</v>
      </c>
      <c r="B2065" s="18" t="s">
        <v>176</v>
      </c>
      <c r="C2065" s="19" t="s">
        <v>112</v>
      </c>
      <c r="D2065" s="20"/>
      <c r="E2065" s="20"/>
      <c r="F2065" s="21" t="n">
        <f aca="false">'📋 Matches'!E49</f>
        <v>0</v>
      </c>
      <c r="G2065" s="21" t="n">
        <f aca="false">'📋 Matches'!F49</f>
        <v>0</v>
      </c>
      <c r="H2065" s="24" t="s">
        <v>148</v>
      </c>
      <c r="I2065" s="24" t="s">
        <v>148</v>
      </c>
      <c r="J2065" s="24" t="s">
        <v>148</v>
      </c>
      <c r="K2065" s="24" t="s">
        <v>148</v>
      </c>
      <c r="L2065" s="24" t="s">
        <v>148</v>
      </c>
    </row>
    <row r="2066" customFormat="false" ht="18" hidden="false" customHeight="true" outlineLevel="0" collapsed="false">
      <c r="A2066" s="17" t="s">
        <v>114</v>
      </c>
      <c r="B2066" s="18" t="s">
        <v>176</v>
      </c>
      <c r="C2066" s="19" t="s">
        <v>115</v>
      </c>
      <c r="D2066" s="20"/>
      <c r="E2066" s="20"/>
      <c r="F2066" s="21" t="n">
        <f aca="false">'📋 Matches'!E50</f>
        <v>0</v>
      </c>
      <c r="G2066" s="21" t="n">
        <f aca="false">'📋 Matches'!F50</f>
        <v>0</v>
      </c>
      <c r="H2066" s="24" t="s">
        <v>148</v>
      </c>
      <c r="I2066" s="24" t="s">
        <v>148</v>
      </c>
      <c r="J2066" s="24" t="s">
        <v>148</v>
      </c>
      <c r="K2066" s="24" t="s">
        <v>148</v>
      </c>
      <c r="L2066" s="24" t="s">
        <v>148</v>
      </c>
    </row>
    <row r="2067" customFormat="false" ht="18" hidden="false" customHeight="true" outlineLevel="0" collapsed="false">
      <c r="A2067" s="17" t="s">
        <v>114</v>
      </c>
      <c r="B2067" s="18" t="s">
        <v>176</v>
      </c>
      <c r="C2067" s="19" t="s">
        <v>116</v>
      </c>
      <c r="D2067" s="20"/>
      <c r="E2067" s="20"/>
      <c r="F2067" s="21" t="n">
        <f aca="false">'📋 Matches'!E51</f>
        <v>0</v>
      </c>
      <c r="G2067" s="21" t="n">
        <f aca="false">'📋 Matches'!F51</f>
        <v>0</v>
      </c>
      <c r="H2067" s="24" t="s">
        <v>148</v>
      </c>
      <c r="I2067" s="24" t="s">
        <v>148</v>
      </c>
      <c r="J2067" s="24" t="s">
        <v>148</v>
      </c>
      <c r="K2067" s="24" t="s">
        <v>148</v>
      </c>
      <c r="L2067" s="24" t="s">
        <v>148</v>
      </c>
    </row>
    <row r="2068" customFormat="false" ht="18" hidden="false" customHeight="true" outlineLevel="0" collapsed="false">
      <c r="A2068" s="17" t="s">
        <v>114</v>
      </c>
      <c r="B2068" s="18" t="s">
        <v>176</v>
      </c>
      <c r="C2068" s="19" t="s">
        <v>117</v>
      </c>
      <c r="D2068" s="20"/>
      <c r="E2068" s="20"/>
      <c r="F2068" s="21" t="n">
        <f aca="false">'📋 Matches'!E52</f>
        <v>0</v>
      </c>
      <c r="G2068" s="21" t="n">
        <f aca="false">'📋 Matches'!F52</f>
        <v>0</v>
      </c>
      <c r="H2068" s="24" t="s">
        <v>148</v>
      </c>
      <c r="I2068" s="24" t="s">
        <v>148</v>
      </c>
      <c r="J2068" s="24" t="s">
        <v>148</v>
      </c>
      <c r="K2068" s="24" t="s">
        <v>148</v>
      </c>
      <c r="L2068" s="24" t="s">
        <v>148</v>
      </c>
    </row>
    <row r="2069" customFormat="false" ht="18" hidden="false" customHeight="true" outlineLevel="0" collapsed="false">
      <c r="A2069" s="17" t="s">
        <v>114</v>
      </c>
      <c r="B2069" s="18" t="s">
        <v>176</v>
      </c>
      <c r="C2069" s="19" t="s">
        <v>118</v>
      </c>
      <c r="D2069" s="20"/>
      <c r="E2069" s="20"/>
      <c r="F2069" s="21" t="n">
        <f aca="false">'📋 Matches'!E53</f>
        <v>0</v>
      </c>
      <c r="G2069" s="21" t="n">
        <f aca="false">'📋 Matches'!F53</f>
        <v>0</v>
      </c>
      <c r="H2069" s="24" t="s">
        <v>148</v>
      </c>
      <c r="I2069" s="24" t="s">
        <v>148</v>
      </c>
      <c r="J2069" s="24" t="s">
        <v>148</v>
      </c>
      <c r="K2069" s="24" t="s">
        <v>148</v>
      </c>
      <c r="L2069" s="24" t="s">
        <v>148</v>
      </c>
    </row>
    <row r="2070" customFormat="false" ht="18" hidden="false" customHeight="true" outlineLevel="0" collapsed="false">
      <c r="A2070" s="17" t="s">
        <v>114</v>
      </c>
      <c r="B2070" s="18" t="s">
        <v>176</v>
      </c>
      <c r="C2070" s="19" t="s">
        <v>119</v>
      </c>
      <c r="D2070" s="20"/>
      <c r="E2070" s="20"/>
      <c r="F2070" s="21" t="n">
        <f aca="false">'📋 Matches'!E54</f>
        <v>0</v>
      </c>
      <c r="G2070" s="21" t="n">
        <f aca="false">'📋 Matches'!F54</f>
        <v>0</v>
      </c>
      <c r="H2070" s="24" t="s">
        <v>148</v>
      </c>
      <c r="I2070" s="24" t="s">
        <v>148</v>
      </c>
      <c r="J2070" s="24" t="s">
        <v>148</v>
      </c>
      <c r="K2070" s="24" t="s">
        <v>148</v>
      </c>
      <c r="L2070" s="24" t="s">
        <v>148</v>
      </c>
    </row>
    <row r="2071" customFormat="false" ht="18" hidden="false" customHeight="true" outlineLevel="0" collapsed="false">
      <c r="A2071" s="17" t="s">
        <v>114</v>
      </c>
      <c r="B2071" s="18" t="s">
        <v>176</v>
      </c>
      <c r="C2071" s="19" t="s">
        <v>120</v>
      </c>
      <c r="D2071" s="20"/>
      <c r="E2071" s="20"/>
      <c r="F2071" s="21" t="n">
        <f aca="false">'📋 Matches'!E55</f>
        <v>0</v>
      </c>
      <c r="G2071" s="21" t="n">
        <f aca="false">'📋 Matches'!F55</f>
        <v>0</v>
      </c>
      <c r="H2071" s="24" t="s">
        <v>148</v>
      </c>
      <c r="I2071" s="24" t="s">
        <v>148</v>
      </c>
      <c r="J2071" s="24" t="s">
        <v>148</v>
      </c>
      <c r="K2071" s="24" t="s">
        <v>148</v>
      </c>
      <c r="L2071" s="24" t="s">
        <v>148</v>
      </c>
    </row>
    <row r="2072" customFormat="false" ht="18" hidden="false" customHeight="true" outlineLevel="0" collapsed="false">
      <c r="A2072" s="17" t="s">
        <v>114</v>
      </c>
      <c r="B2072" s="18" t="s">
        <v>176</v>
      </c>
      <c r="C2072" s="19" t="s">
        <v>121</v>
      </c>
      <c r="D2072" s="20"/>
      <c r="E2072" s="20"/>
      <c r="F2072" s="21" t="n">
        <f aca="false">'📋 Matches'!E56</f>
        <v>0</v>
      </c>
      <c r="G2072" s="21" t="n">
        <f aca="false">'📋 Matches'!F56</f>
        <v>0</v>
      </c>
      <c r="H2072" s="24" t="s">
        <v>148</v>
      </c>
      <c r="I2072" s="24" t="s">
        <v>148</v>
      </c>
      <c r="J2072" s="24" t="s">
        <v>148</v>
      </c>
      <c r="K2072" s="24" t="s">
        <v>148</v>
      </c>
      <c r="L2072" s="24" t="s">
        <v>148</v>
      </c>
    </row>
    <row r="2073" customFormat="false" ht="18" hidden="false" customHeight="true" outlineLevel="0" collapsed="false">
      <c r="A2073" s="17" t="s">
        <v>114</v>
      </c>
      <c r="B2073" s="18" t="s">
        <v>176</v>
      </c>
      <c r="C2073" s="19" t="s">
        <v>122</v>
      </c>
      <c r="D2073" s="20"/>
      <c r="E2073" s="20"/>
      <c r="F2073" s="21" t="n">
        <f aca="false">'📋 Matches'!E57</f>
        <v>0</v>
      </c>
      <c r="G2073" s="21" t="n">
        <f aca="false">'📋 Matches'!F57</f>
        <v>0</v>
      </c>
      <c r="H2073" s="24" t="s">
        <v>148</v>
      </c>
      <c r="I2073" s="24" t="s">
        <v>148</v>
      </c>
      <c r="J2073" s="24" t="s">
        <v>148</v>
      </c>
      <c r="K2073" s="24" t="s">
        <v>148</v>
      </c>
      <c r="L2073" s="24" t="s">
        <v>148</v>
      </c>
    </row>
    <row r="2074" customFormat="false" ht="18" hidden="false" customHeight="true" outlineLevel="0" collapsed="false">
      <c r="A2074" s="17" t="s">
        <v>114</v>
      </c>
      <c r="B2074" s="18" t="s">
        <v>176</v>
      </c>
      <c r="C2074" s="19" t="s">
        <v>123</v>
      </c>
      <c r="D2074" s="20"/>
      <c r="E2074" s="20"/>
      <c r="F2074" s="21" t="n">
        <f aca="false">'📋 Matches'!E58</f>
        <v>0</v>
      </c>
      <c r="G2074" s="21" t="n">
        <f aca="false">'📋 Matches'!F58</f>
        <v>0</v>
      </c>
      <c r="H2074" s="24" t="s">
        <v>148</v>
      </c>
      <c r="I2074" s="24" t="s">
        <v>148</v>
      </c>
      <c r="J2074" s="24" t="s">
        <v>148</v>
      </c>
      <c r="K2074" s="24" t="s">
        <v>148</v>
      </c>
      <c r="L2074" s="24" t="s">
        <v>148</v>
      </c>
    </row>
    <row r="2075" customFormat="false" ht="18" hidden="false" customHeight="true" outlineLevel="0" collapsed="false">
      <c r="A2075" s="17" t="s">
        <v>114</v>
      </c>
      <c r="B2075" s="18" t="s">
        <v>176</v>
      </c>
      <c r="C2075" s="19" t="s">
        <v>124</v>
      </c>
      <c r="D2075" s="20"/>
      <c r="E2075" s="20"/>
      <c r="F2075" s="21" t="n">
        <f aca="false">'📋 Matches'!E59</f>
        <v>0</v>
      </c>
      <c r="G2075" s="21" t="n">
        <f aca="false">'📋 Matches'!F59</f>
        <v>0</v>
      </c>
      <c r="H2075" s="24" t="s">
        <v>148</v>
      </c>
      <c r="I2075" s="24" t="s">
        <v>148</v>
      </c>
      <c r="J2075" s="24" t="s">
        <v>148</v>
      </c>
      <c r="K2075" s="24" t="s">
        <v>148</v>
      </c>
      <c r="L2075" s="24" t="s">
        <v>148</v>
      </c>
    </row>
    <row r="2076" customFormat="false" ht="18" hidden="false" customHeight="true" outlineLevel="0" collapsed="false">
      <c r="A2076" s="17" t="s">
        <v>114</v>
      </c>
      <c r="B2076" s="18" t="s">
        <v>176</v>
      </c>
      <c r="C2076" s="19" t="s">
        <v>125</v>
      </c>
      <c r="D2076" s="20"/>
      <c r="E2076" s="20"/>
      <c r="F2076" s="21" t="n">
        <f aca="false">'📋 Matches'!E60</f>
        <v>0</v>
      </c>
      <c r="G2076" s="21" t="n">
        <f aca="false">'📋 Matches'!F60</f>
        <v>0</v>
      </c>
      <c r="H2076" s="24" t="s">
        <v>148</v>
      </c>
      <c r="I2076" s="24" t="s">
        <v>148</v>
      </c>
      <c r="J2076" s="24" t="s">
        <v>148</v>
      </c>
      <c r="K2076" s="24" t="s">
        <v>148</v>
      </c>
      <c r="L2076" s="24" t="s">
        <v>148</v>
      </c>
    </row>
    <row r="2077" customFormat="false" ht="18" hidden="false" customHeight="true" outlineLevel="0" collapsed="false">
      <c r="A2077" s="17" t="s">
        <v>114</v>
      </c>
      <c r="B2077" s="18" t="s">
        <v>176</v>
      </c>
      <c r="C2077" s="19" t="s">
        <v>126</v>
      </c>
      <c r="D2077" s="20"/>
      <c r="E2077" s="20"/>
      <c r="F2077" s="21" t="n">
        <f aca="false">'📋 Matches'!E61</f>
        <v>0</v>
      </c>
      <c r="G2077" s="21" t="n">
        <f aca="false">'📋 Matches'!F61</f>
        <v>0</v>
      </c>
      <c r="H2077" s="24" t="s">
        <v>148</v>
      </c>
      <c r="I2077" s="24" t="s">
        <v>148</v>
      </c>
      <c r="J2077" s="24" t="s">
        <v>148</v>
      </c>
      <c r="K2077" s="24" t="s">
        <v>148</v>
      </c>
      <c r="L2077" s="24" t="s">
        <v>148</v>
      </c>
    </row>
    <row r="2078" customFormat="false" ht="18" hidden="false" customHeight="true" outlineLevel="0" collapsed="false">
      <c r="A2078" s="17" t="s">
        <v>114</v>
      </c>
      <c r="B2078" s="18" t="s">
        <v>176</v>
      </c>
      <c r="C2078" s="19" t="s">
        <v>127</v>
      </c>
      <c r="D2078" s="20"/>
      <c r="E2078" s="20"/>
      <c r="F2078" s="21" t="n">
        <f aca="false">'📋 Matches'!E62</f>
        <v>0</v>
      </c>
      <c r="G2078" s="21" t="n">
        <f aca="false">'📋 Matches'!F62</f>
        <v>0</v>
      </c>
      <c r="H2078" s="24" t="s">
        <v>148</v>
      </c>
      <c r="I2078" s="24" t="s">
        <v>148</v>
      </c>
      <c r="J2078" s="24" t="s">
        <v>148</v>
      </c>
      <c r="K2078" s="24" t="s">
        <v>148</v>
      </c>
      <c r="L2078" s="24" t="s">
        <v>148</v>
      </c>
    </row>
    <row r="2079" customFormat="false" ht="18" hidden="false" customHeight="true" outlineLevel="0" collapsed="false">
      <c r="A2079" s="17" t="s">
        <v>114</v>
      </c>
      <c r="B2079" s="18" t="s">
        <v>176</v>
      </c>
      <c r="C2079" s="19" t="s">
        <v>128</v>
      </c>
      <c r="D2079" s="20"/>
      <c r="E2079" s="20"/>
      <c r="F2079" s="21" t="n">
        <f aca="false">'📋 Matches'!E63</f>
        <v>0</v>
      </c>
      <c r="G2079" s="21" t="n">
        <f aca="false">'📋 Matches'!F63</f>
        <v>0</v>
      </c>
      <c r="H2079" s="24" t="s">
        <v>148</v>
      </c>
      <c r="I2079" s="24" t="s">
        <v>148</v>
      </c>
      <c r="J2079" s="24" t="s">
        <v>148</v>
      </c>
      <c r="K2079" s="24" t="s">
        <v>148</v>
      </c>
      <c r="L2079" s="24" t="s">
        <v>148</v>
      </c>
    </row>
    <row r="2080" customFormat="false" ht="18" hidden="false" customHeight="true" outlineLevel="0" collapsed="false">
      <c r="A2080" s="17" t="s">
        <v>114</v>
      </c>
      <c r="B2080" s="18" t="s">
        <v>176</v>
      </c>
      <c r="C2080" s="19" t="s">
        <v>129</v>
      </c>
      <c r="D2080" s="20"/>
      <c r="E2080" s="20"/>
      <c r="F2080" s="21" t="n">
        <f aca="false">'📋 Matches'!E64</f>
        <v>0</v>
      </c>
      <c r="G2080" s="21" t="n">
        <f aca="false">'📋 Matches'!F64</f>
        <v>0</v>
      </c>
      <c r="H2080" s="24" t="s">
        <v>148</v>
      </c>
      <c r="I2080" s="24" t="s">
        <v>148</v>
      </c>
      <c r="J2080" s="24" t="s">
        <v>148</v>
      </c>
      <c r="K2080" s="24" t="s">
        <v>148</v>
      </c>
      <c r="L2080" s="24" t="s">
        <v>148</v>
      </c>
    </row>
    <row r="2081" customFormat="false" ht="18" hidden="false" customHeight="true" outlineLevel="0" collapsed="false">
      <c r="A2081" s="17" t="s">
        <v>114</v>
      </c>
      <c r="B2081" s="18" t="s">
        <v>176</v>
      </c>
      <c r="C2081" s="19" t="s">
        <v>130</v>
      </c>
      <c r="D2081" s="20"/>
      <c r="E2081" s="20"/>
      <c r="F2081" s="21" t="n">
        <f aca="false">'📋 Matches'!E65</f>
        <v>0</v>
      </c>
      <c r="G2081" s="21" t="n">
        <f aca="false">'📋 Matches'!F65</f>
        <v>0</v>
      </c>
      <c r="H2081" s="24" t="s">
        <v>148</v>
      </c>
      <c r="I2081" s="24" t="s">
        <v>148</v>
      </c>
      <c r="J2081" s="24" t="s">
        <v>148</v>
      </c>
      <c r="K2081" s="24" t="s">
        <v>148</v>
      </c>
      <c r="L2081" s="24" t="s">
        <v>148</v>
      </c>
    </row>
    <row r="2082" customFormat="false" ht="18" hidden="false" customHeight="true" outlineLevel="0" collapsed="false">
      <c r="A2082" s="17" t="s">
        <v>114</v>
      </c>
      <c r="B2082" s="18" t="s">
        <v>176</v>
      </c>
      <c r="C2082" s="19" t="s">
        <v>131</v>
      </c>
      <c r="D2082" s="20"/>
      <c r="E2082" s="20"/>
      <c r="F2082" s="21" t="n">
        <f aca="false">'📋 Matches'!E66</f>
        <v>0</v>
      </c>
      <c r="G2082" s="21" t="n">
        <f aca="false">'📋 Matches'!F66</f>
        <v>0</v>
      </c>
      <c r="H2082" s="24" t="s">
        <v>148</v>
      </c>
      <c r="I2082" s="24" t="s">
        <v>148</v>
      </c>
      <c r="J2082" s="24" t="s">
        <v>148</v>
      </c>
      <c r="K2082" s="24" t="s">
        <v>148</v>
      </c>
      <c r="L2082" s="24" t="s">
        <v>148</v>
      </c>
    </row>
    <row r="2083" customFormat="false" ht="18" hidden="false" customHeight="true" outlineLevel="0" collapsed="false">
      <c r="A2083" s="17" t="s">
        <v>114</v>
      </c>
      <c r="B2083" s="18" t="s">
        <v>176</v>
      </c>
      <c r="C2083" s="19" t="s">
        <v>132</v>
      </c>
      <c r="D2083" s="20"/>
      <c r="E2083" s="20"/>
      <c r="F2083" s="21" t="n">
        <f aca="false">'📋 Matches'!E67</f>
        <v>0</v>
      </c>
      <c r="G2083" s="21" t="n">
        <f aca="false">'📋 Matches'!F67</f>
        <v>0</v>
      </c>
      <c r="H2083" s="24" t="s">
        <v>148</v>
      </c>
      <c r="I2083" s="24" t="s">
        <v>148</v>
      </c>
      <c r="J2083" s="24" t="s">
        <v>148</v>
      </c>
      <c r="K2083" s="24" t="s">
        <v>148</v>
      </c>
      <c r="L2083" s="24" t="s">
        <v>148</v>
      </c>
    </row>
    <row r="2084" customFormat="false" ht="18" hidden="false" customHeight="true" outlineLevel="0" collapsed="false">
      <c r="A2084" s="17" t="s">
        <v>114</v>
      </c>
      <c r="B2084" s="18" t="s">
        <v>176</v>
      </c>
      <c r="C2084" s="19" t="s">
        <v>133</v>
      </c>
      <c r="D2084" s="20"/>
      <c r="E2084" s="20"/>
      <c r="F2084" s="21" t="n">
        <f aca="false">'📋 Matches'!E68</f>
        <v>0</v>
      </c>
      <c r="G2084" s="21" t="n">
        <f aca="false">'📋 Matches'!F68</f>
        <v>0</v>
      </c>
      <c r="H2084" s="24" t="s">
        <v>148</v>
      </c>
      <c r="I2084" s="24" t="s">
        <v>148</v>
      </c>
      <c r="J2084" s="24" t="s">
        <v>148</v>
      </c>
      <c r="K2084" s="24" t="s">
        <v>148</v>
      </c>
      <c r="L2084" s="24" t="s">
        <v>148</v>
      </c>
    </row>
    <row r="2085" customFormat="false" ht="18" hidden="false" customHeight="true" outlineLevel="0" collapsed="false">
      <c r="A2085" s="17" t="s">
        <v>114</v>
      </c>
      <c r="B2085" s="18" t="s">
        <v>176</v>
      </c>
      <c r="C2085" s="19" t="s">
        <v>134</v>
      </c>
      <c r="D2085" s="20"/>
      <c r="E2085" s="20"/>
      <c r="F2085" s="21" t="n">
        <f aca="false">'📋 Matches'!E69</f>
        <v>0</v>
      </c>
      <c r="G2085" s="21" t="n">
        <f aca="false">'📋 Matches'!F69</f>
        <v>0</v>
      </c>
      <c r="H2085" s="24" t="s">
        <v>148</v>
      </c>
      <c r="I2085" s="24" t="s">
        <v>148</v>
      </c>
      <c r="J2085" s="24" t="s">
        <v>148</v>
      </c>
      <c r="K2085" s="24" t="s">
        <v>148</v>
      </c>
      <c r="L2085" s="24" t="s">
        <v>148</v>
      </c>
    </row>
    <row r="2086" customFormat="false" ht="18" hidden="false" customHeight="true" outlineLevel="0" collapsed="false">
      <c r="A2086" s="17" t="s">
        <v>114</v>
      </c>
      <c r="B2086" s="18" t="s">
        <v>176</v>
      </c>
      <c r="C2086" s="19" t="s">
        <v>135</v>
      </c>
      <c r="D2086" s="20"/>
      <c r="E2086" s="20"/>
      <c r="F2086" s="21" t="n">
        <f aca="false">'📋 Matches'!E70</f>
        <v>0</v>
      </c>
      <c r="G2086" s="21" t="n">
        <f aca="false">'📋 Matches'!F70</f>
        <v>0</v>
      </c>
      <c r="H2086" s="24" t="s">
        <v>148</v>
      </c>
      <c r="I2086" s="24" t="s">
        <v>148</v>
      </c>
      <c r="J2086" s="24" t="s">
        <v>148</v>
      </c>
      <c r="K2086" s="24" t="s">
        <v>148</v>
      </c>
      <c r="L2086" s="24" t="s">
        <v>148</v>
      </c>
    </row>
    <row r="2087" customFormat="false" ht="18" hidden="false" customHeight="true" outlineLevel="0" collapsed="false">
      <c r="A2087" s="17" t="s">
        <v>114</v>
      </c>
      <c r="B2087" s="18" t="s">
        <v>176</v>
      </c>
      <c r="C2087" s="19" t="s">
        <v>136</v>
      </c>
      <c r="D2087" s="20"/>
      <c r="E2087" s="20"/>
      <c r="F2087" s="21" t="n">
        <f aca="false">'📋 Matches'!E71</f>
        <v>0</v>
      </c>
      <c r="G2087" s="21" t="n">
        <f aca="false">'📋 Matches'!F71</f>
        <v>0</v>
      </c>
      <c r="H2087" s="24" t="s">
        <v>148</v>
      </c>
      <c r="I2087" s="24" t="s">
        <v>148</v>
      </c>
      <c r="J2087" s="24" t="s">
        <v>148</v>
      </c>
      <c r="K2087" s="24" t="s">
        <v>148</v>
      </c>
      <c r="L2087" s="24" t="s">
        <v>148</v>
      </c>
    </row>
    <row r="2088" customFormat="false" ht="18" hidden="false" customHeight="true" outlineLevel="0" collapsed="false">
      <c r="A2088" s="17" t="s">
        <v>114</v>
      </c>
      <c r="B2088" s="18" t="s">
        <v>176</v>
      </c>
      <c r="C2088" s="19" t="s">
        <v>137</v>
      </c>
      <c r="D2088" s="20"/>
      <c r="E2088" s="20"/>
      <c r="F2088" s="21" t="n">
        <f aca="false">'📋 Matches'!E72</f>
        <v>0</v>
      </c>
      <c r="G2088" s="21" t="n">
        <f aca="false">'📋 Matches'!F72</f>
        <v>0</v>
      </c>
      <c r="H2088" s="24" t="s">
        <v>148</v>
      </c>
      <c r="I2088" s="24" t="s">
        <v>148</v>
      </c>
      <c r="J2088" s="24" t="s">
        <v>148</v>
      </c>
      <c r="K2088" s="24" t="s">
        <v>148</v>
      </c>
      <c r="L2088" s="24" t="s">
        <v>148</v>
      </c>
    </row>
    <row r="2089" customFormat="false" ht="18" hidden="false" customHeight="true" outlineLevel="0" collapsed="false">
      <c r="A2089" s="17" t="s">
        <v>114</v>
      </c>
      <c r="B2089" s="18" t="s">
        <v>176</v>
      </c>
      <c r="C2089" s="19" t="s">
        <v>138</v>
      </c>
      <c r="D2089" s="20"/>
      <c r="E2089" s="20"/>
      <c r="F2089" s="21" t="n">
        <f aca="false">'📋 Matches'!E73</f>
        <v>0</v>
      </c>
      <c r="G2089" s="21" t="n">
        <f aca="false">'📋 Matches'!F73</f>
        <v>0</v>
      </c>
      <c r="H2089" s="24" t="s">
        <v>148</v>
      </c>
      <c r="I2089" s="24" t="s">
        <v>148</v>
      </c>
      <c r="J2089" s="24" t="s">
        <v>148</v>
      </c>
      <c r="K2089" s="24" t="s">
        <v>148</v>
      </c>
      <c r="L2089" s="24" t="s">
        <v>148</v>
      </c>
    </row>
    <row r="2090" customFormat="false" ht="18" hidden="false" customHeight="true" outlineLevel="0" collapsed="false">
      <c r="A2090" s="25" t="s">
        <v>9</v>
      </c>
      <c r="B2090" s="26" t="s">
        <v>177</v>
      </c>
      <c r="C2090" s="27" t="s">
        <v>10</v>
      </c>
      <c r="D2090" s="28" t="n">
        <v>3</v>
      </c>
      <c r="E2090" s="28" t="n">
        <v>0</v>
      </c>
      <c r="F2090" s="29" t="n">
        <f aca="false">'📋 Matches'!E2</f>
        <v>2</v>
      </c>
      <c r="G2090" s="29" t="n">
        <f aca="false">'📋 Matches'!F2</f>
        <v>0</v>
      </c>
      <c r="H2090" s="22" t="n">
        <f aca="false">IF(AND(ISNUMBER(F2090),ISNUMBER(G2090)),IF(SIGN(D2090-E2090)=SIGN(F2090-G2090),48,0),"")</f>
        <v>48</v>
      </c>
      <c r="I2090" s="22" t="n">
        <f aca="false">IF(AND(ISNUMBER(F2090),ISNUMBER(G2090)),IF(D2090=F2090,15,0),"")</f>
        <v>0</v>
      </c>
      <c r="J2090" s="22" t="n">
        <f aca="false">IF(AND(ISNUMBER(F2090),ISNUMBER(G2090)),IF(E2090=G2090,15,0),"")</f>
        <v>15</v>
      </c>
      <c r="K2090" s="22" t="n">
        <f aca="false">IF(AND(ISNUMBER(F2090),ISNUMBER(G2090)),IF(ABS(D2090-E2090)=ABS(F2090-G2090),12,0),"")</f>
        <v>0</v>
      </c>
      <c r="L2090" s="23" t="n">
        <f aca="false">IF(ISNUMBER(H2090),H2090+I2090+J2090+K2090,"")</f>
        <v>63</v>
      </c>
    </row>
    <row r="2091" customFormat="false" ht="18" hidden="false" customHeight="true" outlineLevel="0" collapsed="false">
      <c r="A2091" s="25" t="s">
        <v>9</v>
      </c>
      <c r="B2091" s="26" t="s">
        <v>177</v>
      </c>
      <c r="C2091" s="27" t="s">
        <v>14</v>
      </c>
      <c r="D2091" s="28" t="n">
        <v>2</v>
      </c>
      <c r="E2091" s="28" t="n">
        <v>0</v>
      </c>
      <c r="F2091" s="29" t="n">
        <f aca="false">'📋 Matches'!E3</f>
        <v>2</v>
      </c>
      <c r="G2091" s="29" t="n">
        <f aca="false">'📋 Matches'!F3</f>
        <v>1</v>
      </c>
      <c r="H2091" s="22" t="n">
        <f aca="false">IF(AND(ISNUMBER(F2091),ISNUMBER(G2091)),IF(SIGN(D2091-E2091)=SIGN(F2091-G2091),48,0),"")</f>
        <v>48</v>
      </c>
      <c r="I2091" s="22" t="n">
        <f aca="false">IF(AND(ISNUMBER(F2091),ISNUMBER(G2091)),IF(D2091=F2091,15,0),"")</f>
        <v>15</v>
      </c>
      <c r="J2091" s="22" t="n">
        <f aca="false">IF(AND(ISNUMBER(F2091),ISNUMBER(G2091)),IF(E2091=G2091,15,0),"")</f>
        <v>0</v>
      </c>
      <c r="K2091" s="22" t="n">
        <f aca="false">IF(AND(ISNUMBER(F2091),ISNUMBER(G2091)),IF(ABS(D2091-E2091)=ABS(F2091-G2091),12,0),"")</f>
        <v>0</v>
      </c>
      <c r="L2091" s="23" t="n">
        <f aca="false">IF(ISNUMBER(H2091),H2091+I2091+J2091+K2091,"")</f>
        <v>63</v>
      </c>
    </row>
    <row r="2092" customFormat="false" ht="18" hidden="false" customHeight="true" outlineLevel="0" collapsed="false">
      <c r="A2092" s="25" t="s">
        <v>9</v>
      </c>
      <c r="B2092" s="26" t="s">
        <v>177</v>
      </c>
      <c r="C2092" s="27" t="s">
        <v>17</v>
      </c>
      <c r="D2092" s="28" t="n">
        <v>4</v>
      </c>
      <c r="E2092" s="28" t="n">
        <v>1</v>
      </c>
      <c r="F2092" s="29" t="n">
        <f aca="false">'📋 Matches'!E4</f>
        <v>1</v>
      </c>
      <c r="G2092" s="29" t="n">
        <f aca="false">'📋 Matches'!F4</f>
        <v>1</v>
      </c>
      <c r="H2092" s="22" t="n">
        <f aca="false">IF(AND(ISNUMBER(F2092),ISNUMBER(G2092)),IF(SIGN(D2092-E2092)=SIGN(F2092-G2092),48,0),"")</f>
        <v>0</v>
      </c>
      <c r="I2092" s="22" t="n">
        <f aca="false">IF(AND(ISNUMBER(F2092),ISNUMBER(G2092)),IF(D2092=F2092,15,0),"")</f>
        <v>0</v>
      </c>
      <c r="J2092" s="22" t="n">
        <f aca="false">IF(AND(ISNUMBER(F2092),ISNUMBER(G2092)),IF(E2092=G2092,15,0),"")</f>
        <v>15</v>
      </c>
      <c r="K2092" s="22" t="n">
        <f aca="false">IF(AND(ISNUMBER(F2092),ISNUMBER(G2092)),IF(ABS(D2092-E2092)=ABS(F2092-G2092),12,0),"")</f>
        <v>0</v>
      </c>
      <c r="L2092" s="23" t="n">
        <f aca="false">IF(ISNUMBER(H2092),H2092+I2092+J2092+K2092,"")</f>
        <v>15</v>
      </c>
    </row>
    <row r="2093" customFormat="false" ht="18" hidden="false" customHeight="true" outlineLevel="0" collapsed="false">
      <c r="A2093" s="25" t="s">
        <v>9</v>
      </c>
      <c r="B2093" s="26" t="s">
        <v>177</v>
      </c>
      <c r="C2093" s="27" t="s">
        <v>20</v>
      </c>
      <c r="D2093" s="28" t="n">
        <v>2</v>
      </c>
      <c r="E2093" s="28" t="n">
        <v>3</v>
      </c>
      <c r="F2093" s="29" t="n">
        <f aca="false">'📋 Matches'!E5</f>
        <v>4</v>
      </c>
      <c r="G2093" s="29" t="n">
        <f aca="false">'📋 Matches'!F5</f>
        <v>1</v>
      </c>
      <c r="H2093" s="22" t="n">
        <f aca="false">IF(AND(ISNUMBER(F2093),ISNUMBER(G2093)),IF(SIGN(D2093-E2093)=SIGN(F2093-G2093),48,0),"")</f>
        <v>0</v>
      </c>
      <c r="I2093" s="22" t="n">
        <f aca="false">IF(AND(ISNUMBER(F2093),ISNUMBER(G2093)),IF(D2093=F2093,15,0),"")</f>
        <v>0</v>
      </c>
      <c r="J2093" s="22" t="n">
        <f aca="false">IF(AND(ISNUMBER(F2093),ISNUMBER(G2093)),IF(E2093=G2093,15,0),"")</f>
        <v>0</v>
      </c>
      <c r="K2093" s="22" t="n">
        <f aca="false">IF(AND(ISNUMBER(F2093),ISNUMBER(G2093)),IF(ABS(D2093-E2093)=ABS(F2093-G2093),12,0),"")</f>
        <v>0</v>
      </c>
      <c r="L2093" s="23" t="n">
        <f aca="false">IF(ISNUMBER(H2093),H2093+I2093+J2093+K2093,"")</f>
        <v>0</v>
      </c>
    </row>
    <row r="2094" customFormat="false" ht="18" hidden="false" customHeight="true" outlineLevel="0" collapsed="false">
      <c r="A2094" s="25" t="s">
        <v>9</v>
      </c>
      <c r="B2094" s="26" t="s">
        <v>177</v>
      </c>
      <c r="C2094" s="27" t="s">
        <v>23</v>
      </c>
      <c r="D2094" s="28" t="n">
        <v>1</v>
      </c>
      <c r="E2094" s="28" t="n">
        <v>2</v>
      </c>
      <c r="F2094" s="29" t="n">
        <f aca="false">'📋 Matches'!E6</f>
        <v>0</v>
      </c>
      <c r="G2094" s="29" t="n">
        <f aca="false">'📋 Matches'!F6</f>
        <v>0</v>
      </c>
      <c r="H2094" s="22" t="str">
        <f aca="false">IF(AND(ISNUMBER(F2094),ISNUMBER(G2094)),IF(SIGN(D2094-E2094)=SIGN(F2094-G2094),48,0),"")</f>
        <v/>
      </c>
      <c r="I2094" s="22" t="str">
        <f aca="false">IF(AND(ISNUMBER(F2094),ISNUMBER(G2094)),IF(D2094=F2094,15,0),"")</f>
        <v/>
      </c>
      <c r="J2094" s="22" t="str">
        <f aca="false">IF(AND(ISNUMBER(F2094),ISNUMBER(G2094)),IF(E2094=G2094,15,0),"")</f>
        <v/>
      </c>
      <c r="K2094" s="22" t="str">
        <f aca="false">IF(AND(ISNUMBER(F2094),ISNUMBER(G2094)),IF(ABS(D2094-E2094)=ABS(F2094-G2094),12,0),"")</f>
        <v/>
      </c>
      <c r="L2094" s="23" t="str">
        <f aca="false">IF(ISNUMBER(H2094),H2094+I2094+J2094+K2094,"")</f>
        <v/>
      </c>
    </row>
    <row r="2095" customFormat="false" ht="18" hidden="false" customHeight="true" outlineLevel="0" collapsed="false">
      <c r="A2095" s="25" t="s">
        <v>9</v>
      </c>
      <c r="B2095" s="26" t="s">
        <v>177</v>
      </c>
      <c r="C2095" s="27" t="s">
        <v>27</v>
      </c>
      <c r="D2095" s="28" t="n">
        <v>2</v>
      </c>
      <c r="E2095" s="28" t="n">
        <v>1</v>
      </c>
      <c r="F2095" s="29" t="n">
        <f aca="false">'📋 Matches'!E7</f>
        <v>0</v>
      </c>
      <c r="G2095" s="29" t="n">
        <f aca="false">'📋 Matches'!F7</f>
        <v>0</v>
      </c>
      <c r="H2095" s="22" t="str">
        <f aca="false">IF(AND(ISNUMBER(F2095),ISNUMBER(G2095)),IF(SIGN(D2095-E2095)=SIGN(F2095-G2095),48,0),"")</f>
        <v/>
      </c>
      <c r="I2095" s="22" t="str">
        <f aca="false">IF(AND(ISNUMBER(F2095),ISNUMBER(G2095)),IF(D2095=F2095,15,0),"")</f>
        <v/>
      </c>
      <c r="J2095" s="22" t="str">
        <f aca="false">IF(AND(ISNUMBER(F2095),ISNUMBER(G2095)),IF(E2095=G2095,15,0),"")</f>
        <v/>
      </c>
      <c r="K2095" s="22" t="str">
        <f aca="false">IF(AND(ISNUMBER(F2095),ISNUMBER(G2095)),IF(ABS(D2095-E2095)=ABS(F2095-G2095),12,0),"")</f>
        <v/>
      </c>
      <c r="L2095" s="23" t="str">
        <f aca="false">IF(ISNUMBER(H2095),H2095+I2095+J2095+K2095,"")</f>
        <v/>
      </c>
    </row>
    <row r="2096" customFormat="false" ht="18" hidden="false" customHeight="true" outlineLevel="0" collapsed="false">
      <c r="A2096" s="25" t="s">
        <v>9</v>
      </c>
      <c r="B2096" s="26" t="s">
        <v>177</v>
      </c>
      <c r="C2096" s="27" t="s">
        <v>30</v>
      </c>
      <c r="D2096" s="28" t="n">
        <v>1</v>
      </c>
      <c r="E2096" s="28" t="n">
        <v>1</v>
      </c>
      <c r="F2096" s="29" t="n">
        <f aca="false">'📋 Matches'!E8</f>
        <v>0</v>
      </c>
      <c r="G2096" s="29" t="n">
        <f aca="false">'📋 Matches'!F8</f>
        <v>0</v>
      </c>
      <c r="H2096" s="22" t="str">
        <f aca="false">IF(AND(ISNUMBER(F2096),ISNUMBER(G2096)),IF(SIGN(D2096-E2096)=SIGN(F2096-G2096),48,0),"")</f>
        <v/>
      </c>
      <c r="I2096" s="22" t="str">
        <f aca="false">IF(AND(ISNUMBER(F2096),ISNUMBER(G2096)),IF(D2096=F2096,15,0),"")</f>
        <v/>
      </c>
      <c r="J2096" s="22" t="str">
        <f aca="false">IF(AND(ISNUMBER(F2096),ISNUMBER(G2096)),IF(E2096=G2096,15,0),"")</f>
        <v/>
      </c>
      <c r="K2096" s="22" t="str">
        <f aca="false">IF(AND(ISNUMBER(F2096),ISNUMBER(G2096)),IF(ABS(D2096-E2096)=ABS(F2096-G2096),12,0),"")</f>
        <v/>
      </c>
      <c r="L2096" s="23" t="str">
        <f aca="false">IF(ISNUMBER(H2096),H2096+I2096+J2096+K2096,"")</f>
        <v/>
      </c>
    </row>
    <row r="2097" customFormat="false" ht="18" hidden="false" customHeight="true" outlineLevel="0" collapsed="false">
      <c r="A2097" s="25" t="s">
        <v>9</v>
      </c>
      <c r="B2097" s="26" t="s">
        <v>177</v>
      </c>
      <c r="C2097" s="27" t="s">
        <v>33</v>
      </c>
      <c r="D2097" s="28" t="n">
        <v>3</v>
      </c>
      <c r="E2097" s="28" t="n">
        <v>2</v>
      </c>
      <c r="F2097" s="29" t="n">
        <f aca="false">'📋 Matches'!E9</f>
        <v>0</v>
      </c>
      <c r="G2097" s="29" t="n">
        <f aca="false">'📋 Matches'!F9</f>
        <v>0</v>
      </c>
      <c r="H2097" s="22" t="str">
        <f aca="false">IF(AND(ISNUMBER(F2097),ISNUMBER(G2097)),IF(SIGN(D2097-E2097)=SIGN(F2097-G2097),48,0),"")</f>
        <v/>
      </c>
      <c r="I2097" s="22" t="str">
        <f aca="false">IF(AND(ISNUMBER(F2097),ISNUMBER(G2097)),IF(D2097=F2097,15,0),"")</f>
        <v/>
      </c>
      <c r="J2097" s="22" t="str">
        <f aca="false">IF(AND(ISNUMBER(F2097),ISNUMBER(G2097)),IF(E2097=G2097,15,0),"")</f>
        <v/>
      </c>
      <c r="K2097" s="22" t="str">
        <f aca="false">IF(AND(ISNUMBER(F2097),ISNUMBER(G2097)),IF(ABS(D2097-E2097)=ABS(F2097-G2097),12,0),"")</f>
        <v/>
      </c>
      <c r="L2097" s="23" t="str">
        <f aca="false">IF(ISNUMBER(H2097),H2097+I2097+J2097+K2097,"")</f>
        <v/>
      </c>
    </row>
    <row r="2098" customFormat="false" ht="18" hidden="false" customHeight="true" outlineLevel="0" collapsed="false">
      <c r="A2098" s="25" t="s">
        <v>9</v>
      </c>
      <c r="B2098" s="26" t="s">
        <v>177</v>
      </c>
      <c r="C2098" s="27" t="s">
        <v>36</v>
      </c>
      <c r="D2098" s="28" t="n">
        <v>4</v>
      </c>
      <c r="E2098" s="28" t="n">
        <v>2</v>
      </c>
      <c r="F2098" s="29" t="n">
        <f aca="false">'📋 Matches'!E10</f>
        <v>0</v>
      </c>
      <c r="G2098" s="29" t="n">
        <f aca="false">'📋 Matches'!F10</f>
        <v>0</v>
      </c>
      <c r="H2098" s="22" t="str">
        <f aca="false">IF(AND(ISNUMBER(F2098),ISNUMBER(G2098)),IF(SIGN(D2098-E2098)=SIGN(F2098-G2098),48,0),"")</f>
        <v/>
      </c>
      <c r="I2098" s="22" t="str">
        <f aca="false">IF(AND(ISNUMBER(F2098),ISNUMBER(G2098)),IF(D2098=F2098,15,0),"")</f>
        <v/>
      </c>
      <c r="J2098" s="22" t="str">
        <f aca="false">IF(AND(ISNUMBER(F2098),ISNUMBER(G2098)),IF(E2098=G2098,15,0),"")</f>
        <v/>
      </c>
      <c r="K2098" s="22" t="str">
        <f aca="false">IF(AND(ISNUMBER(F2098),ISNUMBER(G2098)),IF(ABS(D2098-E2098)=ABS(F2098-G2098),12,0),"")</f>
        <v/>
      </c>
      <c r="L2098" s="23" t="str">
        <f aca="false">IF(ISNUMBER(H2098),H2098+I2098+J2098+K2098,"")</f>
        <v/>
      </c>
    </row>
    <row r="2099" customFormat="false" ht="18" hidden="false" customHeight="true" outlineLevel="0" collapsed="false">
      <c r="A2099" s="25" t="s">
        <v>9</v>
      </c>
      <c r="B2099" s="26" t="s">
        <v>177</v>
      </c>
      <c r="C2099" s="27" t="s">
        <v>39</v>
      </c>
      <c r="D2099" s="28" t="n">
        <v>3</v>
      </c>
      <c r="E2099" s="28" t="n">
        <v>3</v>
      </c>
      <c r="F2099" s="29" t="n">
        <f aca="false">'📋 Matches'!E11</f>
        <v>0</v>
      </c>
      <c r="G2099" s="29" t="n">
        <f aca="false">'📋 Matches'!F11</f>
        <v>0</v>
      </c>
      <c r="H2099" s="22" t="str">
        <f aca="false">IF(AND(ISNUMBER(F2099),ISNUMBER(G2099)),IF(SIGN(D2099-E2099)=SIGN(F2099-G2099),48,0),"")</f>
        <v/>
      </c>
      <c r="I2099" s="22" t="str">
        <f aca="false">IF(AND(ISNUMBER(F2099),ISNUMBER(G2099)),IF(D2099=F2099,15,0),"")</f>
        <v/>
      </c>
      <c r="J2099" s="22" t="str">
        <f aca="false">IF(AND(ISNUMBER(F2099),ISNUMBER(G2099)),IF(E2099=G2099,15,0),"")</f>
        <v/>
      </c>
      <c r="K2099" s="22" t="str">
        <f aca="false">IF(AND(ISNUMBER(F2099),ISNUMBER(G2099)),IF(ABS(D2099-E2099)=ABS(F2099-G2099),12,0),"")</f>
        <v/>
      </c>
      <c r="L2099" s="23" t="str">
        <f aca="false">IF(ISNUMBER(H2099),H2099+I2099+J2099+K2099,"")</f>
        <v/>
      </c>
    </row>
    <row r="2100" customFormat="false" ht="18" hidden="false" customHeight="true" outlineLevel="0" collapsed="false">
      <c r="A2100" s="25" t="s">
        <v>9</v>
      </c>
      <c r="B2100" s="26" t="s">
        <v>177</v>
      </c>
      <c r="C2100" s="27" t="s">
        <v>42</v>
      </c>
      <c r="D2100" s="28" t="n">
        <v>1</v>
      </c>
      <c r="E2100" s="28" t="n">
        <v>1</v>
      </c>
      <c r="F2100" s="29" t="n">
        <f aca="false">'📋 Matches'!E12</f>
        <v>0</v>
      </c>
      <c r="G2100" s="29" t="n">
        <f aca="false">'📋 Matches'!F12</f>
        <v>0</v>
      </c>
      <c r="H2100" s="22" t="str">
        <f aca="false">IF(AND(ISNUMBER(F2100),ISNUMBER(G2100)),IF(SIGN(D2100-E2100)=SIGN(F2100-G2100),48,0),"")</f>
        <v/>
      </c>
      <c r="I2100" s="22" t="str">
        <f aca="false">IF(AND(ISNUMBER(F2100),ISNUMBER(G2100)),IF(D2100=F2100,15,0),"")</f>
        <v/>
      </c>
      <c r="J2100" s="22" t="str">
        <f aca="false">IF(AND(ISNUMBER(F2100),ISNUMBER(G2100)),IF(E2100=G2100,15,0),"")</f>
        <v/>
      </c>
      <c r="K2100" s="22" t="str">
        <f aca="false">IF(AND(ISNUMBER(F2100),ISNUMBER(G2100)),IF(ABS(D2100-E2100)=ABS(F2100-G2100),12,0),"")</f>
        <v/>
      </c>
      <c r="L2100" s="23" t="str">
        <f aca="false">IF(ISNUMBER(H2100),H2100+I2100+J2100+K2100,"")</f>
        <v/>
      </c>
    </row>
    <row r="2101" customFormat="false" ht="18" hidden="false" customHeight="true" outlineLevel="0" collapsed="false">
      <c r="A2101" s="25" t="s">
        <v>9</v>
      </c>
      <c r="B2101" s="26" t="s">
        <v>177</v>
      </c>
      <c r="C2101" s="27" t="s">
        <v>45</v>
      </c>
      <c r="D2101" s="28" t="n">
        <v>0</v>
      </c>
      <c r="E2101" s="28" t="n">
        <v>0</v>
      </c>
      <c r="F2101" s="29" t="n">
        <f aca="false">'📋 Matches'!E13</f>
        <v>0</v>
      </c>
      <c r="G2101" s="29" t="n">
        <f aca="false">'📋 Matches'!F13</f>
        <v>0</v>
      </c>
      <c r="H2101" s="22" t="str">
        <f aca="false">IF(AND(ISNUMBER(F2101),ISNUMBER(G2101)),IF(SIGN(D2101-E2101)=SIGN(F2101-G2101),48,0),"")</f>
        <v/>
      </c>
      <c r="I2101" s="22" t="str">
        <f aca="false">IF(AND(ISNUMBER(F2101),ISNUMBER(G2101)),IF(D2101=F2101,15,0),"")</f>
        <v/>
      </c>
      <c r="J2101" s="22" t="str">
        <f aca="false">IF(AND(ISNUMBER(F2101),ISNUMBER(G2101)),IF(E2101=G2101,15,0),"")</f>
        <v/>
      </c>
      <c r="K2101" s="22" t="str">
        <f aca="false">IF(AND(ISNUMBER(F2101),ISNUMBER(G2101)),IF(ABS(D2101-E2101)=ABS(F2101-G2101),12,0),"")</f>
        <v/>
      </c>
      <c r="L2101" s="23" t="str">
        <f aca="false">IF(ISNUMBER(H2101),H2101+I2101+J2101+K2101,"")</f>
        <v/>
      </c>
    </row>
    <row r="2102" customFormat="false" ht="18" hidden="false" customHeight="true" outlineLevel="0" collapsed="false">
      <c r="A2102" s="25" t="s">
        <v>9</v>
      </c>
      <c r="B2102" s="26" t="s">
        <v>177</v>
      </c>
      <c r="C2102" s="27" t="s">
        <v>48</v>
      </c>
      <c r="D2102" s="28" t="n">
        <v>3</v>
      </c>
      <c r="E2102" s="28" t="n">
        <v>0</v>
      </c>
      <c r="F2102" s="29" t="n">
        <f aca="false">'📋 Matches'!E14</f>
        <v>0</v>
      </c>
      <c r="G2102" s="29" t="n">
        <f aca="false">'📋 Matches'!F14</f>
        <v>0</v>
      </c>
      <c r="H2102" s="22" t="str">
        <f aca="false">IF(AND(ISNUMBER(F2102),ISNUMBER(G2102)),IF(SIGN(D2102-E2102)=SIGN(F2102-G2102),48,0),"")</f>
        <v/>
      </c>
      <c r="I2102" s="22" t="str">
        <f aca="false">IF(AND(ISNUMBER(F2102),ISNUMBER(G2102)),IF(D2102=F2102,15,0),"")</f>
        <v/>
      </c>
      <c r="J2102" s="22" t="str">
        <f aca="false">IF(AND(ISNUMBER(F2102),ISNUMBER(G2102)),IF(E2102=G2102,15,0),"")</f>
        <v/>
      </c>
      <c r="K2102" s="22" t="str">
        <f aca="false">IF(AND(ISNUMBER(F2102),ISNUMBER(G2102)),IF(ABS(D2102-E2102)=ABS(F2102-G2102),12,0),"")</f>
        <v/>
      </c>
      <c r="L2102" s="23" t="str">
        <f aca="false">IF(ISNUMBER(H2102),H2102+I2102+J2102+K2102,"")</f>
        <v/>
      </c>
    </row>
    <row r="2103" customFormat="false" ht="18" hidden="false" customHeight="true" outlineLevel="0" collapsed="false">
      <c r="A2103" s="25" t="s">
        <v>9</v>
      </c>
      <c r="B2103" s="26" t="s">
        <v>177</v>
      </c>
      <c r="C2103" s="27" t="s">
        <v>51</v>
      </c>
      <c r="D2103" s="28" t="n">
        <v>2</v>
      </c>
      <c r="E2103" s="28" t="n">
        <v>2</v>
      </c>
      <c r="F2103" s="29" t="n">
        <f aca="false">'📋 Matches'!E15</f>
        <v>0</v>
      </c>
      <c r="G2103" s="29" t="n">
        <f aca="false">'📋 Matches'!F15</f>
        <v>0</v>
      </c>
      <c r="H2103" s="22" t="str">
        <f aca="false">IF(AND(ISNUMBER(F2103),ISNUMBER(G2103)),IF(SIGN(D2103-E2103)=SIGN(F2103-G2103),48,0),"")</f>
        <v/>
      </c>
      <c r="I2103" s="22" t="str">
        <f aca="false">IF(AND(ISNUMBER(F2103),ISNUMBER(G2103)),IF(D2103=F2103,15,0),"")</f>
        <v/>
      </c>
      <c r="J2103" s="22" t="str">
        <f aca="false">IF(AND(ISNUMBER(F2103),ISNUMBER(G2103)),IF(E2103=G2103,15,0),"")</f>
        <v/>
      </c>
      <c r="K2103" s="22" t="str">
        <f aca="false">IF(AND(ISNUMBER(F2103),ISNUMBER(G2103)),IF(ABS(D2103-E2103)=ABS(F2103-G2103),12,0),"")</f>
        <v/>
      </c>
      <c r="L2103" s="23" t="str">
        <f aca="false">IF(ISNUMBER(H2103),H2103+I2103+J2103+K2103,"")</f>
        <v/>
      </c>
    </row>
    <row r="2104" customFormat="false" ht="18" hidden="false" customHeight="true" outlineLevel="0" collapsed="false">
      <c r="A2104" s="25" t="s">
        <v>9</v>
      </c>
      <c r="B2104" s="26" t="s">
        <v>177</v>
      </c>
      <c r="C2104" s="27" t="s">
        <v>54</v>
      </c>
      <c r="D2104" s="28" t="n">
        <v>3</v>
      </c>
      <c r="E2104" s="28" t="n">
        <v>2</v>
      </c>
      <c r="F2104" s="29" t="n">
        <f aca="false">'📋 Matches'!E16</f>
        <v>0</v>
      </c>
      <c r="G2104" s="29" t="n">
        <f aca="false">'📋 Matches'!F16</f>
        <v>0</v>
      </c>
      <c r="H2104" s="22" t="str">
        <f aca="false">IF(AND(ISNUMBER(F2104),ISNUMBER(G2104)),IF(SIGN(D2104-E2104)=SIGN(F2104-G2104),48,0),"")</f>
        <v/>
      </c>
      <c r="I2104" s="22" t="str">
        <f aca="false">IF(AND(ISNUMBER(F2104),ISNUMBER(G2104)),IF(D2104=F2104,15,0),"")</f>
        <v/>
      </c>
      <c r="J2104" s="22" t="str">
        <f aca="false">IF(AND(ISNUMBER(F2104),ISNUMBER(G2104)),IF(E2104=G2104,15,0),"")</f>
        <v/>
      </c>
      <c r="K2104" s="22" t="str">
        <f aca="false">IF(AND(ISNUMBER(F2104),ISNUMBER(G2104)),IF(ABS(D2104-E2104)=ABS(F2104-G2104),12,0),"")</f>
        <v/>
      </c>
      <c r="L2104" s="23" t="str">
        <f aca="false">IF(ISNUMBER(H2104),H2104+I2104+J2104+K2104,"")</f>
        <v/>
      </c>
    </row>
    <row r="2105" customFormat="false" ht="18" hidden="false" customHeight="true" outlineLevel="0" collapsed="false">
      <c r="A2105" s="25" t="s">
        <v>9</v>
      </c>
      <c r="B2105" s="26" t="s">
        <v>177</v>
      </c>
      <c r="C2105" s="27" t="s">
        <v>57</v>
      </c>
      <c r="D2105" s="28" t="n">
        <v>0</v>
      </c>
      <c r="E2105" s="28" t="n">
        <v>2</v>
      </c>
      <c r="F2105" s="29" t="n">
        <f aca="false">'📋 Matches'!E17</f>
        <v>0</v>
      </c>
      <c r="G2105" s="29" t="n">
        <f aca="false">'📋 Matches'!F17</f>
        <v>0</v>
      </c>
      <c r="H2105" s="22" t="str">
        <f aca="false">IF(AND(ISNUMBER(F2105),ISNUMBER(G2105)),IF(SIGN(D2105-E2105)=SIGN(F2105-G2105),48,0),"")</f>
        <v/>
      </c>
      <c r="I2105" s="22" t="str">
        <f aca="false">IF(AND(ISNUMBER(F2105),ISNUMBER(G2105)),IF(D2105=F2105,15,0),"")</f>
        <v/>
      </c>
      <c r="J2105" s="22" t="str">
        <f aca="false">IF(AND(ISNUMBER(F2105),ISNUMBER(G2105)),IF(E2105=G2105,15,0),"")</f>
        <v/>
      </c>
      <c r="K2105" s="22" t="str">
        <f aca="false">IF(AND(ISNUMBER(F2105),ISNUMBER(G2105)),IF(ABS(D2105-E2105)=ABS(F2105-G2105),12,0),"")</f>
        <v/>
      </c>
      <c r="L2105" s="23" t="str">
        <f aca="false">IF(ISNUMBER(H2105),H2105+I2105+J2105+K2105,"")</f>
        <v/>
      </c>
    </row>
    <row r="2106" customFormat="false" ht="18" hidden="false" customHeight="true" outlineLevel="0" collapsed="false">
      <c r="A2106" s="25" t="s">
        <v>9</v>
      </c>
      <c r="B2106" s="26" t="s">
        <v>177</v>
      </c>
      <c r="C2106" s="27" t="s">
        <v>60</v>
      </c>
      <c r="D2106" s="28" t="n">
        <v>5</v>
      </c>
      <c r="E2106" s="28" t="n">
        <v>3</v>
      </c>
      <c r="F2106" s="29" t="n">
        <f aca="false">'📋 Matches'!E18</f>
        <v>0</v>
      </c>
      <c r="G2106" s="29" t="n">
        <f aca="false">'📋 Matches'!F18</f>
        <v>0</v>
      </c>
      <c r="H2106" s="22" t="str">
        <f aca="false">IF(AND(ISNUMBER(F2106),ISNUMBER(G2106)),IF(SIGN(D2106-E2106)=SIGN(F2106-G2106),48,0),"")</f>
        <v/>
      </c>
      <c r="I2106" s="22" t="str">
        <f aca="false">IF(AND(ISNUMBER(F2106),ISNUMBER(G2106)),IF(D2106=F2106,15,0),"")</f>
        <v/>
      </c>
      <c r="J2106" s="22" t="str">
        <f aca="false">IF(AND(ISNUMBER(F2106),ISNUMBER(G2106)),IF(E2106=G2106,15,0),"")</f>
        <v/>
      </c>
      <c r="K2106" s="22" t="str">
        <f aca="false">IF(AND(ISNUMBER(F2106),ISNUMBER(G2106)),IF(ABS(D2106-E2106)=ABS(F2106-G2106),12,0),"")</f>
        <v/>
      </c>
      <c r="L2106" s="23" t="str">
        <f aca="false">IF(ISNUMBER(H2106),H2106+I2106+J2106+K2106,"")</f>
        <v/>
      </c>
    </row>
    <row r="2107" customFormat="false" ht="18" hidden="false" customHeight="true" outlineLevel="0" collapsed="false">
      <c r="A2107" s="25" t="s">
        <v>9</v>
      </c>
      <c r="B2107" s="26" t="s">
        <v>177</v>
      </c>
      <c r="C2107" s="27" t="s">
        <v>63</v>
      </c>
      <c r="D2107" s="28" t="n">
        <v>2</v>
      </c>
      <c r="E2107" s="28" t="n">
        <v>1</v>
      </c>
      <c r="F2107" s="29" t="n">
        <f aca="false">'📋 Matches'!E19</f>
        <v>0</v>
      </c>
      <c r="G2107" s="29" t="n">
        <f aca="false">'📋 Matches'!F19</f>
        <v>0</v>
      </c>
      <c r="H2107" s="22" t="str">
        <f aca="false">IF(AND(ISNUMBER(F2107),ISNUMBER(G2107)),IF(SIGN(D2107-E2107)=SIGN(F2107-G2107),48,0),"")</f>
        <v/>
      </c>
      <c r="I2107" s="22" t="str">
        <f aca="false">IF(AND(ISNUMBER(F2107),ISNUMBER(G2107)),IF(D2107=F2107,15,0),"")</f>
        <v/>
      </c>
      <c r="J2107" s="22" t="str">
        <f aca="false">IF(AND(ISNUMBER(F2107),ISNUMBER(G2107)),IF(E2107=G2107,15,0),"")</f>
        <v/>
      </c>
      <c r="K2107" s="22" t="str">
        <f aca="false">IF(AND(ISNUMBER(F2107),ISNUMBER(G2107)),IF(ABS(D2107-E2107)=ABS(F2107-G2107),12,0),"")</f>
        <v/>
      </c>
      <c r="L2107" s="23" t="str">
        <f aca="false">IF(ISNUMBER(H2107),H2107+I2107+J2107+K2107,"")</f>
        <v/>
      </c>
    </row>
    <row r="2108" customFormat="false" ht="18" hidden="false" customHeight="true" outlineLevel="0" collapsed="false">
      <c r="A2108" s="25" t="s">
        <v>9</v>
      </c>
      <c r="B2108" s="26" t="s">
        <v>177</v>
      </c>
      <c r="C2108" s="27" t="s">
        <v>66</v>
      </c>
      <c r="D2108" s="28" t="n">
        <v>2</v>
      </c>
      <c r="E2108" s="28" t="n">
        <v>2</v>
      </c>
      <c r="F2108" s="29" t="n">
        <f aca="false">'📋 Matches'!E20</f>
        <v>0</v>
      </c>
      <c r="G2108" s="29" t="n">
        <f aca="false">'📋 Matches'!F20</f>
        <v>0</v>
      </c>
      <c r="H2108" s="22" t="str">
        <f aca="false">IF(AND(ISNUMBER(F2108),ISNUMBER(G2108)),IF(SIGN(D2108-E2108)=SIGN(F2108-G2108),48,0),"")</f>
        <v/>
      </c>
      <c r="I2108" s="22" t="str">
        <f aca="false">IF(AND(ISNUMBER(F2108),ISNUMBER(G2108)),IF(D2108=F2108,15,0),"")</f>
        <v/>
      </c>
      <c r="J2108" s="22" t="str">
        <f aca="false">IF(AND(ISNUMBER(F2108),ISNUMBER(G2108)),IF(E2108=G2108,15,0),"")</f>
        <v/>
      </c>
      <c r="K2108" s="22" t="str">
        <f aca="false">IF(AND(ISNUMBER(F2108),ISNUMBER(G2108)),IF(ABS(D2108-E2108)=ABS(F2108-G2108),12,0),"")</f>
        <v/>
      </c>
      <c r="L2108" s="23" t="str">
        <f aca="false">IF(ISNUMBER(H2108),H2108+I2108+J2108+K2108,"")</f>
        <v/>
      </c>
    </row>
    <row r="2109" customFormat="false" ht="18" hidden="false" customHeight="true" outlineLevel="0" collapsed="false">
      <c r="A2109" s="25" t="s">
        <v>9</v>
      </c>
      <c r="B2109" s="26" t="s">
        <v>177</v>
      </c>
      <c r="C2109" s="27" t="s">
        <v>69</v>
      </c>
      <c r="D2109" s="28" t="n">
        <v>2</v>
      </c>
      <c r="E2109" s="28" t="n">
        <v>3</v>
      </c>
      <c r="F2109" s="29" t="n">
        <f aca="false">'📋 Matches'!E21</f>
        <v>0</v>
      </c>
      <c r="G2109" s="29" t="n">
        <f aca="false">'📋 Matches'!F21</f>
        <v>0</v>
      </c>
      <c r="H2109" s="22" t="str">
        <f aca="false">IF(AND(ISNUMBER(F2109),ISNUMBER(G2109)),IF(SIGN(D2109-E2109)=SIGN(F2109-G2109),48,0),"")</f>
        <v/>
      </c>
      <c r="I2109" s="22" t="str">
        <f aca="false">IF(AND(ISNUMBER(F2109),ISNUMBER(G2109)),IF(D2109=F2109,15,0),"")</f>
        <v/>
      </c>
      <c r="J2109" s="22" t="str">
        <f aca="false">IF(AND(ISNUMBER(F2109),ISNUMBER(G2109)),IF(E2109=G2109,15,0),"")</f>
        <v/>
      </c>
      <c r="K2109" s="22" t="str">
        <f aca="false">IF(AND(ISNUMBER(F2109),ISNUMBER(G2109)),IF(ABS(D2109-E2109)=ABS(F2109-G2109),12,0),"")</f>
        <v/>
      </c>
      <c r="L2109" s="23" t="str">
        <f aca="false">IF(ISNUMBER(H2109),H2109+I2109+J2109+K2109,"")</f>
        <v/>
      </c>
    </row>
    <row r="2110" customFormat="false" ht="18" hidden="false" customHeight="true" outlineLevel="0" collapsed="false">
      <c r="A2110" s="25" t="s">
        <v>9</v>
      </c>
      <c r="B2110" s="26" t="s">
        <v>177</v>
      </c>
      <c r="C2110" s="27" t="s">
        <v>72</v>
      </c>
      <c r="D2110" s="28" t="n">
        <v>3</v>
      </c>
      <c r="E2110" s="28" t="n">
        <v>1</v>
      </c>
      <c r="F2110" s="29" t="n">
        <f aca="false">'📋 Matches'!E22</f>
        <v>0</v>
      </c>
      <c r="G2110" s="29" t="n">
        <f aca="false">'📋 Matches'!F22</f>
        <v>0</v>
      </c>
      <c r="H2110" s="22" t="str">
        <f aca="false">IF(AND(ISNUMBER(F2110),ISNUMBER(G2110)),IF(SIGN(D2110-E2110)=SIGN(F2110-G2110),48,0),"")</f>
        <v/>
      </c>
      <c r="I2110" s="22" t="str">
        <f aca="false">IF(AND(ISNUMBER(F2110),ISNUMBER(G2110)),IF(D2110=F2110,15,0),"")</f>
        <v/>
      </c>
      <c r="J2110" s="22" t="str">
        <f aca="false">IF(AND(ISNUMBER(F2110),ISNUMBER(G2110)),IF(E2110=G2110,15,0),"")</f>
        <v/>
      </c>
      <c r="K2110" s="22" t="str">
        <f aca="false">IF(AND(ISNUMBER(F2110),ISNUMBER(G2110)),IF(ABS(D2110-E2110)=ABS(F2110-G2110),12,0),"")</f>
        <v/>
      </c>
      <c r="L2110" s="23" t="str">
        <f aca="false">IF(ISNUMBER(H2110),H2110+I2110+J2110+K2110,"")</f>
        <v/>
      </c>
    </row>
    <row r="2111" customFormat="false" ht="18" hidden="false" customHeight="true" outlineLevel="0" collapsed="false">
      <c r="A2111" s="25" t="s">
        <v>9</v>
      </c>
      <c r="B2111" s="26" t="s">
        <v>177</v>
      </c>
      <c r="C2111" s="27" t="s">
        <v>75</v>
      </c>
      <c r="D2111" s="28" t="n">
        <v>3</v>
      </c>
      <c r="E2111" s="28" t="n">
        <v>2</v>
      </c>
      <c r="F2111" s="29" t="n">
        <f aca="false">'📋 Matches'!E23</f>
        <v>0</v>
      </c>
      <c r="G2111" s="29" t="n">
        <f aca="false">'📋 Matches'!F23</f>
        <v>0</v>
      </c>
      <c r="H2111" s="22" t="str">
        <f aca="false">IF(AND(ISNUMBER(F2111),ISNUMBER(G2111)),IF(SIGN(D2111-E2111)=SIGN(F2111-G2111),48,0),"")</f>
        <v/>
      </c>
      <c r="I2111" s="22" t="str">
        <f aca="false">IF(AND(ISNUMBER(F2111),ISNUMBER(G2111)),IF(D2111=F2111,15,0),"")</f>
        <v/>
      </c>
      <c r="J2111" s="22" t="str">
        <f aca="false">IF(AND(ISNUMBER(F2111),ISNUMBER(G2111)),IF(E2111=G2111,15,0),"")</f>
        <v/>
      </c>
      <c r="K2111" s="22" t="str">
        <f aca="false">IF(AND(ISNUMBER(F2111),ISNUMBER(G2111)),IF(ABS(D2111-E2111)=ABS(F2111-G2111),12,0),"")</f>
        <v/>
      </c>
      <c r="L2111" s="23" t="str">
        <f aca="false">IF(ISNUMBER(H2111),H2111+I2111+J2111+K2111,"")</f>
        <v/>
      </c>
    </row>
    <row r="2112" customFormat="false" ht="18" hidden="false" customHeight="true" outlineLevel="0" collapsed="false">
      <c r="A2112" s="25" t="s">
        <v>9</v>
      </c>
      <c r="B2112" s="26" t="s">
        <v>177</v>
      </c>
      <c r="C2112" s="27" t="s">
        <v>78</v>
      </c>
      <c r="D2112" s="28" t="n">
        <v>2</v>
      </c>
      <c r="E2112" s="28" t="n">
        <v>1</v>
      </c>
      <c r="F2112" s="29" t="n">
        <f aca="false">'📋 Matches'!E24</f>
        <v>0</v>
      </c>
      <c r="G2112" s="29" t="n">
        <f aca="false">'📋 Matches'!F24</f>
        <v>0</v>
      </c>
      <c r="H2112" s="22" t="str">
        <f aca="false">IF(AND(ISNUMBER(F2112),ISNUMBER(G2112)),IF(SIGN(D2112-E2112)=SIGN(F2112-G2112),48,0),"")</f>
        <v/>
      </c>
      <c r="I2112" s="22" t="str">
        <f aca="false">IF(AND(ISNUMBER(F2112),ISNUMBER(G2112)),IF(D2112=F2112,15,0),"")</f>
        <v/>
      </c>
      <c r="J2112" s="22" t="str">
        <f aca="false">IF(AND(ISNUMBER(F2112),ISNUMBER(G2112)),IF(E2112=G2112,15,0),"")</f>
        <v/>
      </c>
      <c r="K2112" s="22" t="str">
        <f aca="false">IF(AND(ISNUMBER(F2112),ISNUMBER(G2112)),IF(ABS(D2112-E2112)=ABS(F2112-G2112),12,0),"")</f>
        <v/>
      </c>
      <c r="L2112" s="23" t="str">
        <f aca="false">IF(ISNUMBER(H2112),H2112+I2112+J2112+K2112,"")</f>
        <v/>
      </c>
    </row>
    <row r="2113" customFormat="false" ht="18" hidden="false" customHeight="true" outlineLevel="0" collapsed="false">
      <c r="A2113" s="25" t="s">
        <v>9</v>
      </c>
      <c r="B2113" s="26" t="s">
        <v>177</v>
      </c>
      <c r="C2113" s="27" t="s">
        <v>81</v>
      </c>
      <c r="D2113" s="28" t="n">
        <v>1</v>
      </c>
      <c r="E2113" s="28" t="n">
        <v>3</v>
      </c>
      <c r="F2113" s="29" t="n">
        <f aca="false">'📋 Matches'!E25</f>
        <v>0</v>
      </c>
      <c r="G2113" s="29" t="n">
        <f aca="false">'📋 Matches'!F25</f>
        <v>0</v>
      </c>
      <c r="H2113" s="22" t="str">
        <f aca="false">IF(AND(ISNUMBER(F2113),ISNUMBER(G2113)),IF(SIGN(D2113-E2113)=SIGN(F2113-G2113),48,0),"")</f>
        <v/>
      </c>
      <c r="I2113" s="22" t="str">
        <f aca="false">IF(AND(ISNUMBER(F2113),ISNUMBER(G2113)),IF(D2113=F2113,15,0),"")</f>
        <v/>
      </c>
      <c r="J2113" s="22" t="str">
        <f aca="false">IF(AND(ISNUMBER(F2113),ISNUMBER(G2113)),IF(E2113=G2113,15,0),"")</f>
        <v/>
      </c>
      <c r="K2113" s="22" t="str">
        <f aca="false">IF(AND(ISNUMBER(F2113),ISNUMBER(G2113)),IF(ABS(D2113-E2113)=ABS(F2113-G2113),12,0),"")</f>
        <v/>
      </c>
      <c r="L2113" s="23" t="str">
        <f aca="false">IF(ISNUMBER(H2113),H2113+I2113+J2113+K2113,"")</f>
        <v/>
      </c>
    </row>
    <row r="2114" customFormat="false" ht="18" hidden="false" customHeight="true" outlineLevel="0" collapsed="false">
      <c r="A2114" s="25" t="s">
        <v>84</v>
      </c>
      <c r="B2114" s="26" t="s">
        <v>177</v>
      </c>
      <c r="C2114" s="27" t="s">
        <v>85</v>
      </c>
      <c r="D2114" s="28"/>
      <c r="E2114" s="28"/>
      <c r="F2114" s="29" t="n">
        <f aca="false">'📋 Matches'!E26</f>
        <v>0</v>
      </c>
      <c r="G2114" s="29" t="n">
        <f aca="false">'📋 Matches'!F26</f>
        <v>0</v>
      </c>
      <c r="H2114" s="30" t="s">
        <v>148</v>
      </c>
      <c r="I2114" s="30" t="s">
        <v>148</v>
      </c>
      <c r="J2114" s="30" t="s">
        <v>148</v>
      </c>
      <c r="K2114" s="30" t="s">
        <v>148</v>
      </c>
      <c r="L2114" s="30" t="s">
        <v>148</v>
      </c>
    </row>
    <row r="2115" customFormat="false" ht="18" hidden="false" customHeight="true" outlineLevel="0" collapsed="false">
      <c r="A2115" s="25" t="s">
        <v>84</v>
      </c>
      <c r="B2115" s="26" t="s">
        <v>177</v>
      </c>
      <c r="C2115" s="27" t="s">
        <v>87</v>
      </c>
      <c r="D2115" s="28"/>
      <c r="E2115" s="28"/>
      <c r="F2115" s="29" t="n">
        <f aca="false">'📋 Matches'!E27</f>
        <v>0</v>
      </c>
      <c r="G2115" s="29" t="n">
        <f aca="false">'📋 Matches'!F27</f>
        <v>0</v>
      </c>
      <c r="H2115" s="30" t="s">
        <v>148</v>
      </c>
      <c r="I2115" s="30" t="s">
        <v>148</v>
      </c>
      <c r="J2115" s="30" t="s">
        <v>148</v>
      </c>
      <c r="K2115" s="30" t="s">
        <v>148</v>
      </c>
      <c r="L2115" s="30" t="s">
        <v>148</v>
      </c>
    </row>
    <row r="2116" customFormat="false" ht="18" hidden="false" customHeight="true" outlineLevel="0" collapsed="false">
      <c r="A2116" s="25" t="s">
        <v>84</v>
      </c>
      <c r="B2116" s="26" t="s">
        <v>177</v>
      </c>
      <c r="C2116" s="27" t="s">
        <v>89</v>
      </c>
      <c r="D2116" s="28"/>
      <c r="E2116" s="28"/>
      <c r="F2116" s="29" t="n">
        <f aca="false">'📋 Matches'!E28</f>
        <v>0</v>
      </c>
      <c r="G2116" s="29" t="n">
        <f aca="false">'📋 Matches'!F28</f>
        <v>0</v>
      </c>
      <c r="H2116" s="30" t="s">
        <v>148</v>
      </c>
      <c r="I2116" s="30" t="s">
        <v>148</v>
      </c>
      <c r="J2116" s="30" t="s">
        <v>148</v>
      </c>
      <c r="K2116" s="30" t="s">
        <v>148</v>
      </c>
      <c r="L2116" s="30" t="s">
        <v>148</v>
      </c>
    </row>
    <row r="2117" customFormat="false" ht="18" hidden="false" customHeight="true" outlineLevel="0" collapsed="false">
      <c r="A2117" s="25" t="s">
        <v>84</v>
      </c>
      <c r="B2117" s="26" t="s">
        <v>177</v>
      </c>
      <c r="C2117" s="27" t="s">
        <v>90</v>
      </c>
      <c r="D2117" s="28"/>
      <c r="E2117" s="28"/>
      <c r="F2117" s="29" t="n">
        <f aca="false">'📋 Matches'!E29</f>
        <v>0</v>
      </c>
      <c r="G2117" s="29" t="n">
        <f aca="false">'📋 Matches'!F29</f>
        <v>0</v>
      </c>
      <c r="H2117" s="30" t="s">
        <v>148</v>
      </c>
      <c r="I2117" s="30" t="s">
        <v>148</v>
      </c>
      <c r="J2117" s="30" t="s">
        <v>148</v>
      </c>
      <c r="K2117" s="30" t="s">
        <v>148</v>
      </c>
      <c r="L2117" s="30" t="s">
        <v>148</v>
      </c>
    </row>
    <row r="2118" customFormat="false" ht="18" hidden="false" customHeight="true" outlineLevel="0" collapsed="false">
      <c r="A2118" s="25" t="s">
        <v>84</v>
      </c>
      <c r="B2118" s="26" t="s">
        <v>177</v>
      </c>
      <c r="C2118" s="27" t="s">
        <v>91</v>
      </c>
      <c r="D2118" s="28"/>
      <c r="E2118" s="28"/>
      <c r="F2118" s="29" t="n">
        <f aca="false">'📋 Matches'!E30</f>
        <v>0</v>
      </c>
      <c r="G2118" s="29" t="n">
        <f aca="false">'📋 Matches'!F30</f>
        <v>0</v>
      </c>
      <c r="H2118" s="30" t="s">
        <v>148</v>
      </c>
      <c r="I2118" s="30" t="s">
        <v>148</v>
      </c>
      <c r="J2118" s="30" t="s">
        <v>148</v>
      </c>
      <c r="K2118" s="30" t="s">
        <v>148</v>
      </c>
      <c r="L2118" s="30" t="s">
        <v>148</v>
      </c>
    </row>
    <row r="2119" customFormat="false" ht="18" hidden="false" customHeight="true" outlineLevel="0" collapsed="false">
      <c r="A2119" s="25" t="s">
        <v>84</v>
      </c>
      <c r="B2119" s="26" t="s">
        <v>177</v>
      </c>
      <c r="C2119" s="27" t="s">
        <v>92</v>
      </c>
      <c r="D2119" s="28"/>
      <c r="E2119" s="28"/>
      <c r="F2119" s="29" t="n">
        <f aca="false">'📋 Matches'!E31</f>
        <v>0</v>
      </c>
      <c r="G2119" s="29" t="n">
        <f aca="false">'📋 Matches'!F31</f>
        <v>0</v>
      </c>
      <c r="H2119" s="30" t="s">
        <v>148</v>
      </c>
      <c r="I2119" s="30" t="s">
        <v>148</v>
      </c>
      <c r="J2119" s="30" t="s">
        <v>148</v>
      </c>
      <c r="K2119" s="30" t="s">
        <v>148</v>
      </c>
      <c r="L2119" s="30" t="s">
        <v>148</v>
      </c>
    </row>
    <row r="2120" customFormat="false" ht="18" hidden="false" customHeight="true" outlineLevel="0" collapsed="false">
      <c r="A2120" s="25" t="s">
        <v>84</v>
      </c>
      <c r="B2120" s="26" t="s">
        <v>177</v>
      </c>
      <c r="C2120" s="27" t="s">
        <v>93</v>
      </c>
      <c r="D2120" s="28"/>
      <c r="E2120" s="28"/>
      <c r="F2120" s="29" t="n">
        <f aca="false">'📋 Matches'!E32</f>
        <v>0</v>
      </c>
      <c r="G2120" s="29" t="n">
        <f aca="false">'📋 Matches'!F32</f>
        <v>0</v>
      </c>
      <c r="H2120" s="30" t="s">
        <v>148</v>
      </c>
      <c r="I2120" s="30" t="s">
        <v>148</v>
      </c>
      <c r="J2120" s="30" t="s">
        <v>148</v>
      </c>
      <c r="K2120" s="30" t="s">
        <v>148</v>
      </c>
      <c r="L2120" s="30" t="s">
        <v>148</v>
      </c>
    </row>
    <row r="2121" customFormat="false" ht="18" hidden="false" customHeight="true" outlineLevel="0" collapsed="false">
      <c r="A2121" s="25" t="s">
        <v>84</v>
      </c>
      <c r="B2121" s="26" t="s">
        <v>177</v>
      </c>
      <c r="C2121" s="27" t="s">
        <v>94</v>
      </c>
      <c r="D2121" s="28"/>
      <c r="E2121" s="28"/>
      <c r="F2121" s="29" t="n">
        <f aca="false">'📋 Matches'!E33</f>
        <v>0</v>
      </c>
      <c r="G2121" s="29" t="n">
        <f aca="false">'📋 Matches'!F33</f>
        <v>0</v>
      </c>
      <c r="H2121" s="30" t="s">
        <v>148</v>
      </c>
      <c r="I2121" s="30" t="s">
        <v>148</v>
      </c>
      <c r="J2121" s="30" t="s">
        <v>148</v>
      </c>
      <c r="K2121" s="30" t="s">
        <v>148</v>
      </c>
      <c r="L2121" s="30" t="s">
        <v>148</v>
      </c>
    </row>
    <row r="2122" customFormat="false" ht="18" hidden="false" customHeight="true" outlineLevel="0" collapsed="false">
      <c r="A2122" s="25" t="s">
        <v>84</v>
      </c>
      <c r="B2122" s="26" t="s">
        <v>177</v>
      </c>
      <c r="C2122" s="27" t="s">
        <v>96</v>
      </c>
      <c r="D2122" s="28"/>
      <c r="E2122" s="28"/>
      <c r="F2122" s="29" t="n">
        <f aca="false">'📋 Matches'!E34</f>
        <v>0</v>
      </c>
      <c r="G2122" s="29" t="n">
        <f aca="false">'📋 Matches'!F34</f>
        <v>0</v>
      </c>
      <c r="H2122" s="30" t="s">
        <v>148</v>
      </c>
      <c r="I2122" s="30" t="s">
        <v>148</v>
      </c>
      <c r="J2122" s="30" t="s">
        <v>148</v>
      </c>
      <c r="K2122" s="30" t="s">
        <v>148</v>
      </c>
      <c r="L2122" s="30" t="s">
        <v>148</v>
      </c>
    </row>
    <row r="2123" customFormat="false" ht="18" hidden="false" customHeight="true" outlineLevel="0" collapsed="false">
      <c r="A2123" s="25" t="s">
        <v>84</v>
      </c>
      <c r="B2123" s="26" t="s">
        <v>177</v>
      </c>
      <c r="C2123" s="27" t="s">
        <v>97</v>
      </c>
      <c r="D2123" s="28"/>
      <c r="E2123" s="28"/>
      <c r="F2123" s="29" t="n">
        <f aca="false">'📋 Matches'!E35</f>
        <v>0</v>
      </c>
      <c r="G2123" s="29" t="n">
        <f aca="false">'📋 Matches'!F35</f>
        <v>0</v>
      </c>
      <c r="H2123" s="30" t="s">
        <v>148</v>
      </c>
      <c r="I2123" s="30" t="s">
        <v>148</v>
      </c>
      <c r="J2123" s="30" t="s">
        <v>148</v>
      </c>
      <c r="K2123" s="30" t="s">
        <v>148</v>
      </c>
      <c r="L2123" s="30" t="s">
        <v>148</v>
      </c>
    </row>
    <row r="2124" customFormat="false" ht="18" hidden="false" customHeight="true" outlineLevel="0" collapsed="false">
      <c r="A2124" s="25" t="s">
        <v>84</v>
      </c>
      <c r="B2124" s="26" t="s">
        <v>177</v>
      </c>
      <c r="C2124" s="27" t="s">
        <v>98</v>
      </c>
      <c r="D2124" s="28"/>
      <c r="E2124" s="28"/>
      <c r="F2124" s="29" t="n">
        <f aca="false">'📋 Matches'!E36</f>
        <v>0</v>
      </c>
      <c r="G2124" s="29" t="n">
        <f aca="false">'📋 Matches'!F36</f>
        <v>0</v>
      </c>
      <c r="H2124" s="30" t="s">
        <v>148</v>
      </c>
      <c r="I2124" s="30" t="s">
        <v>148</v>
      </c>
      <c r="J2124" s="30" t="s">
        <v>148</v>
      </c>
      <c r="K2124" s="30" t="s">
        <v>148</v>
      </c>
      <c r="L2124" s="30" t="s">
        <v>148</v>
      </c>
    </row>
    <row r="2125" customFormat="false" ht="18" hidden="false" customHeight="true" outlineLevel="0" collapsed="false">
      <c r="A2125" s="25" t="s">
        <v>84</v>
      </c>
      <c r="B2125" s="26" t="s">
        <v>177</v>
      </c>
      <c r="C2125" s="27" t="s">
        <v>100</v>
      </c>
      <c r="D2125" s="28"/>
      <c r="E2125" s="28"/>
      <c r="F2125" s="29" t="n">
        <f aca="false">'📋 Matches'!E37</f>
        <v>0</v>
      </c>
      <c r="G2125" s="29" t="n">
        <f aca="false">'📋 Matches'!F37</f>
        <v>0</v>
      </c>
      <c r="H2125" s="30" t="s">
        <v>148</v>
      </c>
      <c r="I2125" s="30" t="s">
        <v>148</v>
      </c>
      <c r="J2125" s="30" t="s">
        <v>148</v>
      </c>
      <c r="K2125" s="30" t="s">
        <v>148</v>
      </c>
      <c r="L2125" s="30" t="s">
        <v>148</v>
      </c>
    </row>
    <row r="2126" customFormat="false" ht="18" hidden="false" customHeight="true" outlineLevel="0" collapsed="false">
      <c r="A2126" s="25" t="s">
        <v>84</v>
      </c>
      <c r="B2126" s="26" t="s">
        <v>177</v>
      </c>
      <c r="C2126" s="27" t="s">
        <v>101</v>
      </c>
      <c r="D2126" s="28"/>
      <c r="E2126" s="28"/>
      <c r="F2126" s="29" t="n">
        <f aca="false">'📋 Matches'!E38</f>
        <v>0</v>
      </c>
      <c r="G2126" s="29" t="n">
        <f aca="false">'📋 Matches'!F38</f>
        <v>0</v>
      </c>
      <c r="H2126" s="30" t="s">
        <v>148</v>
      </c>
      <c r="I2126" s="30" t="s">
        <v>148</v>
      </c>
      <c r="J2126" s="30" t="s">
        <v>148</v>
      </c>
      <c r="K2126" s="30" t="s">
        <v>148</v>
      </c>
      <c r="L2126" s="30" t="s">
        <v>148</v>
      </c>
    </row>
    <row r="2127" customFormat="false" ht="18" hidden="false" customHeight="true" outlineLevel="0" collapsed="false">
      <c r="A2127" s="25" t="s">
        <v>84</v>
      </c>
      <c r="B2127" s="26" t="s">
        <v>177</v>
      </c>
      <c r="C2127" s="27" t="s">
        <v>102</v>
      </c>
      <c r="D2127" s="28"/>
      <c r="E2127" s="28"/>
      <c r="F2127" s="29" t="n">
        <f aca="false">'📋 Matches'!E39</f>
        <v>0</v>
      </c>
      <c r="G2127" s="29" t="n">
        <f aca="false">'📋 Matches'!F39</f>
        <v>0</v>
      </c>
      <c r="H2127" s="30" t="s">
        <v>148</v>
      </c>
      <c r="I2127" s="30" t="s">
        <v>148</v>
      </c>
      <c r="J2127" s="30" t="s">
        <v>148</v>
      </c>
      <c r="K2127" s="30" t="s">
        <v>148</v>
      </c>
      <c r="L2127" s="30" t="s">
        <v>148</v>
      </c>
    </row>
    <row r="2128" customFormat="false" ht="18" hidden="false" customHeight="true" outlineLevel="0" collapsed="false">
      <c r="A2128" s="25" t="s">
        <v>84</v>
      </c>
      <c r="B2128" s="26" t="s">
        <v>177</v>
      </c>
      <c r="C2128" s="27" t="s">
        <v>103</v>
      </c>
      <c r="D2128" s="28"/>
      <c r="E2128" s="28"/>
      <c r="F2128" s="29" t="n">
        <f aca="false">'📋 Matches'!E40</f>
        <v>0</v>
      </c>
      <c r="G2128" s="29" t="n">
        <f aca="false">'📋 Matches'!F40</f>
        <v>0</v>
      </c>
      <c r="H2128" s="30" t="s">
        <v>148</v>
      </c>
      <c r="I2128" s="30" t="s">
        <v>148</v>
      </c>
      <c r="J2128" s="30" t="s">
        <v>148</v>
      </c>
      <c r="K2128" s="30" t="s">
        <v>148</v>
      </c>
      <c r="L2128" s="30" t="s">
        <v>148</v>
      </c>
    </row>
    <row r="2129" customFormat="false" ht="18" hidden="false" customHeight="true" outlineLevel="0" collapsed="false">
      <c r="A2129" s="25" t="s">
        <v>84</v>
      </c>
      <c r="B2129" s="26" t="s">
        <v>177</v>
      </c>
      <c r="C2129" s="27" t="s">
        <v>104</v>
      </c>
      <c r="D2129" s="28"/>
      <c r="E2129" s="28"/>
      <c r="F2129" s="29" t="n">
        <f aca="false">'📋 Matches'!E41</f>
        <v>0</v>
      </c>
      <c r="G2129" s="29" t="n">
        <f aca="false">'📋 Matches'!F41</f>
        <v>0</v>
      </c>
      <c r="H2129" s="30" t="s">
        <v>148</v>
      </c>
      <c r="I2129" s="30" t="s">
        <v>148</v>
      </c>
      <c r="J2129" s="30" t="s">
        <v>148</v>
      </c>
      <c r="K2129" s="30" t="s">
        <v>148</v>
      </c>
      <c r="L2129" s="30" t="s">
        <v>148</v>
      </c>
    </row>
    <row r="2130" customFormat="false" ht="18" hidden="false" customHeight="true" outlineLevel="0" collapsed="false">
      <c r="A2130" s="25" t="s">
        <v>84</v>
      </c>
      <c r="B2130" s="26" t="s">
        <v>177</v>
      </c>
      <c r="C2130" s="27" t="s">
        <v>105</v>
      </c>
      <c r="D2130" s="28"/>
      <c r="E2130" s="28"/>
      <c r="F2130" s="29" t="n">
        <f aca="false">'📋 Matches'!E42</f>
        <v>0</v>
      </c>
      <c r="G2130" s="29" t="n">
        <f aca="false">'📋 Matches'!F42</f>
        <v>0</v>
      </c>
      <c r="H2130" s="30" t="s">
        <v>148</v>
      </c>
      <c r="I2130" s="30" t="s">
        <v>148</v>
      </c>
      <c r="J2130" s="30" t="s">
        <v>148</v>
      </c>
      <c r="K2130" s="30" t="s">
        <v>148</v>
      </c>
      <c r="L2130" s="30" t="s">
        <v>148</v>
      </c>
    </row>
    <row r="2131" customFormat="false" ht="18" hidden="false" customHeight="true" outlineLevel="0" collapsed="false">
      <c r="A2131" s="25" t="s">
        <v>84</v>
      </c>
      <c r="B2131" s="26" t="s">
        <v>177</v>
      </c>
      <c r="C2131" s="27" t="s">
        <v>106</v>
      </c>
      <c r="D2131" s="28"/>
      <c r="E2131" s="28"/>
      <c r="F2131" s="29" t="n">
        <f aca="false">'📋 Matches'!E43</f>
        <v>0</v>
      </c>
      <c r="G2131" s="29" t="n">
        <f aca="false">'📋 Matches'!F43</f>
        <v>0</v>
      </c>
      <c r="H2131" s="30" t="s">
        <v>148</v>
      </c>
      <c r="I2131" s="30" t="s">
        <v>148</v>
      </c>
      <c r="J2131" s="30" t="s">
        <v>148</v>
      </c>
      <c r="K2131" s="30" t="s">
        <v>148</v>
      </c>
      <c r="L2131" s="30" t="s">
        <v>148</v>
      </c>
    </row>
    <row r="2132" customFormat="false" ht="18" hidden="false" customHeight="true" outlineLevel="0" collapsed="false">
      <c r="A2132" s="25" t="s">
        <v>84</v>
      </c>
      <c r="B2132" s="26" t="s">
        <v>177</v>
      </c>
      <c r="C2132" s="27" t="s">
        <v>107</v>
      </c>
      <c r="D2132" s="28"/>
      <c r="E2132" s="28"/>
      <c r="F2132" s="29" t="n">
        <f aca="false">'📋 Matches'!E44</f>
        <v>0</v>
      </c>
      <c r="G2132" s="29" t="n">
        <f aca="false">'📋 Matches'!F44</f>
        <v>0</v>
      </c>
      <c r="H2132" s="30" t="s">
        <v>148</v>
      </c>
      <c r="I2132" s="30" t="s">
        <v>148</v>
      </c>
      <c r="J2132" s="30" t="s">
        <v>148</v>
      </c>
      <c r="K2132" s="30" t="s">
        <v>148</v>
      </c>
      <c r="L2132" s="30" t="s">
        <v>148</v>
      </c>
    </row>
    <row r="2133" customFormat="false" ht="18" hidden="false" customHeight="true" outlineLevel="0" collapsed="false">
      <c r="A2133" s="25" t="s">
        <v>84</v>
      </c>
      <c r="B2133" s="26" t="s">
        <v>177</v>
      </c>
      <c r="C2133" s="27" t="s">
        <v>108</v>
      </c>
      <c r="D2133" s="28"/>
      <c r="E2133" s="28"/>
      <c r="F2133" s="29" t="n">
        <f aca="false">'📋 Matches'!E45</f>
        <v>0</v>
      </c>
      <c r="G2133" s="29" t="n">
        <f aca="false">'📋 Matches'!F45</f>
        <v>0</v>
      </c>
      <c r="H2133" s="30" t="s">
        <v>148</v>
      </c>
      <c r="I2133" s="30" t="s">
        <v>148</v>
      </c>
      <c r="J2133" s="30" t="s">
        <v>148</v>
      </c>
      <c r="K2133" s="30" t="s">
        <v>148</v>
      </c>
      <c r="L2133" s="30" t="s">
        <v>148</v>
      </c>
    </row>
    <row r="2134" customFormat="false" ht="18" hidden="false" customHeight="true" outlineLevel="0" collapsed="false">
      <c r="A2134" s="25" t="s">
        <v>84</v>
      </c>
      <c r="B2134" s="26" t="s">
        <v>177</v>
      </c>
      <c r="C2134" s="27" t="s">
        <v>109</v>
      </c>
      <c r="D2134" s="28"/>
      <c r="E2134" s="28"/>
      <c r="F2134" s="29" t="n">
        <f aca="false">'📋 Matches'!E46</f>
        <v>0</v>
      </c>
      <c r="G2134" s="29" t="n">
        <f aca="false">'📋 Matches'!F46</f>
        <v>0</v>
      </c>
      <c r="H2134" s="30" t="s">
        <v>148</v>
      </c>
      <c r="I2134" s="30" t="s">
        <v>148</v>
      </c>
      <c r="J2134" s="30" t="s">
        <v>148</v>
      </c>
      <c r="K2134" s="30" t="s">
        <v>148</v>
      </c>
      <c r="L2134" s="30" t="s">
        <v>148</v>
      </c>
    </row>
    <row r="2135" customFormat="false" ht="18" hidden="false" customHeight="true" outlineLevel="0" collapsed="false">
      <c r="A2135" s="25" t="s">
        <v>84</v>
      </c>
      <c r="B2135" s="26" t="s">
        <v>177</v>
      </c>
      <c r="C2135" s="27" t="s">
        <v>110</v>
      </c>
      <c r="D2135" s="28"/>
      <c r="E2135" s="28"/>
      <c r="F2135" s="29" t="n">
        <f aca="false">'📋 Matches'!E47</f>
        <v>0</v>
      </c>
      <c r="G2135" s="29" t="n">
        <f aca="false">'📋 Matches'!F47</f>
        <v>0</v>
      </c>
      <c r="H2135" s="30" t="s">
        <v>148</v>
      </c>
      <c r="I2135" s="30" t="s">
        <v>148</v>
      </c>
      <c r="J2135" s="30" t="s">
        <v>148</v>
      </c>
      <c r="K2135" s="30" t="s">
        <v>148</v>
      </c>
      <c r="L2135" s="30" t="s">
        <v>148</v>
      </c>
    </row>
    <row r="2136" customFormat="false" ht="18" hidden="false" customHeight="true" outlineLevel="0" collapsed="false">
      <c r="A2136" s="25" t="s">
        <v>84</v>
      </c>
      <c r="B2136" s="26" t="s">
        <v>177</v>
      </c>
      <c r="C2136" s="27" t="s">
        <v>111</v>
      </c>
      <c r="D2136" s="28"/>
      <c r="E2136" s="28"/>
      <c r="F2136" s="29" t="n">
        <f aca="false">'📋 Matches'!E48</f>
        <v>0</v>
      </c>
      <c r="G2136" s="29" t="n">
        <f aca="false">'📋 Matches'!F48</f>
        <v>0</v>
      </c>
      <c r="H2136" s="30" t="s">
        <v>148</v>
      </c>
      <c r="I2136" s="30" t="s">
        <v>148</v>
      </c>
      <c r="J2136" s="30" t="s">
        <v>148</v>
      </c>
      <c r="K2136" s="30" t="s">
        <v>148</v>
      </c>
      <c r="L2136" s="30" t="s">
        <v>148</v>
      </c>
    </row>
    <row r="2137" customFormat="false" ht="18" hidden="false" customHeight="true" outlineLevel="0" collapsed="false">
      <c r="A2137" s="25" t="s">
        <v>84</v>
      </c>
      <c r="B2137" s="26" t="s">
        <v>177</v>
      </c>
      <c r="C2137" s="27" t="s">
        <v>112</v>
      </c>
      <c r="D2137" s="28"/>
      <c r="E2137" s="28"/>
      <c r="F2137" s="29" t="n">
        <f aca="false">'📋 Matches'!E49</f>
        <v>0</v>
      </c>
      <c r="G2137" s="29" t="n">
        <f aca="false">'📋 Matches'!F49</f>
        <v>0</v>
      </c>
      <c r="H2137" s="30" t="s">
        <v>148</v>
      </c>
      <c r="I2137" s="30" t="s">
        <v>148</v>
      </c>
      <c r="J2137" s="30" t="s">
        <v>148</v>
      </c>
      <c r="K2137" s="30" t="s">
        <v>148</v>
      </c>
      <c r="L2137" s="30" t="s">
        <v>148</v>
      </c>
    </row>
    <row r="2138" customFormat="false" ht="18" hidden="false" customHeight="true" outlineLevel="0" collapsed="false">
      <c r="A2138" s="25" t="s">
        <v>114</v>
      </c>
      <c r="B2138" s="26" t="s">
        <v>177</v>
      </c>
      <c r="C2138" s="27" t="s">
        <v>115</v>
      </c>
      <c r="D2138" s="28"/>
      <c r="E2138" s="28"/>
      <c r="F2138" s="29" t="n">
        <f aca="false">'📋 Matches'!E50</f>
        <v>0</v>
      </c>
      <c r="G2138" s="29" t="n">
        <f aca="false">'📋 Matches'!F50</f>
        <v>0</v>
      </c>
      <c r="H2138" s="30" t="s">
        <v>148</v>
      </c>
      <c r="I2138" s="30" t="s">
        <v>148</v>
      </c>
      <c r="J2138" s="30" t="s">
        <v>148</v>
      </c>
      <c r="K2138" s="30" t="s">
        <v>148</v>
      </c>
      <c r="L2138" s="30" t="s">
        <v>148</v>
      </c>
    </row>
    <row r="2139" customFormat="false" ht="18" hidden="false" customHeight="true" outlineLevel="0" collapsed="false">
      <c r="A2139" s="25" t="s">
        <v>114</v>
      </c>
      <c r="B2139" s="26" t="s">
        <v>177</v>
      </c>
      <c r="C2139" s="27" t="s">
        <v>116</v>
      </c>
      <c r="D2139" s="28"/>
      <c r="E2139" s="28"/>
      <c r="F2139" s="29" t="n">
        <f aca="false">'📋 Matches'!E51</f>
        <v>0</v>
      </c>
      <c r="G2139" s="29" t="n">
        <f aca="false">'📋 Matches'!F51</f>
        <v>0</v>
      </c>
      <c r="H2139" s="30" t="s">
        <v>148</v>
      </c>
      <c r="I2139" s="30" t="s">
        <v>148</v>
      </c>
      <c r="J2139" s="30" t="s">
        <v>148</v>
      </c>
      <c r="K2139" s="30" t="s">
        <v>148</v>
      </c>
      <c r="L2139" s="30" t="s">
        <v>148</v>
      </c>
    </row>
    <row r="2140" customFormat="false" ht="18" hidden="false" customHeight="true" outlineLevel="0" collapsed="false">
      <c r="A2140" s="25" t="s">
        <v>114</v>
      </c>
      <c r="B2140" s="26" t="s">
        <v>177</v>
      </c>
      <c r="C2140" s="27" t="s">
        <v>117</v>
      </c>
      <c r="D2140" s="28"/>
      <c r="E2140" s="28"/>
      <c r="F2140" s="29" t="n">
        <f aca="false">'📋 Matches'!E52</f>
        <v>0</v>
      </c>
      <c r="G2140" s="29" t="n">
        <f aca="false">'📋 Matches'!F52</f>
        <v>0</v>
      </c>
      <c r="H2140" s="30" t="s">
        <v>148</v>
      </c>
      <c r="I2140" s="30" t="s">
        <v>148</v>
      </c>
      <c r="J2140" s="30" t="s">
        <v>148</v>
      </c>
      <c r="K2140" s="30" t="s">
        <v>148</v>
      </c>
      <c r="L2140" s="30" t="s">
        <v>148</v>
      </c>
    </row>
    <row r="2141" customFormat="false" ht="18" hidden="false" customHeight="true" outlineLevel="0" collapsed="false">
      <c r="A2141" s="25" t="s">
        <v>114</v>
      </c>
      <c r="B2141" s="26" t="s">
        <v>177</v>
      </c>
      <c r="C2141" s="27" t="s">
        <v>118</v>
      </c>
      <c r="D2141" s="28"/>
      <c r="E2141" s="28"/>
      <c r="F2141" s="29" t="n">
        <f aca="false">'📋 Matches'!E53</f>
        <v>0</v>
      </c>
      <c r="G2141" s="29" t="n">
        <f aca="false">'📋 Matches'!F53</f>
        <v>0</v>
      </c>
      <c r="H2141" s="30" t="s">
        <v>148</v>
      </c>
      <c r="I2141" s="30" t="s">
        <v>148</v>
      </c>
      <c r="J2141" s="30" t="s">
        <v>148</v>
      </c>
      <c r="K2141" s="30" t="s">
        <v>148</v>
      </c>
      <c r="L2141" s="30" t="s">
        <v>148</v>
      </c>
    </row>
    <row r="2142" customFormat="false" ht="18" hidden="false" customHeight="true" outlineLevel="0" collapsed="false">
      <c r="A2142" s="25" t="s">
        <v>114</v>
      </c>
      <c r="B2142" s="26" t="s">
        <v>177</v>
      </c>
      <c r="C2142" s="27" t="s">
        <v>119</v>
      </c>
      <c r="D2142" s="28"/>
      <c r="E2142" s="28"/>
      <c r="F2142" s="29" t="n">
        <f aca="false">'📋 Matches'!E54</f>
        <v>0</v>
      </c>
      <c r="G2142" s="29" t="n">
        <f aca="false">'📋 Matches'!F54</f>
        <v>0</v>
      </c>
      <c r="H2142" s="30" t="s">
        <v>148</v>
      </c>
      <c r="I2142" s="30" t="s">
        <v>148</v>
      </c>
      <c r="J2142" s="30" t="s">
        <v>148</v>
      </c>
      <c r="K2142" s="30" t="s">
        <v>148</v>
      </c>
      <c r="L2142" s="30" t="s">
        <v>148</v>
      </c>
    </row>
    <row r="2143" customFormat="false" ht="18" hidden="false" customHeight="true" outlineLevel="0" collapsed="false">
      <c r="A2143" s="25" t="s">
        <v>114</v>
      </c>
      <c r="B2143" s="26" t="s">
        <v>177</v>
      </c>
      <c r="C2143" s="27" t="s">
        <v>120</v>
      </c>
      <c r="D2143" s="28"/>
      <c r="E2143" s="28"/>
      <c r="F2143" s="29" t="n">
        <f aca="false">'📋 Matches'!E55</f>
        <v>0</v>
      </c>
      <c r="G2143" s="29" t="n">
        <f aca="false">'📋 Matches'!F55</f>
        <v>0</v>
      </c>
      <c r="H2143" s="30" t="s">
        <v>148</v>
      </c>
      <c r="I2143" s="30" t="s">
        <v>148</v>
      </c>
      <c r="J2143" s="30" t="s">
        <v>148</v>
      </c>
      <c r="K2143" s="30" t="s">
        <v>148</v>
      </c>
      <c r="L2143" s="30" t="s">
        <v>148</v>
      </c>
    </row>
    <row r="2144" customFormat="false" ht="18" hidden="false" customHeight="true" outlineLevel="0" collapsed="false">
      <c r="A2144" s="25" t="s">
        <v>114</v>
      </c>
      <c r="B2144" s="26" t="s">
        <v>177</v>
      </c>
      <c r="C2144" s="27" t="s">
        <v>121</v>
      </c>
      <c r="D2144" s="28"/>
      <c r="E2144" s="28"/>
      <c r="F2144" s="29" t="n">
        <f aca="false">'📋 Matches'!E56</f>
        <v>0</v>
      </c>
      <c r="G2144" s="29" t="n">
        <f aca="false">'📋 Matches'!F56</f>
        <v>0</v>
      </c>
      <c r="H2144" s="30" t="s">
        <v>148</v>
      </c>
      <c r="I2144" s="30" t="s">
        <v>148</v>
      </c>
      <c r="J2144" s="30" t="s">
        <v>148</v>
      </c>
      <c r="K2144" s="30" t="s">
        <v>148</v>
      </c>
      <c r="L2144" s="30" t="s">
        <v>148</v>
      </c>
    </row>
    <row r="2145" customFormat="false" ht="18" hidden="false" customHeight="true" outlineLevel="0" collapsed="false">
      <c r="A2145" s="25" t="s">
        <v>114</v>
      </c>
      <c r="B2145" s="26" t="s">
        <v>177</v>
      </c>
      <c r="C2145" s="27" t="s">
        <v>122</v>
      </c>
      <c r="D2145" s="28"/>
      <c r="E2145" s="28"/>
      <c r="F2145" s="29" t="n">
        <f aca="false">'📋 Matches'!E57</f>
        <v>0</v>
      </c>
      <c r="G2145" s="29" t="n">
        <f aca="false">'📋 Matches'!F57</f>
        <v>0</v>
      </c>
      <c r="H2145" s="30" t="s">
        <v>148</v>
      </c>
      <c r="I2145" s="30" t="s">
        <v>148</v>
      </c>
      <c r="J2145" s="30" t="s">
        <v>148</v>
      </c>
      <c r="K2145" s="30" t="s">
        <v>148</v>
      </c>
      <c r="L2145" s="30" t="s">
        <v>148</v>
      </c>
    </row>
    <row r="2146" customFormat="false" ht="18" hidden="false" customHeight="true" outlineLevel="0" collapsed="false">
      <c r="A2146" s="25" t="s">
        <v>114</v>
      </c>
      <c r="B2146" s="26" t="s">
        <v>177</v>
      </c>
      <c r="C2146" s="27" t="s">
        <v>123</v>
      </c>
      <c r="D2146" s="28"/>
      <c r="E2146" s="28"/>
      <c r="F2146" s="29" t="n">
        <f aca="false">'📋 Matches'!E58</f>
        <v>0</v>
      </c>
      <c r="G2146" s="29" t="n">
        <f aca="false">'📋 Matches'!F58</f>
        <v>0</v>
      </c>
      <c r="H2146" s="30" t="s">
        <v>148</v>
      </c>
      <c r="I2146" s="30" t="s">
        <v>148</v>
      </c>
      <c r="J2146" s="30" t="s">
        <v>148</v>
      </c>
      <c r="K2146" s="30" t="s">
        <v>148</v>
      </c>
      <c r="L2146" s="30" t="s">
        <v>148</v>
      </c>
    </row>
    <row r="2147" customFormat="false" ht="18" hidden="false" customHeight="true" outlineLevel="0" collapsed="false">
      <c r="A2147" s="25" t="s">
        <v>114</v>
      </c>
      <c r="B2147" s="26" t="s">
        <v>177</v>
      </c>
      <c r="C2147" s="27" t="s">
        <v>124</v>
      </c>
      <c r="D2147" s="28"/>
      <c r="E2147" s="28"/>
      <c r="F2147" s="29" t="n">
        <f aca="false">'📋 Matches'!E59</f>
        <v>0</v>
      </c>
      <c r="G2147" s="29" t="n">
        <f aca="false">'📋 Matches'!F59</f>
        <v>0</v>
      </c>
      <c r="H2147" s="30" t="s">
        <v>148</v>
      </c>
      <c r="I2147" s="30" t="s">
        <v>148</v>
      </c>
      <c r="J2147" s="30" t="s">
        <v>148</v>
      </c>
      <c r="K2147" s="30" t="s">
        <v>148</v>
      </c>
      <c r="L2147" s="30" t="s">
        <v>148</v>
      </c>
    </row>
    <row r="2148" customFormat="false" ht="18" hidden="false" customHeight="true" outlineLevel="0" collapsed="false">
      <c r="A2148" s="25" t="s">
        <v>114</v>
      </c>
      <c r="B2148" s="26" t="s">
        <v>177</v>
      </c>
      <c r="C2148" s="27" t="s">
        <v>125</v>
      </c>
      <c r="D2148" s="28"/>
      <c r="E2148" s="28"/>
      <c r="F2148" s="29" t="n">
        <f aca="false">'📋 Matches'!E60</f>
        <v>0</v>
      </c>
      <c r="G2148" s="29" t="n">
        <f aca="false">'📋 Matches'!F60</f>
        <v>0</v>
      </c>
      <c r="H2148" s="30" t="s">
        <v>148</v>
      </c>
      <c r="I2148" s="30" t="s">
        <v>148</v>
      </c>
      <c r="J2148" s="30" t="s">
        <v>148</v>
      </c>
      <c r="K2148" s="30" t="s">
        <v>148</v>
      </c>
      <c r="L2148" s="30" t="s">
        <v>148</v>
      </c>
    </row>
    <row r="2149" customFormat="false" ht="18" hidden="false" customHeight="true" outlineLevel="0" collapsed="false">
      <c r="A2149" s="25" t="s">
        <v>114</v>
      </c>
      <c r="B2149" s="26" t="s">
        <v>177</v>
      </c>
      <c r="C2149" s="27" t="s">
        <v>126</v>
      </c>
      <c r="D2149" s="28"/>
      <c r="E2149" s="28"/>
      <c r="F2149" s="29" t="n">
        <f aca="false">'📋 Matches'!E61</f>
        <v>0</v>
      </c>
      <c r="G2149" s="29" t="n">
        <f aca="false">'📋 Matches'!F61</f>
        <v>0</v>
      </c>
      <c r="H2149" s="30" t="s">
        <v>148</v>
      </c>
      <c r="I2149" s="30" t="s">
        <v>148</v>
      </c>
      <c r="J2149" s="30" t="s">
        <v>148</v>
      </c>
      <c r="K2149" s="30" t="s">
        <v>148</v>
      </c>
      <c r="L2149" s="30" t="s">
        <v>148</v>
      </c>
    </row>
    <row r="2150" customFormat="false" ht="18" hidden="false" customHeight="true" outlineLevel="0" collapsed="false">
      <c r="A2150" s="25" t="s">
        <v>114</v>
      </c>
      <c r="B2150" s="26" t="s">
        <v>177</v>
      </c>
      <c r="C2150" s="27" t="s">
        <v>127</v>
      </c>
      <c r="D2150" s="28"/>
      <c r="E2150" s="28"/>
      <c r="F2150" s="29" t="n">
        <f aca="false">'📋 Matches'!E62</f>
        <v>0</v>
      </c>
      <c r="G2150" s="29" t="n">
        <f aca="false">'📋 Matches'!F62</f>
        <v>0</v>
      </c>
      <c r="H2150" s="30" t="s">
        <v>148</v>
      </c>
      <c r="I2150" s="30" t="s">
        <v>148</v>
      </c>
      <c r="J2150" s="30" t="s">
        <v>148</v>
      </c>
      <c r="K2150" s="30" t="s">
        <v>148</v>
      </c>
      <c r="L2150" s="30" t="s">
        <v>148</v>
      </c>
    </row>
    <row r="2151" customFormat="false" ht="18" hidden="false" customHeight="true" outlineLevel="0" collapsed="false">
      <c r="A2151" s="25" t="s">
        <v>114</v>
      </c>
      <c r="B2151" s="26" t="s">
        <v>177</v>
      </c>
      <c r="C2151" s="27" t="s">
        <v>128</v>
      </c>
      <c r="D2151" s="28"/>
      <c r="E2151" s="28"/>
      <c r="F2151" s="29" t="n">
        <f aca="false">'📋 Matches'!E63</f>
        <v>0</v>
      </c>
      <c r="G2151" s="29" t="n">
        <f aca="false">'📋 Matches'!F63</f>
        <v>0</v>
      </c>
      <c r="H2151" s="30" t="s">
        <v>148</v>
      </c>
      <c r="I2151" s="30" t="s">
        <v>148</v>
      </c>
      <c r="J2151" s="30" t="s">
        <v>148</v>
      </c>
      <c r="K2151" s="30" t="s">
        <v>148</v>
      </c>
      <c r="L2151" s="30" t="s">
        <v>148</v>
      </c>
    </row>
    <row r="2152" customFormat="false" ht="18" hidden="false" customHeight="true" outlineLevel="0" collapsed="false">
      <c r="A2152" s="25" t="s">
        <v>114</v>
      </c>
      <c r="B2152" s="26" t="s">
        <v>177</v>
      </c>
      <c r="C2152" s="27" t="s">
        <v>129</v>
      </c>
      <c r="D2152" s="28"/>
      <c r="E2152" s="28"/>
      <c r="F2152" s="29" t="n">
        <f aca="false">'📋 Matches'!E64</f>
        <v>0</v>
      </c>
      <c r="G2152" s="29" t="n">
        <f aca="false">'📋 Matches'!F64</f>
        <v>0</v>
      </c>
      <c r="H2152" s="30" t="s">
        <v>148</v>
      </c>
      <c r="I2152" s="30" t="s">
        <v>148</v>
      </c>
      <c r="J2152" s="30" t="s">
        <v>148</v>
      </c>
      <c r="K2152" s="30" t="s">
        <v>148</v>
      </c>
      <c r="L2152" s="30" t="s">
        <v>148</v>
      </c>
    </row>
    <row r="2153" customFormat="false" ht="18" hidden="false" customHeight="true" outlineLevel="0" collapsed="false">
      <c r="A2153" s="25" t="s">
        <v>114</v>
      </c>
      <c r="B2153" s="26" t="s">
        <v>177</v>
      </c>
      <c r="C2153" s="27" t="s">
        <v>130</v>
      </c>
      <c r="D2153" s="28"/>
      <c r="E2153" s="28"/>
      <c r="F2153" s="29" t="n">
        <f aca="false">'📋 Matches'!E65</f>
        <v>0</v>
      </c>
      <c r="G2153" s="29" t="n">
        <f aca="false">'📋 Matches'!F65</f>
        <v>0</v>
      </c>
      <c r="H2153" s="30" t="s">
        <v>148</v>
      </c>
      <c r="I2153" s="30" t="s">
        <v>148</v>
      </c>
      <c r="J2153" s="30" t="s">
        <v>148</v>
      </c>
      <c r="K2153" s="30" t="s">
        <v>148</v>
      </c>
      <c r="L2153" s="30" t="s">
        <v>148</v>
      </c>
    </row>
    <row r="2154" customFormat="false" ht="18" hidden="false" customHeight="true" outlineLevel="0" collapsed="false">
      <c r="A2154" s="25" t="s">
        <v>114</v>
      </c>
      <c r="B2154" s="26" t="s">
        <v>177</v>
      </c>
      <c r="C2154" s="27" t="s">
        <v>131</v>
      </c>
      <c r="D2154" s="28"/>
      <c r="E2154" s="28"/>
      <c r="F2154" s="29" t="n">
        <f aca="false">'📋 Matches'!E66</f>
        <v>0</v>
      </c>
      <c r="G2154" s="29" t="n">
        <f aca="false">'📋 Matches'!F66</f>
        <v>0</v>
      </c>
      <c r="H2154" s="30" t="s">
        <v>148</v>
      </c>
      <c r="I2154" s="30" t="s">
        <v>148</v>
      </c>
      <c r="J2154" s="30" t="s">
        <v>148</v>
      </c>
      <c r="K2154" s="30" t="s">
        <v>148</v>
      </c>
      <c r="L2154" s="30" t="s">
        <v>148</v>
      </c>
    </row>
    <row r="2155" customFormat="false" ht="18" hidden="false" customHeight="true" outlineLevel="0" collapsed="false">
      <c r="A2155" s="25" t="s">
        <v>114</v>
      </c>
      <c r="B2155" s="26" t="s">
        <v>177</v>
      </c>
      <c r="C2155" s="27" t="s">
        <v>132</v>
      </c>
      <c r="D2155" s="28"/>
      <c r="E2155" s="28"/>
      <c r="F2155" s="29" t="n">
        <f aca="false">'📋 Matches'!E67</f>
        <v>0</v>
      </c>
      <c r="G2155" s="29" t="n">
        <f aca="false">'📋 Matches'!F67</f>
        <v>0</v>
      </c>
      <c r="H2155" s="30" t="s">
        <v>148</v>
      </c>
      <c r="I2155" s="30" t="s">
        <v>148</v>
      </c>
      <c r="J2155" s="30" t="s">
        <v>148</v>
      </c>
      <c r="K2155" s="30" t="s">
        <v>148</v>
      </c>
      <c r="L2155" s="30" t="s">
        <v>148</v>
      </c>
    </row>
    <row r="2156" customFormat="false" ht="18" hidden="false" customHeight="true" outlineLevel="0" collapsed="false">
      <c r="A2156" s="25" t="s">
        <v>114</v>
      </c>
      <c r="B2156" s="26" t="s">
        <v>177</v>
      </c>
      <c r="C2156" s="27" t="s">
        <v>133</v>
      </c>
      <c r="D2156" s="28"/>
      <c r="E2156" s="28"/>
      <c r="F2156" s="29" t="n">
        <f aca="false">'📋 Matches'!E68</f>
        <v>0</v>
      </c>
      <c r="G2156" s="29" t="n">
        <f aca="false">'📋 Matches'!F68</f>
        <v>0</v>
      </c>
      <c r="H2156" s="30" t="s">
        <v>148</v>
      </c>
      <c r="I2156" s="30" t="s">
        <v>148</v>
      </c>
      <c r="J2156" s="30" t="s">
        <v>148</v>
      </c>
      <c r="K2156" s="30" t="s">
        <v>148</v>
      </c>
      <c r="L2156" s="30" t="s">
        <v>148</v>
      </c>
    </row>
    <row r="2157" customFormat="false" ht="18" hidden="false" customHeight="true" outlineLevel="0" collapsed="false">
      <c r="A2157" s="25" t="s">
        <v>114</v>
      </c>
      <c r="B2157" s="26" t="s">
        <v>177</v>
      </c>
      <c r="C2157" s="27" t="s">
        <v>134</v>
      </c>
      <c r="D2157" s="28"/>
      <c r="E2157" s="28"/>
      <c r="F2157" s="29" t="n">
        <f aca="false">'📋 Matches'!E69</f>
        <v>0</v>
      </c>
      <c r="G2157" s="29" t="n">
        <f aca="false">'📋 Matches'!F69</f>
        <v>0</v>
      </c>
      <c r="H2157" s="30" t="s">
        <v>148</v>
      </c>
      <c r="I2157" s="30" t="s">
        <v>148</v>
      </c>
      <c r="J2157" s="30" t="s">
        <v>148</v>
      </c>
      <c r="K2157" s="30" t="s">
        <v>148</v>
      </c>
      <c r="L2157" s="30" t="s">
        <v>148</v>
      </c>
    </row>
    <row r="2158" customFormat="false" ht="18" hidden="false" customHeight="true" outlineLevel="0" collapsed="false">
      <c r="A2158" s="25" t="s">
        <v>114</v>
      </c>
      <c r="B2158" s="26" t="s">
        <v>177</v>
      </c>
      <c r="C2158" s="27" t="s">
        <v>135</v>
      </c>
      <c r="D2158" s="28"/>
      <c r="E2158" s="28"/>
      <c r="F2158" s="29" t="n">
        <f aca="false">'📋 Matches'!E70</f>
        <v>0</v>
      </c>
      <c r="G2158" s="29" t="n">
        <f aca="false">'📋 Matches'!F70</f>
        <v>0</v>
      </c>
      <c r="H2158" s="30" t="s">
        <v>148</v>
      </c>
      <c r="I2158" s="30" t="s">
        <v>148</v>
      </c>
      <c r="J2158" s="30" t="s">
        <v>148</v>
      </c>
      <c r="K2158" s="30" t="s">
        <v>148</v>
      </c>
      <c r="L2158" s="30" t="s">
        <v>148</v>
      </c>
    </row>
    <row r="2159" customFormat="false" ht="18" hidden="false" customHeight="true" outlineLevel="0" collapsed="false">
      <c r="A2159" s="25" t="s">
        <v>114</v>
      </c>
      <c r="B2159" s="26" t="s">
        <v>177</v>
      </c>
      <c r="C2159" s="27" t="s">
        <v>136</v>
      </c>
      <c r="D2159" s="28"/>
      <c r="E2159" s="28"/>
      <c r="F2159" s="29" t="n">
        <f aca="false">'📋 Matches'!E71</f>
        <v>0</v>
      </c>
      <c r="G2159" s="29" t="n">
        <f aca="false">'📋 Matches'!F71</f>
        <v>0</v>
      </c>
      <c r="H2159" s="30" t="s">
        <v>148</v>
      </c>
      <c r="I2159" s="30" t="s">
        <v>148</v>
      </c>
      <c r="J2159" s="30" t="s">
        <v>148</v>
      </c>
      <c r="K2159" s="30" t="s">
        <v>148</v>
      </c>
      <c r="L2159" s="30" t="s">
        <v>148</v>
      </c>
    </row>
    <row r="2160" customFormat="false" ht="18" hidden="false" customHeight="true" outlineLevel="0" collapsed="false">
      <c r="A2160" s="25" t="s">
        <v>114</v>
      </c>
      <c r="B2160" s="26" t="s">
        <v>177</v>
      </c>
      <c r="C2160" s="27" t="s">
        <v>137</v>
      </c>
      <c r="D2160" s="28"/>
      <c r="E2160" s="28"/>
      <c r="F2160" s="29" t="n">
        <f aca="false">'📋 Matches'!E72</f>
        <v>0</v>
      </c>
      <c r="G2160" s="29" t="n">
        <f aca="false">'📋 Matches'!F72</f>
        <v>0</v>
      </c>
      <c r="H2160" s="30" t="s">
        <v>148</v>
      </c>
      <c r="I2160" s="30" t="s">
        <v>148</v>
      </c>
      <c r="J2160" s="30" t="s">
        <v>148</v>
      </c>
      <c r="K2160" s="30" t="s">
        <v>148</v>
      </c>
      <c r="L2160" s="30" t="s">
        <v>148</v>
      </c>
    </row>
    <row r="2161" customFormat="false" ht="18" hidden="false" customHeight="true" outlineLevel="0" collapsed="false">
      <c r="A2161" s="25" t="s">
        <v>114</v>
      </c>
      <c r="B2161" s="26" t="s">
        <v>177</v>
      </c>
      <c r="C2161" s="27" t="s">
        <v>138</v>
      </c>
      <c r="D2161" s="28"/>
      <c r="E2161" s="28"/>
      <c r="F2161" s="29" t="n">
        <f aca="false">'📋 Matches'!E73</f>
        <v>0</v>
      </c>
      <c r="G2161" s="29" t="n">
        <f aca="false">'📋 Matches'!F73</f>
        <v>0</v>
      </c>
      <c r="H2161" s="30" t="s">
        <v>148</v>
      </c>
      <c r="I2161" s="30" t="s">
        <v>148</v>
      </c>
      <c r="J2161" s="30" t="s">
        <v>148</v>
      </c>
      <c r="K2161" s="30" t="s">
        <v>148</v>
      </c>
      <c r="L2161" s="30" t="s">
        <v>148</v>
      </c>
    </row>
    <row r="2162" customFormat="false" ht="18" hidden="false" customHeight="true" outlineLevel="0" collapsed="false">
      <c r="A2162" s="17" t="s">
        <v>9</v>
      </c>
      <c r="B2162" s="31" t="s">
        <v>178</v>
      </c>
      <c r="C2162" s="19" t="s">
        <v>10</v>
      </c>
      <c r="D2162" s="20" t="n">
        <v>1</v>
      </c>
      <c r="E2162" s="20" t="n">
        <v>0</v>
      </c>
      <c r="F2162" s="21" t="n">
        <f aca="false">'📋 Matches'!E2</f>
        <v>2</v>
      </c>
      <c r="G2162" s="21" t="n">
        <f aca="false">'📋 Matches'!F2</f>
        <v>0</v>
      </c>
      <c r="H2162" s="22" t="n">
        <f aca="false">IF(AND(ISNUMBER(F2162),ISNUMBER(G2162)),IF(SIGN(D2162-E2162)=SIGN(F2162-G2162),48,0),"")</f>
        <v>48</v>
      </c>
      <c r="I2162" s="22" t="n">
        <f aca="false">IF(AND(ISNUMBER(F2162),ISNUMBER(G2162)),IF(D2162=F2162,15,0),"")</f>
        <v>0</v>
      </c>
      <c r="J2162" s="22" t="n">
        <f aca="false">IF(AND(ISNUMBER(F2162),ISNUMBER(G2162)),IF(E2162=G2162,15,0),"")</f>
        <v>15</v>
      </c>
      <c r="K2162" s="22" t="n">
        <f aca="false">IF(AND(ISNUMBER(F2162),ISNUMBER(G2162)),IF(ABS(D2162-E2162)=ABS(F2162-G2162),12,0),"")</f>
        <v>0</v>
      </c>
      <c r="L2162" s="23" t="n">
        <f aca="false">IF(ISNUMBER(H2162),H2162+I2162+J2162+K2162,"")</f>
        <v>63</v>
      </c>
    </row>
    <row r="2163" customFormat="false" ht="18" hidden="false" customHeight="true" outlineLevel="0" collapsed="false">
      <c r="A2163" s="17" t="s">
        <v>9</v>
      </c>
      <c r="B2163" s="31" t="s">
        <v>178</v>
      </c>
      <c r="C2163" s="19" t="s">
        <v>14</v>
      </c>
      <c r="D2163" s="20" t="n">
        <v>0</v>
      </c>
      <c r="E2163" s="20" t="n">
        <v>2</v>
      </c>
      <c r="F2163" s="21" t="n">
        <f aca="false">'📋 Matches'!E3</f>
        <v>2</v>
      </c>
      <c r="G2163" s="21" t="n">
        <f aca="false">'📋 Matches'!F3</f>
        <v>1</v>
      </c>
      <c r="H2163" s="22" t="n">
        <f aca="false">IF(AND(ISNUMBER(F2163),ISNUMBER(G2163)),IF(SIGN(D2163-E2163)=SIGN(F2163-G2163),48,0),"")</f>
        <v>0</v>
      </c>
      <c r="I2163" s="22" t="n">
        <f aca="false">IF(AND(ISNUMBER(F2163),ISNUMBER(G2163)),IF(D2163=F2163,15,0),"")</f>
        <v>0</v>
      </c>
      <c r="J2163" s="22" t="n">
        <f aca="false">IF(AND(ISNUMBER(F2163),ISNUMBER(G2163)),IF(E2163=G2163,15,0),"")</f>
        <v>0</v>
      </c>
      <c r="K2163" s="22" t="n">
        <f aca="false">IF(AND(ISNUMBER(F2163),ISNUMBER(G2163)),IF(ABS(D2163-E2163)=ABS(F2163-G2163),12,0),"")</f>
        <v>0</v>
      </c>
      <c r="L2163" s="23" t="n">
        <f aca="false">IF(ISNUMBER(H2163),H2163+I2163+J2163+K2163,"")</f>
        <v>0</v>
      </c>
    </row>
    <row r="2164" customFormat="false" ht="18" hidden="false" customHeight="true" outlineLevel="0" collapsed="false">
      <c r="A2164" s="17" t="s">
        <v>9</v>
      </c>
      <c r="B2164" s="31" t="s">
        <v>178</v>
      </c>
      <c r="C2164" s="19" t="s">
        <v>17</v>
      </c>
      <c r="D2164" s="20" t="n">
        <v>1</v>
      </c>
      <c r="E2164" s="20" t="n">
        <v>1</v>
      </c>
      <c r="F2164" s="21" t="n">
        <f aca="false">'📋 Matches'!E4</f>
        <v>1</v>
      </c>
      <c r="G2164" s="21" t="n">
        <f aca="false">'📋 Matches'!F4</f>
        <v>1</v>
      </c>
      <c r="H2164" s="22" t="n">
        <f aca="false">IF(AND(ISNUMBER(F2164),ISNUMBER(G2164)),IF(SIGN(D2164-E2164)=SIGN(F2164-G2164),48,0),"")</f>
        <v>48</v>
      </c>
      <c r="I2164" s="22" t="n">
        <f aca="false">IF(AND(ISNUMBER(F2164),ISNUMBER(G2164)),IF(D2164=F2164,15,0),"")</f>
        <v>15</v>
      </c>
      <c r="J2164" s="22" t="n">
        <f aca="false">IF(AND(ISNUMBER(F2164),ISNUMBER(G2164)),IF(E2164=G2164,15,0),"")</f>
        <v>15</v>
      </c>
      <c r="K2164" s="22" t="n">
        <f aca="false">IF(AND(ISNUMBER(F2164),ISNUMBER(G2164)),IF(ABS(D2164-E2164)=ABS(F2164-G2164),12,0),"")</f>
        <v>12</v>
      </c>
      <c r="L2164" s="23" t="n">
        <f aca="false">IF(ISNUMBER(H2164),H2164+I2164+J2164+K2164,"")</f>
        <v>90</v>
      </c>
    </row>
    <row r="2165" customFormat="false" ht="18" hidden="false" customHeight="true" outlineLevel="0" collapsed="false">
      <c r="A2165" s="17" t="s">
        <v>9</v>
      </c>
      <c r="B2165" s="31" t="s">
        <v>178</v>
      </c>
      <c r="C2165" s="19" t="s">
        <v>20</v>
      </c>
      <c r="D2165" s="20" t="n">
        <v>2</v>
      </c>
      <c r="E2165" s="20" t="n">
        <v>1</v>
      </c>
      <c r="F2165" s="21" t="n">
        <f aca="false">'📋 Matches'!E5</f>
        <v>4</v>
      </c>
      <c r="G2165" s="21" t="n">
        <f aca="false">'📋 Matches'!F5</f>
        <v>1</v>
      </c>
      <c r="H2165" s="22" t="n">
        <f aca="false">IF(AND(ISNUMBER(F2165),ISNUMBER(G2165)),IF(SIGN(D2165-E2165)=SIGN(F2165-G2165),48,0),"")</f>
        <v>48</v>
      </c>
      <c r="I2165" s="22" t="n">
        <f aca="false">IF(AND(ISNUMBER(F2165),ISNUMBER(G2165)),IF(D2165=F2165,15,0),"")</f>
        <v>0</v>
      </c>
      <c r="J2165" s="22" t="n">
        <f aca="false">IF(AND(ISNUMBER(F2165),ISNUMBER(G2165)),IF(E2165=G2165,15,0),"")</f>
        <v>15</v>
      </c>
      <c r="K2165" s="22" t="n">
        <f aca="false">IF(AND(ISNUMBER(F2165),ISNUMBER(G2165)),IF(ABS(D2165-E2165)=ABS(F2165-G2165),12,0),"")</f>
        <v>0</v>
      </c>
      <c r="L2165" s="23" t="n">
        <f aca="false">IF(ISNUMBER(H2165),H2165+I2165+J2165+K2165,"")</f>
        <v>63</v>
      </c>
    </row>
    <row r="2166" customFormat="false" ht="18" hidden="false" customHeight="true" outlineLevel="0" collapsed="false">
      <c r="A2166" s="17" t="s">
        <v>9</v>
      </c>
      <c r="B2166" s="31" t="s">
        <v>178</v>
      </c>
      <c r="C2166" s="19" t="s">
        <v>23</v>
      </c>
      <c r="D2166" s="20" t="n">
        <v>0</v>
      </c>
      <c r="E2166" s="20" t="n">
        <v>1</v>
      </c>
      <c r="F2166" s="21" t="n">
        <f aca="false">'📋 Matches'!E6</f>
        <v>0</v>
      </c>
      <c r="G2166" s="21" t="n">
        <f aca="false">'📋 Matches'!F6</f>
        <v>0</v>
      </c>
      <c r="H2166" s="22" t="str">
        <f aca="false">IF(AND(ISNUMBER(F2166),ISNUMBER(G2166)),IF(SIGN(D2166-E2166)=SIGN(F2166-G2166),48,0),"")</f>
        <v/>
      </c>
      <c r="I2166" s="22" t="str">
        <f aca="false">IF(AND(ISNUMBER(F2166),ISNUMBER(G2166)),IF(D2166=F2166,15,0),"")</f>
        <v/>
      </c>
      <c r="J2166" s="22" t="str">
        <f aca="false">IF(AND(ISNUMBER(F2166),ISNUMBER(G2166)),IF(E2166=G2166,15,0),"")</f>
        <v/>
      </c>
      <c r="K2166" s="22" t="str">
        <f aca="false">IF(AND(ISNUMBER(F2166),ISNUMBER(G2166)),IF(ABS(D2166-E2166)=ABS(F2166-G2166),12,0),"")</f>
        <v/>
      </c>
      <c r="L2166" s="23" t="str">
        <f aca="false">IF(ISNUMBER(H2166),H2166+I2166+J2166+K2166,"")</f>
        <v/>
      </c>
    </row>
    <row r="2167" customFormat="false" ht="18" hidden="false" customHeight="true" outlineLevel="0" collapsed="false">
      <c r="A2167" s="17" t="s">
        <v>9</v>
      </c>
      <c r="B2167" s="31" t="s">
        <v>178</v>
      </c>
      <c r="C2167" s="19" t="s">
        <v>27</v>
      </c>
      <c r="D2167" s="20" t="n">
        <v>3</v>
      </c>
      <c r="E2167" s="20" t="n">
        <v>1</v>
      </c>
      <c r="F2167" s="21" t="n">
        <f aca="false">'📋 Matches'!E7</f>
        <v>0</v>
      </c>
      <c r="G2167" s="21" t="n">
        <f aca="false">'📋 Matches'!F7</f>
        <v>0</v>
      </c>
      <c r="H2167" s="22" t="str">
        <f aca="false">IF(AND(ISNUMBER(F2167),ISNUMBER(G2167)),IF(SIGN(D2167-E2167)=SIGN(F2167-G2167),48,0),"")</f>
        <v/>
      </c>
      <c r="I2167" s="22" t="str">
        <f aca="false">IF(AND(ISNUMBER(F2167),ISNUMBER(G2167)),IF(D2167=F2167,15,0),"")</f>
        <v/>
      </c>
      <c r="J2167" s="22" t="str">
        <f aca="false">IF(AND(ISNUMBER(F2167),ISNUMBER(G2167)),IF(E2167=G2167,15,0),"")</f>
        <v/>
      </c>
      <c r="K2167" s="22" t="str">
        <f aca="false">IF(AND(ISNUMBER(F2167),ISNUMBER(G2167)),IF(ABS(D2167-E2167)=ABS(F2167-G2167),12,0),"")</f>
        <v/>
      </c>
      <c r="L2167" s="23" t="str">
        <f aca="false">IF(ISNUMBER(H2167),H2167+I2167+J2167+K2167,"")</f>
        <v/>
      </c>
    </row>
    <row r="2168" customFormat="false" ht="18" hidden="false" customHeight="true" outlineLevel="0" collapsed="false">
      <c r="A2168" s="17" t="s">
        <v>9</v>
      </c>
      <c r="B2168" s="31" t="s">
        <v>178</v>
      </c>
      <c r="C2168" s="19" t="s">
        <v>30</v>
      </c>
      <c r="D2168" s="20" t="n">
        <v>0</v>
      </c>
      <c r="E2168" s="20" t="n">
        <v>2</v>
      </c>
      <c r="F2168" s="21" t="n">
        <f aca="false">'📋 Matches'!E8</f>
        <v>0</v>
      </c>
      <c r="G2168" s="21" t="n">
        <f aca="false">'📋 Matches'!F8</f>
        <v>0</v>
      </c>
      <c r="H2168" s="22" t="str">
        <f aca="false">IF(AND(ISNUMBER(F2168),ISNUMBER(G2168)),IF(SIGN(D2168-E2168)=SIGN(F2168-G2168),48,0),"")</f>
        <v/>
      </c>
      <c r="I2168" s="22" t="str">
        <f aca="false">IF(AND(ISNUMBER(F2168),ISNUMBER(G2168)),IF(D2168=F2168,15,0),"")</f>
        <v/>
      </c>
      <c r="J2168" s="22" t="str">
        <f aca="false">IF(AND(ISNUMBER(F2168),ISNUMBER(G2168)),IF(E2168=G2168,15,0),"")</f>
        <v/>
      </c>
      <c r="K2168" s="22" t="str">
        <f aca="false">IF(AND(ISNUMBER(F2168),ISNUMBER(G2168)),IF(ABS(D2168-E2168)=ABS(F2168-G2168),12,0),"")</f>
        <v/>
      </c>
      <c r="L2168" s="23" t="str">
        <f aca="false">IF(ISNUMBER(H2168),H2168+I2168+J2168+K2168,"")</f>
        <v/>
      </c>
    </row>
    <row r="2169" customFormat="false" ht="18" hidden="false" customHeight="true" outlineLevel="0" collapsed="false">
      <c r="A2169" s="17" t="s">
        <v>9</v>
      </c>
      <c r="B2169" s="31" t="s">
        <v>178</v>
      </c>
      <c r="C2169" s="19" t="s">
        <v>33</v>
      </c>
      <c r="D2169" s="20" t="n">
        <v>0</v>
      </c>
      <c r="E2169" s="20" t="n">
        <v>2</v>
      </c>
      <c r="F2169" s="21" t="n">
        <f aca="false">'📋 Matches'!E9</f>
        <v>0</v>
      </c>
      <c r="G2169" s="21" t="n">
        <f aca="false">'📋 Matches'!F9</f>
        <v>0</v>
      </c>
      <c r="H2169" s="22" t="str">
        <f aca="false">IF(AND(ISNUMBER(F2169),ISNUMBER(G2169)),IF(SIGN(D2169-E2169)=SIGN(F2169-G2169),48,0),"")</f>
        <v/>
      </c>
      <c r="I2169" s="22" t="str">
        <f aca="false">IF(AND(ISNUMBER(F2169),ISNUMBER(G2169)),IF(D2169=F2169,15,0),"")</f>
        <v/>
      </c>
      <c r="J2169" s="22" t="str">
        <f aca="false">IF(AND(ISNUMBER(F2169),ISNUMBER(G2169)),IF(E2169=G2169,15,0),"")</f>
        <v/>
      </c>
      <c r="K2169" s="22" t="str">
        <f aca="false">IF(AND(ISNUMBER(F2169),ISNUMBER(G2169)),IF(ABS(D2169-E2169)=ABS(F2169-G2169),12,0),"")</f>
        <v/>
      </c>
      <c r="L2169" s="23" t="str">
        <f aca="false">IF(ISNUMBER(H2169),H2169+I2169+J2169+K2169,"")</f>
        <v/>
      </c>
    </row>
    <row r="2170" customFormat="false" ht="18" hidden="false" customHeight="true" outlineLevel="0" collapsed="false">
      <c r="A2170" s="17" t="s">
        <v>9</v>
      </c>
      <c r="B2170" s="31" t="s">
        <v>178</v>
      </c>
      <c r="C2170" s="19" t="s">
        <v>36</v>
      </c>
      <c r="D2170" s="20" t="n">
        <v>3</v>
      </c>
      <c r="E2170" s="20" t="n">
        <v>1</v>
      </c>
      <c r="F2170" s="21" t="n">
        <f aca="false">'📋 Matches'!E10</f>
        <v>0</v>
      </c>
      <c r="G2170" s="21" t="n">
        <f aca="false">'📋 Matches'!F10</f>
        <v>0</v>
      </c>
      <c r="H2170" s="22" t="str">
        <f aca="false">IF(AND(ISNUMBER(F2170),ISNUMBER(G2170)),IF(SIGN(D2170-E2170)=SIGN(F2170-G2170),48,0),"")</f>
        <v/>
      </c>
      <c r="I2170" s="22" t="str">
        <f aca="false">IF(AND(ISNUMBER(F2170),ISNUMBER(G2170)),IF(D2170=F2170,15,0),"")</f>
        <v/>
      </c>
      <c r="J2170" s="22" t="str">
        <f aca="false">IF(AND(ISNUMBER(F2170),ISNUMBER(G2170)),IF(E2170=G2170,15,0),"")</f>
        <v/>
      </c>
      <c r="K2170" s="22" t="str">
        <f aca="false">IF(AND(ISNUMBER(F2170),ISNUMBER(G2170)),IF(ABS(D2170-E2170)=ABS(F2170-G2170),12,0),"")</f>
        <v/>
      </c>
      <c r="L2170" s="23" t="str">
        <f aca="false">IF(ISNUMBER(H2170),H2170+I2170+J2170+K2170,"")</f>
        <v/>
      </c>
    </row>
    <row r="2171" customFormat="false" ht="18" hidden="false" customHeight="true" outlineLevel="0" collapsed="false">
      <c r="A2171" s="17" t="s">
        <v>9</v>
      </c>
      <c r="B2171" s="31" t="s">
        <v>178</v>
      </c>
      <c r="C2171" s="19" t="s">
        <v>39</v>
      </c>
      <c r="D2171" s="20" t="n">
        <v>2</v>
      </c>
      <c r="E2171" s="20" t="n">
        <v>1</v>
      </c>
      <c r="F2171" s="21" t="n">
        <f aca="false">'📋 Matches'!E11</f>
        <v>0</v>
      </c>
      <c r="G2171" s="21" t="n">
        <f aca="false">'📋 Matches'!F11</f>
        <v>0</v>
      </c>
      <c r="H2171" s="22" t="str">
        <f aca="false">IF(AND(ISNUMBER(F2171),ISNUMBER(G2171)),IF(SIGN(D2171-E2171)=SIGN(F2171-G2171),48,0),"")</f>
        <v/>
      </c>
      <c r="I2171" s="22" t="str">
        <f aca="false">IF(AND(ISNUMBER(F2171),ISNUMBER(G2171)),IF(D2171=F2171,15,0),"")</f>
        <v/>
      </c>
      <c r="J2171" s="22" t="str">
        <f aca="false">IF(AND(ISNUMBER(F2171),ISNUMBER(G2171)),IF(E2171=G2171,15,0),"")</f>
        <v/>
      </c>
      <c r="K2171" s="22" t="str">
        <f aca="false">IF(AND(ISNUMBER(F2171),ISNUMBER(G2171)),IF(ABS(D2171-E2171)=ABS(F2171-G2171),12,0),"")</f>
        <v/>
      </c>
      <c r="L2171" s="23" t="str">
        <f aca="false">IF(ISNUMBER(H2171),H2171+I2171+J2171+K2171,"")</f>
        <v/>
      </c>
    </row>
    <row r="2172" customFormat="false" ht="18" hidden="false" customHeight="true" outlineLevel="0" collapsed="false">
      <c r="A2172" s="17" t="s">
        <v>9</v>
      </c>
      <c r="B2172" s="31" t="s">
        <v>178</v>
      </c>
      <c r="C2172" s="19" t="s">
        <v>42</v>
      </c>
      <c r="D2172" s="20" t="n">
        <v>1</v>
      </c>
      <c r="E2172" s="20" t="n">
        <v>1</v>
      </c>
      <c r="F2172" s="21" t="n">
        <f aca="false">'📋 Matches'!E12</f>
        <v>0</v>
      </c>
      <c r="G2172" s="21" t="n">
        <f aca="false">'📋 Matches'!F12</f>
        <v>0</v>
      </c>
      <c r="H2172" s="22" t="str">
        <f aca="false">IF(AND(ISNUMBER(F2172),ISNUMBER(G2172)),IF(SIGN(D2172-E2172)=SIGN(F2172-G2172),48,0),"")</f>
        <v/>
      </c>
      <c r="I2172" s="22" t="str">
        <f aca="false">IF(AND(ISNUMBER(F2172),ISNUMBER(G2172)),IF(D2172=F2172,15,0),"")</f>
        <v/>
      </c>
      <c r="J2172" s="22" t="str">
        <f aca="false">IF(AND(ISNUMBER(F2172),ISNUMBER(G2172)),IF(E2172=G2172,15,0),"")</f>
        <v/>
      </c>
      <c r="K2172" s="22" t="str">
        <f aca="false">IF(AND(ISNUMBER(F2172),ISNUMBER(G2172)),IF(ABS(D2172-E2172)=ABS(F2172-G2172),12,0),"")</f>
        <v/>
      </c>
      <c r="L2172" s="23" t="str">
        <f aca="false">IF(ISNUMBER(H2172),H2172+I2172+J2172+K2172,"")</f>
        <v/>
      </c>
    </row>
    <row r="2173" customFormat="false" ht="18" hidden="false" customHeight="true" outlineLevel="0" collapsed="false">
      <c r="A2173" s="17" t="s">
        <v>9</v>
      </c>
      <c r="B2173" s="31" t="s">
        <v>178</v>
      </c>
      <c r="C2173" s="19" t="s">
        <v>45</v>
      </c>
      <c r="D2173" s="20" t="n">
        <v>1</v>
      </c>
      <c r="E2173" s="20" t="n">
        <v>1</v>
      </c>
      <c r="F2173" s="21" t="n">
        <f aca="false">'📋 Matches'!E13</f>
        <v>0</v>
      </c>
      <c r="G2173" s="21" t="n">
        <f aca="false">'📋 Matches'!F13</f>
        <v>0</v>
      </c>
      <c r="H2173" s="22" t="str">
        <f aca="false">IF(AND(ISNUMBER(F2173),ISNUMBER(G2173)),IF(SIGN(D2173-E2173)=SIGN(F2173-G2173),48,0),"")</f>
        <v/>
      </c>
      <c r="I2173" s="22" t="str">
        <f aca="false">IF(AND(ISNUMBER(F2173),ISNUMBER(G2173)),IF(D2173=F2173,15,0),"")</f>
        <v/>
      </c>
      <c r="J2173" s="22" t="str">
        <f aca="false">IF(AND(ISNUMBER(F2173),ISNUMBER(G2173)),IF(E2173=G2173,15,0),"")</f>
        <v/>
      </c>
      <c r="K2173" s="22" t="str">
        <f aca="false">IF(AND(ISNUMBER(F2173),ISNUMBER(G2173)),IF(ABS(D2173-E2173)=ABS(F2173-G2173),12,0),"")</f>
        <v/>
      </c>
      <c r="L2173" s="23" t="str">
        <f aca="false">IF(ISNUMBER(H2173),H2173+I2173+J2173+K2173,"")</f>
        <v/>
      </c>
    </row>
    <row r="2174" customFormat="false" ht="18" hidden="false" customHeight="true" outlineLevel="0" collapsed="false">
      <c r="A2174" s="17" t="s">
        <v>9</v>
      </c>
      <c r="B2174" s="31" t="s">
        <v>178</v>
      </c>
      <c r="C2174" s="19" t="s">
        <v>48</v>
      </c>
      <c r="D2174" s="20" t="n">
        <v>6</v>
      </c>
      <c r="E2174" s="20" t="n">
        <v>1</v>
      </c>
      <c r="F2174" s="21" t="n">
        <f aca="false">'📋 Matches'!E14</f>
        <v>0</v>
      </c>
      <c r="G2174" s="21" t="n">
        <f aca="false">'📋 Matches'!F14</f>
        <v>0</v>
      </c>
      <c r="H2174" s="22" t="str">
        <f aca="false">IF(AND(ISNUMBER(F2174),ISNUMBER(G2174)),IF(SIGN(D2174-E2174)=SIGN(F2174-G2174),48,0),"")</f>
        <v/>
      </c>
      <c r="I2174" s="22" t="str">
        <f aca="false">IF(AND(ISNUMBER(F2174),ISNUMBER(G2174)),IF(D2174=F2174,15,0),"")</f>
        <v/>
      </c>
      <c r="J2174" s="22" t="str">
        <f aca="false">IF(AND(ISNUMBER(F2174),ISNUMBER(G2174)),IF(E2174=G2174,15,0),"")</f>
        <v/>
      </c>
      <c r="K2174" s="22" t="str">
        <f aca="false">IF(AND(ISNUMBER(F2174),ISNUMBER(G2174)),IF(ABS(D2174-E2174)=ABS(F2174-G2174),12,0),"")</f>
        <v/>
      </c>
      <c r="L2174" s="23" t="str">
        <f aca="false">IF(ISNUMBER(H2174),H2174+I2174+J2174+K2174,"")</f>
        <v/>
      </c>
    </row>
    <row r="2175" customFormat="false" ht="18" hidden="false" customHeight="true" outlineLevel="0" collapsed="false">
      <c r="A2175" s="17" t="s">
        <v>9</v>
      </c>
      <c r="B2175" s="31" t="s">
        <v>178</v>
      </c>
      <c r="C2175" s="19" t="s">
        <v>51</v>
      </c>
      <c r="D2175" s="20" t="n">
        <v>3</v>
      </c>
      <c r="E2175" s="20" t="n">
        <v>1</v>
      </c>
      <c r="F2175" s="21" t="n">
        <f aca="false">'📋 Matches'!E15</f>
        <v>0</v>
      </c>
      <c r="G2175" s="21" t="n">
        <f aca="false">'📋 Matches'!F15</f>
        <v>0</v>
      </c>
      <c r="H2175" s="22" t="str">
        <f aca="false">IF(AND(ISNUMBER(F2175),ISNUMBER(G2175)),IF(SIGN(D2175-E2175)=SIGN(F2175-G2175),48,0),"")</f>
        <v/>
      </c>
      <c r="I2175" s="22" t="str">
        <f aca="false">IF(AND(ISNUMBER(F2175),ISNUMBER(G2175)),IF(D2175=F2175,15,0),"")</f>
        <v/>
      </c>
      <c r="J2175" s="22" t="str">
        <f aca="false">IF(AND(ISNUMBER(F2175),ISNUMBER(G2175)),IF(E2175=G2175,15,0),"")</f>
        <v/>
      </c>
      <c r="K2175" s="22" t="str">
        <f aca="false">IF(AND(ISNUMBER(F2175),ISNUMBER(G2175)),IF(ABS(D2175-E2175)=ABS(F2175-G2175),12,0),"")</f>
        <v/>
      </c>
      <c r="L2175" s="23" t="str">
        <f aca="false">IF(ISNUMBER(H2175),H2175+I2175+J2175+K2175,"")</f>
        <v/>
      </c>
    </row>
    <row r="2176" customFormat="false" ht="18" hidden="false" customHeight="true" outlineLevel="0" collapsed="false">
      <c r="A2176" s="17" t="s">
        <v>9</v>
      </c>
      <c r="B2176" s="31" t="s">
        <v>178</v>
      </c>
      <c r="C2176" s="19" t="s">
        <v>54</v>
      </c>
      <c r="D2176" s="20" t="n">
        <v>1</v>
      </c>
      <c r="E2176" s="20" t="n">
        <v>2</v>
      </c>
      <c r="F2176" s="21" t="n">
        <f aca="false">'📋 Matches'!E16</f>
        <v>0</v>
      </c>
      <c r="G2176" s="21" t="n">
        <f aca="false">'📋 Matches'!F16</f>
        <v>0</v>
      </c>
      <c r="H2176" s="22" t="str">
        <f aca="false">IF(AND(ISNUMBER(F2176),ISNUMBER(G2176)),IF(SIGN(D2176-E2176)=SIGN(F2176-G2176),48,0),"")</f>
        <v/>
      </c>
      <c r="I2176" s="22" t="str">
        <f aca="false">IF(AND(ISNUMBER(F2176),ISNUMBER(G2176)),IF(D2176=F2176,15,0),"")</f>
        <v/>
      </c>
      <c r="J2176" s="22" t="str">
        <f aca="false">IF(AND(ISNUMBER(F2176),ISNUMBER(G2176)),IF(E2176=G2176,15,0),"")</f>
        <v/>
      </c>
      <c r="K2176" s="22" t="str">
        <f aca="false">IF(AND(ISNUMBER(F2176),ISNUMBER(G2176)),IF(ABS(D2176-E2176)=ABS(F2176-G2176),12,0),"")</f>
        <v/>
      </c>
      <c r="L2176" s="23" t="str">
        <f aca="false">IF(ISNUMBER(H2176),H2176+I2176+J2176+K2176,"")</f>
        <v/>
      </c>
    </row>
    <row r="2177" customFormat="false" ht="18" hidden="false" customHeight="true" outlineLevel="0" collapsed="false">
      <c r="A2177" s="17" t="s">
        <v>9</v>
      </c>
      <c r="B2177" s="31" t="s">
        <v>178</v>
      </c>
      <c r="C2177" s="19" t="s">
        <v>57</v>
      </c>
      <c r="D2177" s="20" t="n">
        <v>0</v>
      </c>
      <c r="E2177" s="20" t="n">
        <v>3</v>
      </c>
      <c r="F2177" s="21" t="n">
        <f aca="false">'📋 Matches'!E17</f>
        <v>0</v>
      </c>
      <c r="G2177" s="21" t="n">
        <f aca="false">'📋 Matches'!F17</f>
        <v>0</v>
      </c>
      <c r="H2177" s="22" t="str">
        <f aca="false">IF(AND(ISNUMBER(F2177),ISNUMBER(G2177)),IF(SIGN(D2177-E2177)=SIGN(F2177-G2177),48,0),"")</f>
        <v/>
      </c>
      <c r="I2177" s="22" t="str">
        <f aca="false">IF(AND(ISNUMBER(F2177),ISNUMBER(G2177)),IF(D2177=F2177,15,0),"")</f>
        <v/>
      </c>
      <c r="J2177" s="22" t="str">
        <f aca="false">IF(AND(ISNUMBER(F2177),ISNUMBER(G2177)),IF(E2177=G2177,15,0),"")</f>
        <v/>
      </c>
      <c r="K2177" s="22" t="str">
        <f aca="false">IF(AND(ISNUMBER(F2177),ISNUMBER(G2177)),IF(ABS(D2177-E2177)=ABS(F2177-G2177),12,0),"")</f>
        <v/>
      </c>
      <c r="L2177" s="23" t="str">
        <f aca="false">IF(ISNUMBER(H2177),H2177+I2177+J2177+K2177,"")</f>
        <v/>
      </c>
    </row>
    <row r="2178" customFormat="false" ht="18" hidden="false" customHeight="true" outlineLevel="0" collapsed="false">
      <c r="A2178" s="17" t="s">
        <v>9</v>
      </c>
      <c r="B2178" s="31" t="s">
        <v>178</v>
      </c>
      <c r="C2178" s="19" t="s">
        <v>60</v>
      </c>
      <c r="D2178" s="20" t="n">
        <v>3</v>
      </c>
      <c r="E2178" s="20" t="n">
        <v>2</v>
      </c>
      <c r="F2178" s="21" t="n">
        <f aca="false">'📋 Matches'!E18</f>
        <v>0</v>
      </c>
      <c r="G2178" s="21" t="n">
        <f aca="false">'📋 Matches'!F18</f>
        <v>0</v>
      </c>
      <c r="H2178" s="22" t="str">
        <f aca="false">IF(AND(ISNUMBER(F2178),ISNUMBER(G2178)),IF(SIGN(D2178-E2178)=SIGN(F2178-G2178),48,0),"")</f>
        <v/>
      </c>
      <c r="I2178" s="22" t="str">
        <f aca="false">IF(AND(ISNUMBER(F2178),ISNUMBER(G2178)),IF(D2178=F2178,15,0),"")</f>
        <v/>
      </c>
      <c r="J2178" s="22" t="str">
        <f aca="false">IF(AND(ISNUMBER(F2178),ISNUMBER(G2178)),IF(E2178=G2178,15,0),"")</f>
        <v/>
      </c>
      <c r="K2178" s="22" t="str">
        <f aca="false">IF(AND(ISNUMBER(F2178),ISNUMBER(G2178)),IF(ABS(D2178-E2178)=ABS(F2178-G2178),12,0),"")</f>
        <v/>
      </c>
      <c r="L2178" s="23" t="str">
        <f aca="false">IF(ISNUMBER(H2178),H2178+I2178+J2178+K2178,"")</f>
        <v/>
      </c>
    </row>
    <row r="2179" customFormat="false" ht="18" hidden="false" customHeight="true" outlineLevel="0" collapsed="false">
      <c r="A2179" s="17" t="s">
        <v>9</v>
      </c>
      <c r="B2179" s="31" t="s">
        <v>178</v>
      </c>
      <c r="C2179" s="19" t="s">
        <v>63</v>
      </c>
      <c r="D2179" s="20" t="n">
        <v>2</v>
      </c>
      <c r="E2179" s="20" t="n">
        <v>1</v>
      </c>
      <c r="F2179" s="21" t="n">
        <f aca="false">'📋 Matches'!E19</f>
        <v>0</v>
      </c>
      <c r="G2179" s="21" t="n">
        <f aca="false">'📋 Matches'!F19</f>
        <v>0</v>
      </c>
      <c r="H2179" s="22" t="str">
        <f aca="false">IF(AND(ISNUMBER(F2179),ISNUMBER(G2179)),IF(SIGN(D2179-E2179)=SIGN(F2179-G2179),48,0),"")</f>
        <v/>
      </c>
      <c r="I2179" s="22" t="str">
        <f aca="false">IF(AND(ISNUMBER(F2179),ISNUMBER(G2179)),IF(D2179=F2179,15,0),"")</f>
        <v/>
      </c>
      <c r="J2179" s="22" t="str">
        <f aca="false">IF(AND(ISNUMBER(F2179),ISNUMBER(G2179)),IF(E2179=G2179,15,0),"")</f>
        <v/>
      </c>
      <c r="K2179" s="22" t="str">
        <f aca="false">IF(AND(ISNUMBER(F2179),ISNUMBER(G2179)),IF(ABS(D2179-E2179)=ABS(F2179-G2179),12,0),"")</f>
        <v/>
      </c>
      <c r="L2179" s="23" t="str">
        <f aca="false">IF(ISNUMBER(H2179),H2179+I2179+J2179+K2179,"")</f>
        <v/>
      </c>
    </row>
    <row r="2180" customFormat="false" ht="18" hidden="false" customHeight="true" outlineLevel="0" collapsed="false">
      <c r="A2180" s="17" t="s">
        <v>9</v>
      </c>
      <c r="B2180" s="31" t="s">
        <v>178</v>
      </c>
      <c r="C2180" s="19" t="s">
        <v>66</v>
      </c>
      <c r="D2180" s="20" t="n">
        <v>4</v>
      </c>
      <c r="E2180" s="20" t="n">
        <v>2</v>
      </c>
      <c r="F2180" s="21" t="n">
        <f aca="false">'📋 Matches'!E20</f>
        <v>0</v>
      </c>
      <c r="G2180" s="21" t="n">
        <f aca="false">'📋 Matches'!F20</f>
        <v>0</v>
      </c>
      <c r="H2180" s="22" t="str">
        <f aca="false">IF(AND(ISNUMBER(F2180),ISNUMBER(G2180)),IF(SIGN(D2180-E2180)=SIGN(F2180-G2180),48,0),"")</f>
        <v/>
      </c>
      <c r="I2180" s="22" t="str">
        <f aca="false">IF(AND(ISNUMBER(F2180),ISNUMBER(G2180)),IF(D2180=F2180,15,0),"")</f>
        <v/>
      </c>
      <c r="J2180" s="22" t="str">
        <f aca="false">IF(AND(ISNUMBER(F2180),ISNUMBER(G2180)),IF(E2180=G2180,15,0),"")</f>
        <v/>
      </c>
      <c r="K2180" s="22" t="str">
        <f aca="false">IF(AND(ISNUMBER(F2180),ISNUMBER(G2180)),IF(ABS(D2180-E2180)=ABS(F2180-G2180),12,0),"")</f>
        <v/>
      </c>
      <c r="L2180" s="23" t="str">
        <f aca="false">IF(ISNUMBER(H2180),H2180+I2180+J2180+K2180,"")</f>
        <v/>
      </c>
    </row>
    <row r="2181" customFormat="false" ht="18" hidden="false" customHeight="true" outlineLevel="0" collapsed="false">
      <c r="A2181" s="17" t="s">
        <v>9</v>
      </c>
      <c r="B2181" s="31" t="s">
        <v>178</v>
      </c>
      <c r="C2181" s="19" t="s">
        <v>69</v>
      </c>
      <c r="D2181" s="20" t="n">
        <v>1</v>
      </c>
      <c r="E2181" s="20" t="n">
        <v>1</v>
      </c>
      <c r="F2181" s="21" t="n">
        <f aca="false">'📋 Matches'!E21</f>
        <v>0</v>
      </c>
      <c r="G2181" s="21" t="n">
        <f aca="false">'📋 Matches'!F21</f>
        <v>0</v>
      </c>
      <c r="H2181" s="22" t="str">
        <f aca="false">IF(AND(ISNUMBER(F2181),ISNUMBER(G2181)),IF(SIGN(D2181-E2181)=SIGN(F2181-G2181),48,0),"")</f>
        <v/>
      </c>
      <c r="I2181" s="22" t="str">
        <f aca="false">IF(AND(ISNUMBER(F2181),ISNUMBER(G2181)),IF(D2181=F2181,15,0),"")</f>
        <v/>
      </c>
      <c r="J2181" s="22" t="str">
        <f aca="false">IF(AND(ISNUMBER(F2181),ISNUMBER(G2181)),IF(E2181=G2181,15,0),"")</f>
        <v/>
      </c>
      <c r="K2181" s="22" t="str">
        <f aca="false">IF(AND(ISNUMBER(F2181),ISNUMBER(G2181)),IF(ABS(D2181-E2181)=ABS(F2181-G2181),12,0),"")</f>
        <v/>
      </c>
      <c r="L2181" s="23" t="str">
        <f aca="false">IF(ISNUMBER(H2181),H2181+I2181+J2181+K2181,"")</f>
        <v/>
      </c>
    </row>
    <row r="2182" customFormat="false" ht="18" hidden="false" customHeight="true" outlineLevel="0" collapsed="false">
      <c r="A2182" s="17" t="s">
        <v>9</v>
      </c>
      <c r="B2182" s="31" t="s">
        <v>178</v>
      </c>
      <c r="C2182" s="19" t="s">
        <v>72</v>
      </c>
      <c r="D2182" s="20" t="n">
        <v>4</v>
      </c>
      <c r="E2182" s="20" t="n">
        <v>1</v>
      </c>
      <c r="F2182" s="21" t="n">
        <f aca="false">'📋 Matches'!E22</f>
        <v>0</v>
      </c>
      <c r="G2182" s="21" t="n">
        <f aca="false">'📋 Matches'!F22</f>
        <v>0</v>
      </c>
      <c r="H2182" s="22" t="str">
        <f aca="false">IF(AND(ISNUMBER(F2182),ISNUMBER(G2182)),IF(SIGN(D2182-E2182)=SIGN(F2182-G2182),48,0),"")</f>
        <v/>
      </c>
      <c r="I2182" s="22" t="str">
        <f aca="false">IF(AND(ISNUMBER(F2182),ISNUMBER(G2182)),IF(D2182=F2182,15,0),"")</f>
        <v/>
      </c>
      <c r="J2182" s="22" t="str">
        <f aca="false">IF(AND(ISNUMBER(F2182),ISNUMBER(G2182)),IF(E2182=G2182,15,0),"")</f>
        <v/>
      </c>
      <c r="K2182" s="22" t="str">
        <f aca="false">IF(AND(ISNUMBER(F2182),ISNUMBER(G2182)),IF(ABS(D2182-E2182)=ABS(F2182-G2182),12,0),"")</f>
        <v/>
      </c>
      <c r="L2182" s="23" t="str">
        <f aca="false">IF(ISNUMBER(H2182),H2182+I2182+J2182+K2182,"")</f>
        <v/>
      </c>
    </row>
    <row r="2183" customFormat="false" ht="18" hidden="false" customHeight="true" outlineLevel="0" collapsed="false">
      <c r="A2183" s="17" t="s">
        <v>9</v>
      </c>
      <c r="B2183" s="31" t="s">
        <v>178</v>
      </c>
      <c r="C2183" s="19" t="s">
        <v>75</v>
      </c>
      <c r="D2183" s="20" t="n">
        <v>3</v>
      </c>
      <c r="E2183" s="20" t="n">
        <v>2</v>
      </c>
      <c r="F2183" s="21" t="n">
        <f aca="false">'📋 Matches'!E23</f>
        <v>0</v>
      </c>
      <c r="G2183" s="21" t="n">
        <f aca="false">'📋 Matches'!F23</f>
        <v>0</v>
      </c>
      <c r="H2183" s="22" t="str">
        <f aca="false">IF(AND(ISNUMBER(F2183),ISNUMBER(G2183)),IF(SIGN(D2183-E2183)=SIGN(F2183-G2183),48,0),"")</f>
        <v/>
      </c>
      <c r="I2183" s="22" t="str">
        <f aca="false">IF(AND(ISNUMBER(F2183),ISNUMBER(G2183)),IF(D2183=F2183,15,0),"")</f>
        <v/>
      </c>
      <c r="J2183" s="22" t="str">
        <f aca="false">IF(AND(ISNUMBER(F2183),ISNUMBER(G2183)),IF(E2183=G2183,15,0),"")</f>
        <v/>
      </c>
      <c r="K2183" s="22" t="str">
        <f aca="false">IF(AND(ISNUMBER(F2183),ISNUMBER(G2183)),IF(ABS(D2183-E2183)=ABS(F2183-G2183),12,0),"")</f>
        <v/>
      </c>
      <c r="L2183" s="23" t="str">
        <f aca="false">IF(ISNUMBER(H2183),H2183+I2183+J2183+K2183,"")</f>
        <v/>
      </c>
    </row>
    <row r="2184" customFormat="false" ht="18" hidden="false" customHeight="true" outlineLevel="0" collapsed="false">
      <c r="A2184" s="17" t="s">
        <v>9</v>
      </c>
      <c r="B2184" s="31" t="s">
        <v>178</v>
      </c>
      <c r="C2184" s="19" t="s">
        <v>78</v>
      </c>
      <c r="D2184" s="20" t="n">
        <v>3</v>
      </c>
      <c r="E2184" s="20" t="n">
        <v>1</v>
      </c>
      <c r="F2184" s="21" t="n">
        <f aca="false">'📋 Matches'!E24</f>
        <v>0</v>
      </c>
      <c r="G2184" s="21" t="n">
        <f aca="false">'📋 Matches'!F24</f>
        <v>0</v>
      </c>
      <c r="H2184" s="22" t="str">
        <f aca="false">IF(AND(ISNUMBER(F2184),ISNUMBER(G2184)),IF(SIGN(D2184-E2184)=SIGN(F2184-G2184),48,0),"")</f>
        <v/>
      </c>
      <c r="I2184" s="22" t="str">
        <f aca="false">IF(AND(ISNUMBER(F2184),ISNUMBER(G2184)),IF(D2184=F2184,15,0),"")</f>
        <v/>
      </c>
      <c r="J2184" s="22" t="str">
        <f aca="false">IF(AND(ISNUMBER(F2184),ISNUMBER(G2184)),IF(E2184=G2184,15,0),"")</f>
        <v/>
      </c>
      <c r="K2184" s="22" t="str">
        <f aca="false">IF(AND(ISNUMBER(F2184),ISNUMBER(G2184)),IF(ABS(D2184-E2184)=ABS(F2184-G2184),12,0),"")</f>
        <v/>
      </c>
      <c r="L2184" s="23" t="str">
        <f aca="false">IF(ISNUMBER(H2184),H2184+I2184+J2184+K2184,"")</f>
        <v/>
      </c>
    </row>
    <row r="2185" customFormat="false" ht="18" hidden="false" customHeight="true" outlineLevel="0" collapsed="false">
      <c r="A2185" s="17" t="s">
        <v>9</v>
      </c>
      <c r="B2185" s="31" t="s">
        <v>178</v>
      </c>
      <c r="C2185" s="19" t="s">
        <v>81</v>
      </c>
      <c r="D2185" s="20" t="n">
        <v>1</v>
      </c>
      <c r="E2185" s="20" t="n">
        <v>3</v>
      </c>
      <c r="F2185" s="21" t="n">
        <f aca="false">'📋 Matches'!E25</f>
        <v>0</v>
      </c>
      <c r="G2185" s="21" t="n">
        <f aca="false">'📋 Matches'!F25</f>
        <v>0</v>
      </c>
      <c r="H2185" s="22" t="str">
        <f aca="false">IF(AND(ISNUMBER(F2185),ISNUMBER(G2185)),IF(SIGN(D2185-E2185)=SIGN(F2185-G2185),48,0),"")</f>
        <v/>
      </c>
      <c r="I2185" s="22" t="str">
        <f aca="false">IF(AND(ISNUMBER(F2185),ISNUMBER(G2185)),IF(D2185=F2185,15,0),"")</f>
        <v/>
      </c>
      <c r="J2185" s="22" t="str">
        <f aca="false">IF(AND(ISNUMBER(F2185),ISNUMBER(G2185)),IF(E2185=G2185,15,0),"")</f>
        <v/>
      </c>
      <c r="K2185" s="22" t="str">
        <f aca="false">IF(AND(ISNUMBER(F2185),ISNUMBER(G2185)),IF(ABS(D2185-E2185)=ABS(F2185-G2185),12,0),"")</f>
        <v/>
      </c>
      <c r="L2185" s="23" t="str">
        <f aca="false">IF(ISNUMBER(H2185),H2185+I2185+J2185+K2185,"")</f>
        <v/>
      </c>
    </row>
    <row r="2186" customFormat="false" ht="18" hidden="false" customHeight="true" outlineLevel="0" collapsed="false">
      <c r="A2186" s="17" t="s">
        <v>84</v>
      </c>
      <c r="B2186" s="31" t="s">
        <v>178</v>
      </c>
      <c r="C2186" s="19" t="s">
        <v>85</v>
      </c>
      <c r="D2186" s="20"/>
      <c r="E2186" s="20"/>
      <c r="F2186" s="21" t="n">
        <f aca="false">'📋 Matches'!E26</f>
        <v>0</v>
      </c>
      <c r="G2186" s="21" t="n">
        <f aca="false">'📋 Matches'!F26</f>
        <v>0</v>
      </c>
      <c r="H2186" s="24" t="s">
        <v>148</v>
      </c>
      <c r="I2186" s="24" t="s">
        <v>148</v>
      </c>
      <c r="J2186" s="24" t="s">
        <v>148</v>
      </c>
      <c r="K2186" s="24" t="s">
        <v>148</v>
      </c>
      <c r="L2186" s="24" t="s">
        <v>148</v>
      </c>
    </row>
    <row r="2187" customFormat="false" ht="18" hidden="false" customHeight="true" outlineLevel="0" collapsed="false">
      <c r="A2187" s="17" t="s">
        <v>84</v>
      </c>
      <c r="B2187" s="31" t="s">
        <v>178</v>
      </c>
      <c r="C2187" s="19" t="s">
        <v>87</v>
      </c>
      <c r="D2187" s="20"/>
      <c r="E2187" s="20"/>
      <c r="F2187" s="21" t="n">
        <f aca="false">'📋 Matches'!E27</f>
        <v>0</v>
      </c>
      <c r="G2187" s="21" t="n">
        <f aca="false">'📋 Matches'!F27</f>
        <v>0</v>
      </c>
      <c r="H2187" s="24" t="s">
        <v>148</v>
      </c>
      <c r="I2187" s="24" t="s">
        <v>148</v>
      </c>
      <c r="J2187" s="24" t="s">
        <v>148</v>
      </c>
      <c r="K2187" s="24" t="s">
        <v>148</v>
      </c>
      <c r="L2187" s="24" t="s">
        <v>148</v>
      </c>
    </row>
    <row r="2188" customFormat="false" ht="18" hidden="false" customHeight="true" outlineLevel="0" collapsed="false">
      <c r="A2188" s="17" t="s">
        <v>84</v>
      </c>
      <c r="B2188" s="31" t="s">
        <v>178</v>
      </c>
      <c r="C2188" s="19" t="s">
        <v>89</v>
      </c>
      <c r="D2188" s="20"/>
      <c r="E2188" s="20"/>
      <c r="F2188" s="21" t="n">
        <f aca="false">'📋 Matches'!E28</f>
        <v>0</v>
      </c>
      <c r="G2188" s="21" t="n">
        <f aca="false">'📋 Matches'!F28</f>
        <v>0</v>
      </c>
      <c r="H2188" s="24" t="s">
        <v>148</v>
      </c>
      <c r="I2188" s="24" t="s">
        <v>148</v>
      </c>
      <c r="J2188" s="24" t="s">
        <v>148</v>
      </c>
      <c r="K2188" s="24" t="s">
        <v>148</v>
      </c>
      <c r="L2188" s="24" t="s">
        <v>148</v>
      </c>
    </row>
    <row r="2189" customFormat="false" ht="18" hidden="false" customHeight="true" outlineLevel="0" collapsed="false">
      <c r="A2189" s="17" t="s">
        <v>84</v>
      </c>
      <c r="B2189" s="31" t="s">
        <v>178</v>
      </c>
      <c r="C2189" s="19" t="s">
        <v>90</v>
      </c>
      <c r="D2189" s="20"/>
      <c r="E2189" s="20"/>
      <c r="F2189" s="21" t="n">
        <f aca="false">'📋 Matches'!E29</f>
        <v>0</v>
      </c>
      <c r="G2189" s="21" t="n">
        <f aca="false">'📋 Matches'!F29</f>
        <v>0</v>
      </c>
      <c r="H2189" s="24" t="s">
        <v>148</v>
      </c>
      <c r="I2189" s="24" t="s">
        <v>148</v>
      </c>
      <c r="J2189" s="24" t="s">
        <v>148</v>
      </c>
      <c r="K2189" s="24" t="s">
        <v>148</v>
      </c>
      <c r="L2189" s="24" t="s">
        <v>148</v>
      </c>
    </row>
    <row r="2190" customFormat="false" ht="18" hidden="false" customHeight="true" outlineLevel="0" collapsed="false">
      <c r="A2190" s="17" t="s">
        <v>84</v>
      </c>
      <c r="B2190" s="31" t="s">
        <v>178</v>
      </c>
      <c r="C2190" s="19" t="s">
        <v>91</v>
      </c>
      <c r="D2190" s="20"/>
      <c r="E2190" s="20"/>
      <c r="F2190" s="21" t="n">
        <f aca="false">'📋 Matches'!E30</f>
        <v>0</v>
      </c>
      <c r="G2190" s="21" t="n">
        <f aca="false">'📋 Matches'!F30</f>
        <v>0</v>
      </c>
      <c r="H2190" s="24" t="s">
        <v>148</v>
      </c>
      <c r="I2190" s="24" t="s">
        <v>148</v>
      </c>
      <c r="J2190" s="24" t="s">
        <v>148</v>
      </c>
      <c r="K2190" s="24" t="s">
        <v>148</v>
      </c>
      <c r="L2190" s="24" t="s">
        <v>148</v>
      </c>
    </row>
    <row r="2191" customFormat="false" ht="18" hidden="false" customHeight="true" outlineLevel="0" collapsed="false">
      <c r="A2191" s="17" t="s">
        <v>84</v>
      </c>
      <c r="B2191" s="31" t="s">
        <v>178</v>
      </c>
      <c r="C2191" s="19" t="s">
        <v>92</v>
      </c>
      <c r="D2191" s="20"/>
      <c r="E2191" s="20"/>
      <c r="F2191" s="21" t="n">
        <f aca="false">'📋 Matches'!E31</f>
        <v>0</v>
      </c>
      <c r="G2191" s="21" t="n">
        <f aca="false">'📋 Matches'!F31</f>
        <v>0</v>
      </c>
      <c r="H2191" s="24" t="s">
        <v>148</v>
      </c>
      <c r="I2191" s="24" t="s">
        <v>148</v>
      </c>
      <c r="J2191" s="24" t="s">
        <v>148</v>
      </c>
      <c r="K2191" s="24" t="s">
        <v>148</v>
      </c>
      <c r="L2191" s="24" t="s">
        <v>148</v>
      </c>
    </row>
    <row r="2192" customFormat="false" ht="18" hidden="false" customHeight="true" outlineLevel="0" collapsed="false">
      <c r="A2192" s="17" t="s">
        <v>84</v>
      </c>
      <c r="B2192" s="31" t="s">
        <v>178</v>
      </c>
      <c r="C2192" s="19" t="s">
        <v>93</v>
      </c>
      <c r="D2192" s="20"/>
      <c r="E2192" s="20"/>
      <c r="F2192" s="21" t="n">
        <f aca="false">'📋 Matches'!E32</f>
        <v>0</v>
      </c>
      <c r="G2192" s="21" t="n">
        <f aca="false">'📋 Matches'!F32</f>
        <v>0</v>
      </c>
      <c r="H2192" s="24" t="s">
        <v>148</v>
      </c>
      <c r="I2192" s="24" t="s">
        <v>148</v>
      </c>
      <c r="J2192" s="24" t="s">
        <v>148</v>
      </c>
      <c r="K2192" s="24" t="s">
        <v>148</v>
      </c>
      <c r="L2192" s="24" t="s">
        <v>148</v>
      </c>
    </row>
    <row r="2193" customFormat="false" ht="18" hidden="false" customHeight="true" outlineLevel="0" collapsed="false">
      <c r="A2193" s="17" t="s">
        <v>84</v>
      </c>
      <c r="B2193" s="31" t="s">
        <v>178</v>
      </c>
      <c r="C2193" s="19" t="s">
        <v>94</v>
      </c>
      <c r="D2193" s="20"/>
      <c r="E2193" s="20"/>
      <c r="F2193" s="21" t="n">
        <f aca="false">'📋 Matches'!E33</f>
        <v>0</v>
      </c>
      <c r="G2193" s="21" t="n">
        <f aca="false">'📋 Matches'!F33</f>
        <v>0</v>
      </c>
      <c r="H2193" s="24" t="s">
        <v>148</v>
      </c>
      <c r="I2193" s="24" t="s">
        <v>148</v>
      </c>
      <c r="J2193" s="24" t="s">
        <v>148</v>
      </c>
      <c r="K2193" s="24" t="s">
        <v>148</v>
      </c>
      <c r="L2193" s="24" t="s">
        <v>148</v>
      </c>
    </row>
    <row r="2194" customFormat="false" ht="18" hidden="false" customHeight="true" outlineLevel="0" collapsed="false">
      <c r="A2194" s="17" t="s">
        <v>84</v>
      </c>
      <c r="B2194" s="31" t="s">
        <v>178</v>
      </c>
      <c r="C2194" s="19" t="s">
        <v>96</v>
      </c>
      <c r="D2194" s="20"/>
      <c r="E2194" s="20"/>
      <c r="F2194" s="21" t="n">
        <f aca="false">'📋 Matches'!E34</f>
        <v>0</v>
      </c>
      <c r="G2194" s="21" t="n">
        <f aca="false">'📋 Matches'!F34</f>
        <v>0</v>
      </c>
      <c r="H2194" s="24" t="s">
        <v>148</v>
      </c>
      <c r="I2194" s="24" t="s">
        <v>148</v>
      </c>
      <c r="J2194" s="24" t="s">
        <v>148</v>
      </c>
      <c r="K2194" s="24" t="s">
        <v>148</v>
      </c>
      <c r="L2194" s="24" t="s">
        <v>148</v>
      </c>
    </row>
    <row r="2195" customFormat="false" ht="18" hidden="false" customHeight="true" outlineLevel="0" collapsed="false">
      <c r="A2195" s="17" t="s">
        <v>84</v>
      </c>
      <c r="B2195" s="31" t="s">
        <v>178</v>
      </c>
      <c r="C2195" s="19" t="s">
        <v>97</v>
      </c>
      <c r="D2195" s="20"/>
      <c r="E2195" s="20"/>
      <c r="F2195" s="21" t="n">
        <f aca="false">'📋 Matches'!E35</f>
        <v>0</v>
      </c>
      <c r="G2195" s="21" t="n">
        <f aca="false">'📋 Matches'!F35</f>
        <v>0</v>
      </c>
      <c r="H2195" s="24" t="s">
        <v>148</v>
      </c>
      <c r="I2195" s="24" t="s">
        <v>148</v>
      </c>
      <c r="J2195" s="24" t="s">
        <v>148</v>
      </c>
      <c r="K2195" s="24" t="s">
        <v>148</v>
      </c>
      <c r="L2195" s="24" t="s">
        <v>148</v>
      </c>
    </row>
    <row r="2196" customFormat="false" ht="18" hidden="false" customHeight="true" outlineLevel="0" collapsed="false">
      <c r="A2196" s="17" t="s">
        <v>84</v>
      </c>
      <c r="B2196" s="31" t="s">
        <v>178</v>
      </c>
      <c r="C2196" s="19" t="s">
        <v>98</v>
      </c>
      <c r="D2196" s="20"/>
      <c r="E2196" s="20"/>
      <c r="F2196" s="21" t="n">
        <f aca="false">'📋 Matches'!E36</f>
        <v>0</v>
      </c>
      <c r="G2196" s="21" t="n">
        <f aca="false">'📋 Matches'!F36</f>
        <v>0</v>
      </c>
      <c r="H2196" s="24" t="s">
        <v>148</v>
      </c>
      <c r="I2196" s="24" t="s">
        <v>148</v>
      </c>
      <c r="J2196" s="24" t="s">
        <v>148</v>
      </c>
      <c r="K2196" s="24" t="s">
        <v>148</v>
      </c>
      <c r="L2196" s="24" t="s">
        <v>148</v>
      </c>
    </row>
    <row r="2197" customFormat="false" ht="18" hidden="false" customHeight="true" outlineLevel="0" collapsed="false">
      <c r="A2197" s="17" t="s">
        <v>84</v>
      </c>
      <c r="B2197" s="31" t="s">
        <v>178</v>
      </c>
      <c r="C2197" s="19" t="s">
        <v>100</v>
      </c>
      <c r="D2197" s="20"/>
      <c r="E2197" s="20"/>
      <c r="F2197" s="21" t="n">
        <f aca="false">'📋 Matches'!E37</f>
        <v>0</v>
      </c>
      <c r="G2197" s="21" t="n">
        <f aca="false">'📋 Matches'!F37</f>
        <v>0</v>
      </c>
      <c r="H2197" s="24" t="s">
        <v>148</v>
      </c>
      <c r="I2197" s="24" t="s">
        <v>148</v>
      </c>
      <c r="J2197" s="24" t="s">
        <v>148</v>
      </c>
      <c r="K2197" s="24" t="s">
        <v>148</v>
      </c>
      <c r="L2197" s="24" t="s">
        <v>148</v>
      </c>
    </row>
    <row r="2198" customFormat="false" ht="18" hidden="false" customHeight="true" outlineLevel="0" collapsed="false">
      <c r="A2198" s="17" t="s">
        <v>84</v>
      </c>
      <c r="B2198" s="31" t="s">
        <v>178</v>
      </c>
      <c r="C2198" s="19" t="s">
        <v>101</v>
      </c>
      <c r="D2198" s="20"/>
      <c r="E2198" s="20"/>
      <c r="F2198" s="21" t="n">
        <f aca="false">'📋 Matches'!E38</f>
        <v>0</v>
      </c>
      <c r="G2198" s="21" t="n">
        <f aca="false">'📋 Matches'!F38</f>
        <v>0</v>
      </c>
      <c r="H2198" s="24" t="s">
        <v>148</v>
      </c>
      <c r="I2198" s="24" t="s">
        <v>148</v>
      </c>
      <c r="J2198" s="24" t="s">
        <v>148</v>
      </c>
      <c r="K2198" s="24" t="s">
        <v>148</v>
      </c>
      <c r="L2198" s="24" t="s">
        <v>148</v>
      </c>
    </row>
    <row r="2199" customFormat="false" ht="18" hidden="false" customHeight="true" outlineLevel="0" collapsed="false">
      <c r="A2199" s="17" t="s">
        <v>84</v>
      </c>
      <c r="B2199" s="31" t="s">
        <v>178</v>
      </c>
      <c r="C2199" s="19" t="s">
        <v>102</v>
      </c>
      <c r="D2199" s="20"/>
      <c r="E2199" s="20"/>
      <c r="F2199" s="21" t="n">
        <f aca="false">'📋 Matches'!E39</f>
        <v>0</v>
      </c>
      <c r="G2199" s="21" t="n">
        <f aca="false">'📋 Matches'!F39</f>
        <v>0</v>
      </c>
      <c r="H2199" s="24" t="s">
        <v>148</v>
      </c>
      <c r="I2199" s="24" t="s">
        <v>148</v>
      </c>
      <c r="J2199" s="24" t="s">
        <v>148</v>
      </c>
      <c r="K2199" s="24" t="s">
        <v>148</v>
      </c>
      <c r="L2199" s="24" t="s">
        <v>148</v>
      </c>
    </row>
    <row r="2200" customFormat="false" ht="18" hidden="false" customHeight="true" outlineLevel="0" collapsed="false">
      <c r="A2200" s="17" t="s">
        <v>84</v>
      </c>
      <c r="B2200" s="31" t="s">
        <v>178</v>
      </c>
      <c r="C2200" s="19" t="s">
        <v>103</v>
      </c>
      <c r="D2200" s="20"/>
      <c r="E2200" s="20"/>
      <c r="F2200" s="21" t="n">
        <f aca="false">'📋 Matches'!E40</f>
        <v>0</v>
      </c>
      <c r="G2200" s="21" t="n">
        <f aca="false">'📋 Matches'!F40</f>
        <v>0</v>
      </c>
      <c r="H2200" s="24" t="s">
        <v>148</v>
      </c>
      <c r="I2200" s="24" t="s">
        <v>148</v>
      </c>
      <c r="J2200" s="24" t="s">
        <v>148</v>
      </c>
      <c r="K2200" s="24" t="s">
        <v>148</v>
      </c>
      <c r="L2200" s="24" t="s">
        <v>148</v>
      </c>
    </row>
    <row r="2201" customFormat="false" ht="18" hidden="false" customHeight="true" outlineLevel="0" collapsed="false">
      <c r="A2201" s="17" t="s">
        <v>84</v>
      </c>
      <c r="B2201" s="31" t="s">
        <v>178</v>
      </c>
      <c r="C2201" s="19" t="s">
        <v>104</v>
      </c>
      <c r="D2201" s="20"/>
      <c r="E2201" s="20"/>
      <c r="F2201" s="21" t="n">
        <f aca="false">'📋 Matches'!E41</f>
        <v>0</v>
      </c>
      <c r="G2201" s="21" t="n">
        <f aca="false">'📋 Matches'!F41</f>
        <v>0</v>
      </c>
      <c r="H2201" s="24" t="s">
        <v>148</v>
      </c>
      <c r="I2201" s="24" t="s">
        <v>148</v>
      </c>
      <c r="J2201" s="24" t="s">
        <v>148</v>
      </c>
      <c r="K2201" s="24" t="s">
        <v>148</v>
      </c>
      <c r="L2201" s="24" t="s">
        <v>148</v>
      </c>
    </row>
    <row r="2202" customFormat="false" ht="18" hidden="false" customHeight="true" outlineLevel="0" collapsed="false">
      <c r="A2202" s="17" t="s">
        <v>84</v>
      </c>
      <c r="B2202" s="31" t="s">
        <v>178</v>
      </c>
      <c r="C2202" s="19" t="s">
        <v>105</v>
      </c>
      <c r="D2202" s="20"/>
      <c r="E2202" s="20"/>
      <c r="F2202" s="21" t="n">
        <f aca="false">'📋 Matches'!E42</f>
        <v>0</v>
      </c>
      <c r="G2202" s="21" t="n">
        <f aca="false">'📋 Matches'!F42</f>
        <v>0</v>
      </c>
      <c r="H2202" s="24" t="s">
        <v>148</v>
      </c>
      <c r="I2202" s="24" t="s">
        <v>148</v>
      </c>
      <c r="J2202" s="24" t="s">
        <v>148</v>
      </c>
      <c r="K2202" s="24" t="s">
        <v>148</v>
      </c>
      <c r="L2202" s="24" t="s">
        <v>148</v>
      </c>
    </row>
    <row r="2203" customFormat="false" ht="18" hidden="false" customHeight="true" outlineLevel="0" collapsed="false">
      <c r="A2203" s="17" t="s">
        <v>84</v>
      </c>
      <c r="B2203" s="31" t="s">
        <v>178</v>
      </c>
      <c r="C2203" s="19" t="s">
        <v>106</v>
      </c>
      <c r="D2203" s="20"/>
      <c r="E2203" s="20"/>
      <c r="F2203" s="21" t="n">
        <f aca="false">'📋 Matches'!E43</f>
        <v>0</v>
      </c>
      <c r="G2203" s="21" t="n">
        <f aca="false">'📋 Matches'!F43</f>
        <v>0</v>
      </c>
      <c r="H2203" s="24" t="s">
        <v>148</v>
      </c>
      <c r="I2203" s="24" t="s">
        <v>148</v>
      </c>
      <c r="J2203" s="24" t="s">
        <v>148</v>
      </c>
      <c r="K2203" s="24" t="s">
        <v>148</v>
      </c>
      <c r="L2203" s="24" t="s">
        <v>148</v>
      </c>
    </row>
    <row r="2204" customFormat="false" ht="18" hidden="false" customHeight="true" outlineLevel="0" collapsed="false">
      <c r="A2204" s="17" t="s">
        <v>84</v>
      </c>
      <c r="B2204" s="31" t="s">
        <v>178</v>
      </c>
      <c r="C2204" s="19" t="s">
        <v>107</v>
      </c>
      <c r="D2204" s="20"/>
      <c r="E2204" s="20"/>
      <c r="F2204" s="21" t="n">
        <f aca="false">'📋 Matches'!E44</f>
        <v>0</v>
      </c>
      <c r="G2204" s="21" t="n">
        <f aca="false">'📋 Matches'!F44</f>
        <v>0</v>
      </c>
      <c r="H2204" s="24" t="s">
        <v>148</v>
      </c>
      <c r="I2204" s="24" t="s">
        <v>148</v>
      </c>
      <c r="J2204" s="24" t="s">
        <v>148</v>
      </c>
      <c r="K2204" s="24" t="s">
        <v>148</v>
      </c>
      <c r="L2204" s="24" t="s">
        <v>148</v>
      </c>
    </row>
    <row r="2205" customFormat="false" ht="18" hidden="false" customHeight="true" outlineLevel="0" collapsed="false">
      <c r="A2205" s="17" t="s">
        <v>84</v>
      </c>
      <c r="B2205" s="31" t="s">
        <v>178</v>
      </c>
      <c r="C2205" s="19" t="s">
        <v>108</v>
      </c>
      <c r="D2205" s="20"/>
      <c r="E2205" s="20"/>
      <c r="F2205" s="21" t="n">
        <f aca="false">'📋 Matches'!E45</f>
        <v>0</v>
      </c>
      <c r="G2205" s="21" t="n">
        <f aca="false">'📋 Matches'!F45</f>
        <v>0</v>
      </c>
      <c r="H2205" s="24" t="s">
        <v>148</v>
      </c>
      <c r="I2205" s="24" t="s">
        <v>148</v>
      </c>
      <c r="J2205" s="24" t="s">
        <v>148</v>
      </c>
      <c r="K2205" s="24" t="s">
        <v>148</v>
      </c>
      <c r="L2205" s="24" t="s">
        <v>148</v>
      </c>
    </row>
    <row r="2206" customFormat="false" ht="18" hidden="false" customHeight="true" outlineLevel="0" collapsed="false">
      <c r="A2206" s="17" t="s">
        <v>84</v>
      </c>
      <c r="B2206" s="31" t="s">
        <v>178</v>
      </c>
      <c r="C2206" s="19" t="s">
        <v>109</v>
      </c>
      <c r="D2206" s="20"/>
      <c r="E2206" s="20"/>
      <c r="F2206" s="21" t="n">
        <f aca="false">'📋 Matches'!E46</f>
        <v>0</v>
      </c>
      <c r="G2206" s="21" t="n">
        <f aca="false">'📋 Matches'!F46</f>
        <v>0</v>
      </c>
      <c r="H2206" s="24" t="s">
        <v>148</v>
      </c>
      <c r="I2206" s="24" t="s">
        <v>148</v>
      </c>
      <c r="J2206" s="24" t="s">
        <v>148</v>
      </c>
      <c r="K2206" s="24" t="s">
        <v>148</v>
      </c>
      <c r="L2206" s="24" t="s">
        <v>148</v>
      </c>
    </row>
    <row r="2207" customFormat="false" ht="18" hidden="false" customHeight="true" outlineLevel="0" collapsed="false">
      <c r="A2207" s="17" t="s">
        <v>84</v>
      </c>
      <c r="B2207" s="31" t="s">
        <v>178</v>
      </c>
      <c r="C2207" s="19" t="s">
        <v>110</v>
      </c>
      <c r="D2207" s="20"/>
      <c r="E2207" s="20"/>
      <c r="F2207" s="21" t="n">
        <f aca="false">'📋 Matches'!E47</f>
        <v>0</v>
      </c>
      <c r="G2207" s="21" t="n">
        <f aca="false">'📋 Matches'!F47</f>
        <v>0</v>
      </c>
      <c r="H2207" s="24" t="s">
        <v>148</v>
      </c>
      <c r="I2207" s="24" t="s">
        <v>148</v>
      </c>
      <c r="J2207" s="24" t="s">
        <v>148</v>
      </c>
      <c r="K2207" s="24" t="s">
        <v>148</v>
      </c>
      <c r="L2207" s="24" t="s">
        <v>148</v>
      </c>
    </row>
    <row r="2208" customFormat="false" ht="18" hidden="false" customHeight="true" outlineLevel="0" collapsed="false">
      <c r="A2208" s="17" t="s">
        <v>84</v>
      </c>
      <c r="B2208" s="31" t="s">
        <v>178</v>
      </c>
      <c r="C2208" s="19" t="s">
        <v>111</v>
      </c>
      <c r="D2208" s="20"/>
      <c r="E2208" s="20"/>
      <c r="F2208" s="21" t="n">
        <f aca="false">'📋 Matches'!E48</f>
        <v>0</v>
      </c>
      <c r="G2208" s="21" t="n">
        <f aca="false">'📋 Matches'!F48</f>
        <v>0</v>
      </c>
      <c r="H2208" s="24" t="s">
        <v>148</v>
      </c>
      <c r="I2208" s="24" t="s">
        <v>148</v>
      </c>
      <c r="J2208" s="24" t="s">
        <v>148</v>
      </c>
      <c r="K2208" s="24" t="s">
        <v>148</v>
      </c>
      <c r="L2208" s="24" t="s">
        <v>148</v>
      </c>
    </row>
    <row r="2209" customFormat="false" ht="18" hidden="false" customHeight="true" outlineLevel="0" collapsed="false">
      <c r="A2209" s="17" t="s">
        <v>84</v>
      </c>
      <c r="B2209" s="31" t="s">
        <v>178</v>
      </c>
      <c r="C2209" s="19" t="s">
        <v>112</v>
      </c>
      <c r="D2209" s="20"/>
      <c r="E2209" s="20"/>
      <c r="F2209" s="21" t="n">
        <f aca="false">'📋 Matches'!E49</f>
        <v>0</v>
      </c>
      <c r="G2209" s="21" t="n">
        <f aca="false">'📋 Matches'!F49</f>
        <v>0</v>
      </c>
      <c r="H2209" s="24" t="s">
        <v>148</v>
      </c>
      <c r="I2209" s="24" t="s">
        <v>148</v>
      </c>
      <c r="J2209" s="24" t="s">
        <v>148</v>
      </c>
      <c r="K2209" s="24" t="s">
        <v>148</v>
      </c>
      <c r="L2209" s="24" t="s">
        <v>148</v>
      </c>
    </row>
    <row r="2210" customFormat="false" ht="18" hidden="false" customHeight="true" outlineLevel="0" collapsed="false">
      <c r="A2210" s="17" t="s">
        <v>114</v>
      </c>
      <c r="B2210" s="31" t="s">
        <v>178</v>
      </c>
      <c r="C2210" s="19" t="s">
        <v>115</v>
      </c>
      <c r="D2210" s="20"/>
      <c r="E2210" s="20"/>
      <c r="F2210" s="21" t="n">
        <f aca="false">'📋 Matches'!E50</f>
        <v>0</v>
      </c>
      <c r="G2210" s="21" t="n">
        <f aca="false">'📋 Matches'!F50</f>
        <v>0</v>
      </c>
      <c r="H2210" s="24" t="s">
        <v>148</v>
      </c>
      <c r="I2210" s="24" t="s">
        <v>148</v>
      </c>
      <c r="J2210" s="24" t="s">
        <v>148</v>
      </c>
      <c r="K2210" s="24" t="s">
        <v>148</v>
      </c>
      <c r="L2210" s="24" t="s">
        <v>148</v>
      </c>
    </row>
    <row r="2211" customFormat="false" ht="18" hidden="false" customHeight="true" outlineLevel="0" collapsed="false">
      <c r="A2211" s="17" t="s">
        <v>114</v>
      </c>
      <c r="B2211" s="31" t="s">
        <v>178</v>
      </c>
      <c r="C2211" s="19" t="s">
        <v>116</v>
      </c>
      <c r="D2211" s="20"/>
      <c r="E2211" s="20"/>
      <c r="F2211" s="21" t="n">
        <f aca="false">'📋 Matches'!E51</f>
        <v>0</v>
      </c>
      <c r="G2211" s="21" t="n">
        <f aca="false">'📋 Matches'!F51</f>
        <v>0</v>
      </c>
      <c r="H2211" s="24" t="s">
        <v>148</v>
      </c>
      <c r="I2211" s="24" t="s">
        <v>148</v>
      </c>
      <c r="J2211" s="24" t="s">
        <v>148</v>
      </c>
      <c r="K2211" s="24" t="s">
        <v>148</v>
      </c>
      <c r="L2211" s="24" t="s">
        <v>148</v>
      </c>
    </row>
    <row r="2212" customFormat="false" ht="18" hidden="false" customHeight="true" outlineLevel="0" collapsed="false">
      <c r="A2212" s="17" t="s">
        <v>114</v>
      </c>
      <c r="B2212" s="31" t="s">
        <v>178</v>
      </c>
      <c r="C2212" s="19" t="s">
        <v>117</v>
      </c>
      <c r="D2212" s="20"/>
      <c r="E2212" s="20"/>
      <c r="F2212" s="21" t="n">
        <f aca="false">'📋 Matches'!E52</f>
        <v>0</v>
      </c>
      <c r="G2212" s="21" t="n">
        <f aca="false">'📋 Matches'!F52</f>
        <v>0</v>
      </c>
      <c r="H2212" s="24" t="s">
        <v>148</v>
      </c>
      <c r="I2212" s="24" t="s">
        <v>148</v>
      </c>
      <c r="J2212" s="24" t="s">
        <v>148</v>
      </c>
      <c r="K2212" s="24" t="s">
        <v>148</v>
      </c>
      <c r="L2212" s="24" t="s">
        <v>148</v>
      </c>
    </row>
    <row r="2213" customFormat="false" ht="18" hidden="false" customHeight="true" outlineLevel="0" collapsed="false">
      <c r="A2213" s="17" t="s">
        <v>114</v>
      </c>
      <c r="B2213" s="31" t="s">
        <v>178</v>
      </c>
      <c r="C2213" s="19" t="s">
        <v>118</v>
      </c>
      <c r="D2213" s="20"/>
      <c r="E2213" s="20"/>
      <c r="F2213" s="21" t="n">
        <f aca="false">'📋 Matches'!E53</f>
        <v>0</v>
      </c>
      <c r="G2213" s="21" t="n">
        <f aca="false">'📋 Matches'!F53</f>
        <v>0</v>
      </c>
      <c r="H2213" s="24" t="s">
        <v>148</v>
      </c>
      <c r="I2213" s="24" t="s">
        <v>148</v>
      </c>
      <c r="J2213" s="24" t="s">
        <v>148</v>
      </c>
      <c r="K2213" s="24" t="s">
        <v>148</v>
      </c>
      <c r="L2213" s="24" t="s">
        <v>148</v>
      </c>
    </row>
    <row r="2214" customFormat="false" ht="18" hidden="false" customHeight="true" outlineLevel="0" collapsed="false">
      <c r="A2214" s="17" t="s">
        <v>114</v>
      </c>
      <c r="B2214" s="31" t="s">
        <v>178</v>
      </c>
      <c r="C2214" s="19" t="s">
        <v>119</v>
      </c>
      <c r="D2214" s="20"/>
      <c r="E2214" s="20"/>
      <c r="F2214" s="21" t="n">
        <f aca="false">'📋 Matches'!E54</f>
        <v>0</v>
      </c>
      <c r="G2214" s="21" t="n">
        <f aca="false">'📋 Matches'!F54</f>
        <v>0</v>
      </c>
      <c r="H2214" s="24" t="s">
        <v>148</v>
      </c>
      <c r="I2214" s="24" t="s">
        <v>148</v>
      </c>
      <c r="J2214" s="24" t="s">
        <v>148</v>
      </c>
      <c r="K2214" s="24" t="s">
        <v>148</v>
      </c>
      <c r="L2214" s="24" t="s">
        <v>148</v>
      </c>
    </row>
    <row r="2215" customFormat="false" ht="18" hidden="false" customHeight="true" outlineLevel="0" collapsed="false">
      <c r="A2215" s="17" t="s">
        <v>114</v>
      </c>
      <c r="B2215" s="31" t="s">
        <v>178</v>
      </c>
      <c r="C2215" s="19" t="s">
        <v>120</v>
      </c>
      <c r="D2215" s="20"/>
      <c r="E2215" s="20"/>
      <c r="F2215" s="21" t="n">
        <f aca="false">'📋 Matches'!E55</f>
        <v>0</v>
      </c>
      <c r="G2215" s="21" t="n">
        <f aca="false">'📋 Matches'!F55</f>
        <v>0</v>
      </c>
      <c r="H2215" s="24" t="s">
        <v>148</v>
      </c>
      <c r="I2215" s="24" t="s">
        <v>148</v>
      </c>
      <c r="J2215" s="24" t="s">
        <v>148</v>
      </c>
      <c r="K2215" s="24" t="s">
        <v>148</v>
      </c>
      <c r="L2215" s="24" t="s">
        <v>148</v>
      </c>
    </row>
    <row r="2216" customFormat="false" ht="18" hidden="false" customHeight="true" outlineLevel="0" collapsed="false">
      <c r="A2216" s="17" t="s">
        <v>114</v>
      </c>
      <c r="B2216" s="31" t="s">
        <v>178</v>
      </c>
      <c r="C2216" s="19" t="s">
        <v>121</v>
      </c>
      <c r="D2216" s="20"/>
      <c r="E2216" s="20"/>
      <c r="F2216" s="21" t="n">
        <f aca="false">'📋 Matches'!E56</f>
        <v>0</v>
      </c>
      <c r="G2216" s="21" t="n">
        <f aca="false">'📋 Matches'!F56</f>
        <v>0</v>
      </c>
      <c r="H2216" s="24" t="s">
        <v>148</v>
      </c>
      <c r="I2216" s="24" t="s">
        <v>148</v>
      </c>
      <c r="J2216" s="24" t="s">
        <v>148</v>
      </c>
      <c r="K2216" s="24" t="s">
        <v>148</v>
      </c>
      <c r="L2216" s="24" t="s">
        <v>148</v>
      </c>
    </row>
    <row r="2217" customFormat="false" ht="18" hidden="false" customHeight="true" outlineLevel="0" collapsed="false">
      <c r="A2217" s="17" t="s">
        <v>114</v>
      </c>
      <c r="B2217" s="31" t="s">
        <v>178</v>
      </c>
      <c r="C2217" s="19" t="s">
        <v>122</v>
      </c>
      <c r="D2217" s="20"/>
      <c r="E2217" s="20"/>
      <c r="F2217" s="21" t="n">
        <f aca="false">'📋 Matches'!E57</f>
        <v>0</v>
      </c>
      <c r="G2217" s="21" t="n">
        <f aca="false">'📋 Matches'!F57</f>
        <v>0</v>
      </c>
      <c r="H2217" s="24" t="s">
        <v>148</v>
      </c>
      <c r="I2217" s="24" t="s">
        <v>148</v>
      </c>
      <c r="J2217" s="24" t="s">
        <v>148</v>
      </c>
      <c r="K2217" s="24" t="s">
        <v>148</v>
      </c>
      <c r="L2217" s="24" t="s">
        <v>148</v>
      </c>
    </row>
    <row r="2218" customFormat="false" ht="18" hidden="false" customHeight="true" outlineLevel="0" collapsed="false">
      <c r="A2218" s="17" t="s">
        <v>114</v>
      </c>
      <c r="B2218" s="31" t="s">
        <v>178</v>
      </c>
      <c r="C2218" s="19" t="s">
        <v>123</v>
      </c>
      <c r="D2218" s="20"/>
      <c r="E2218" s="20"/>
      <c r="F2218" s="21" t="n">
        <f aca="false">'📋 Matches'!E58</f>
        <v>0</v>
      </c>
      <c r="G2218" s="21" t="n">
        <f aca="false">'📋 Matches'!F58</f>
        <v>0</v>
      </c>
      <c r="H2218" s="24" t="s">
        <v>148</v>
      </c>
      <c r="I2218" s="24" t="s">
        <v>148</v>
      </c>
      <c r="J2218" s="24" t="s">
        <v>148</v>
      </c>
      <c r="K2218" s="24" t="s">
        <v>148</v>
      </c>
      <c r="L2218" s="24" t="s">
        <v>148</v>
      </c>
    </row>
    <row r="2219" customFormat="false" ht="18" hidden="false" customHeight="true" outlineLevel="0" collapsed="false">
      <c r="A2219" s="17" t="s">
        <v>114</v>
      </c>
      <c r="B2219" s="31" t="s">
        <v>178</v>
      </c>
      <c r="C2219" s="19" t="s">
        <v>124</v>
      </c>
      <c r="D2219" s="20"/>
      <c r="E2219" s="20"/>
      <c r="F2219" s="21" t="n">
        <f aca="false">'📋 Matches'!E59</f>
        <v>0</v>
      </c>
      <c r="G2219" s="21" t="n">
        <f aca="false">'📋 Matches'!F59</f>
        <v>0</v>
      </c>
      <c r="H2219" s="24" t="s">
        <v>148</v>
      </c>
      <c r="I2219" s="24" t="s">
        <v>148</v>
      </c>
      <c r="J2219" s="24" t="s">
        <v>148</v>
      </c>
      <c r="K2219" s="24" t="s">
        <v>148</v>
      </c>
      <c r="L2219" s="24" t="s">
        <v>148</v>
      </c>
    </row>
    <row r="2220" customFormat="false" ht="18" hidden="false" customHeight="true" outlineLevel="0" collapsed="false">
      <c r="A2220" s="17" t="s">
        <v>114</v>
      </c>
      <c r="B2220" s="31" t="s">
        <v>178</v>
      </c>
      <c r="C2220" s="19" t="s">
        <v>125</v>
      </c>
      <c r="D2220" s="20"/>
      <c r="E2220" s="20"/>
      <c r="F2220" s="21" t="n">
        <f aca="false">'📋 Matches'!E60</f>
        <v>0</v>
      </c>
      <c r="G2220" s="21" t="n">
        <f aca="false">'📋 Matches'!F60</f>
        <v>0</v>
      </c>
      <c r="H2220" s="24" t="s">
        <v>148</v>
      </c>
      <c r="I2220" s="24" t="s">
        <v>148</v>
      </c>
      <c r="J2220" s="24" t="s">
        <v>148</v>
      </c>
      <c r="K2220" s="24" t="s">
        <v>148</v>
      </c>
      <c r="L2220" s="24" t="s">
        <v>148</v>
      </c>
    </row>
    <row r="2221" customFormat="false" ht="18" hidden="false" customHeight="true" outlineLevel="0" collapsed="false">
      <c r="A2221" s="17" t="s">
        <v>114</v>
      </c>
      <c r="B2221" s="31" t="s">
        <v>178</v>
      </c>
      <c r="C2221" s="19" t="s">
        <v>126</v>
      </c>
      <c r="D2221" s="20"/>
      <c r="E2221" s="20"/>
      <c r="F2221" s="21" t="n">
        <f aca="false">'📋 Matches'!E61</f>
        <v>0</v>
      </c>
      <c r="G2221" s="21" t="n">
        <f aca="false">'📋 Matches'!F61</f>
        <v>0</v>
      </c>
      <c r="H2221" s="24" t="s">
        <v>148</v>
      </c>
      <c r="I2221" s="24" t="s">
        <v>148</v>
      </c>
      <c r="J2221" s="24" t="s">
        <v>148</v>
      </c>
      <c r="K2221" s="24" t="s">
        <v>148</v>
      </c>
      <c r="L2221" s="24" t="s">
        <v>148</v>
      </c>
    </row>
    <row r="2222" customFormat="false" ht="18" hidden="false" customHeight="true" outlineLevel="0" collapsed="false">
      <c r="A2222" s="17" t="s">
        <v>114</v>
      </c>
      <c r="B2222" s="31" t="s">
        <v>178</v>
      </c>
      <c r="C2222" s="19" t="s">
        <v>127</v>
      </c>
      <c r="D2222" s="20"/>
      <c r="E2222" s="20"/>
      <c r="F2222" s="21" t="n">
        <f aca="false">'📋 Matches'!E62</f>
        <v>0</v>
      </c>
      <c r="G2222" s="21" t="n">
        <f aca="false">'📋 Matches'!F62</f>
        <v>0</v>
      </c>
      <c r="H2222" s="24" t="s">
        <v>148</v>
      </c>
      <c r="I2222" s="24" t="s">
        <v>148</v>
      </c>
      <c r="J2222" s="24" t="s">
        <v>148</v>
      </c>
      <c r="K2222" s="24" t="s">
        <v>148</v>
      </c>
      <c r="L2222" s="24" t="s">
        <v>148</v>
      </c>
    </row>
    <row r="2223" customFormat="false" ht="18" hidden="false" customHeight="true" outlineLevel="0" collapsed="false">
      <c r="A2223" s="17" t="s">
        <v>114</v>
      </c>
      <c r="B2223" s="31" t="s">
        <v>178</v>
      </c>
      <c r="C2223" s="19" t="s">
        <v>128</v>
      </c>
      <c r="D2223" s="20"/>
      <c r="E2223" s="20"/>
      <c r="F2223" s="21" t="n">
        <f aca="false">'📋 Matches'!E63</f>
        <v>0</v>
      </c>
      <c r="G2223" s="21" t="n">
        <f aca="false">'📋 Matches'!F63</f>
        <v>0</v>
      </c>
      <c r="H2223" s="24" t="s">
        <v>148</v>
      </c>
      <c r="I2223" s="24" t="s">
        <v>148</v>
      </c>
      <c r="J2223" s="24" t="s">
        <v>148</v>
      </c>
      <c r="K2223" s="24" t="s">
        <v>148</v>
      </c>
      <c r="L2223" s="24" t="s">
        <v>148</v>
      </c>
    </row>
    <row r="2224" customFormat="false" ht="18" hidden="false" customHeight="true" outlineLevel="0" collapsed="false">
      <c r="A2224" s="17" t="s">
        <v>114</v>
      </c>
      <c r="B2224" s="31" t="s">
        <v>178</v>
      </c>
      <c r="C2224" s="19" t="s">
        <v>129</v>
      </c>
      <c r="D2224" s="20"/>
      <c r="E2224" s="20"/>
      <c r="F2224" s="21" t="n">
        <f aca="false">'📋 Matches'!E64</f>
        <v>0</v>
      </c>
      <c r="G2224" s="21" t="n">
        <f aca="false">'📋 Matches'!F64</f>
        <v>0</v>
      </c>
      <c r="H2224" s="24" t="s">
        <v>148</v>
      </c>
      <c r="I2224" s="24" t="s">
        <v>148</v>
      </c>
      <c r="J2224" s="24" t="s">
        <v>148</v>
      </c>
      <c r="K2224" s="24" t="s">
        <v>148</v>
      </c>
      <c r="L2224" s="24" t="s">
        <v>148</v>
      </c>
    </row>
    <row r="2225" customFormat="false" ht="18" hidden="false" customHeight="true" outlineLevel="0" collapsed="false">
      <c r="A2225" s="17" t="s">
        <v>114</v>
      </c>
      <c r="B2225" s="31" t="s">
        <v>178</v>
      </c>
      <c r="C2225" s="19" t="s">
        <v>130</v>
      </c>
      <c r="D2225" s="20"/>
      <c r="E2225" s="20"/>
      <c r="F2225" s="21" t="n">
        <f aca="false">'📋 Matches'!E65</f>
        <v>0</v>
      </c>
      <c r="G2225" s="21" t="n">
        <f aca="false">'📋 Matches'!F65</f>
        <v>0</v>
      </c>
      <c r="H2225" s="24" t="s">
        <v>148</v>
      </c>
      <c r="I2225" s="24" t="s">
        <v>148</v>
      </c>
      <c r="J2225" s="24" t="s">
        <v>148</v>
      </c>
      <c r="K2225" s="24" t="s">
        <v>148</v>
      </c>
      <c r="L2225" s="24" t="s">
        <v>148</v>
      </c>
    </row>
    <row r="2226" customFormat="false" ht="18" hidden="false" customHeight="true" outlineLevel="0" collapsed="false">
      <c r="A2226" s="17" t="s">
        <v>114</v>
      </c>
      <c r="B2226" s="31" t="s">
        <v>178</v>
      </c>
      <c r="C2226" s="19" t="s">
        <v>131</v>
      </c>
      <c r="D2226" s="20"/>
      <c r="E2226" s="20"/>
      <c r="F2226" s="21" t="n">
        <f aca="false">'📋 Matches'!E66</f>
        <v>0</v>
      </c>
      <c r="G2226" s="21" t="n">
        <f aca="false">'📋 Matches'!F66</f>
        <v>0</v>
      </c>
      <c r="H2226" s="24" t="s">
        <v>148</v>
      </c>
      <c r="I2226" s="24" t="s">
        <v>148</v>
      </c>
      <c r="J2226" s="24" t="s">
        <v>148</v>
      </c>
      <c r="K2226" s="24" t="s">
        <v>148</v>
      </c>
      <c r="L2226" s="24" t="s">
        <v>148</v>
      </c>
    </row>
    <row r="2227" customFormat="false" ht="18" hidden="false" customHeight="true" outlineLevel="0" collapsed="false">
      <c r="A2227" s="17" t="s">
        <v>114</v>
      </c>
      <c r="B2227" s="31" t="s">
        <v>178</v>
      </c>
      <c r="C2227" s="19" t="s">
        <v>132</v>
      </c>
      <c r="D2227" s="20"/>
      <c r="E2227" s="20"/>
      <c r="F2227" s="21" t="n">
        <f aca="false">'📋 Matches'!E67</f>
        <v>0</v>
      </c>
      <c r="G2227" s="21" t="n">
        <f aca="false">'📋 Matches'!F67</f>
        <v>0</v>
      </c>
      <c r="H2227" s="24" t="s">
        <v>148</v>
      </c>
      <c r="I2227" s="24" t="s">
        <v>148</v>
      </c>
      <c r="J2227" s="24" t="s">
        <v>148</v>
      </c>
      <c r="K2227" s="24" t="s">
        <v>148</v>
      </c>
      <c r="L2227" s="24" t="s">
        <v>148</v>
      </c>
    </row>
    <row r="2228" customFormat="false" ht="18" hidden="false" customHeight="true" outlineLevel="0" collapsed="false">
      <c r="A2228" s="17" t="s">
        <v>114</v>
      </c>
      <c r="B2228" s="31" t="s">
        <v>178</v>
      </c>
      <c r="C2228" s="19" t="s">
        <v>133</v>
      </c>
      <c r="D2228" s="20"/>
      <c r="E2228" s="20"/>
      <c r="F2228" s="21" t="n">
        <f aca="false">'📋 Matches'!E68</f>
        <v>0</v>
      </c>
      <c r="G2228" s="21" t="n">
        <f aca="false">'📋 Matches'!F68</f>
        <v>0</v>
      </c>
      <c r="H2228" s="24" t="s">
        <v>148</v>
      </c>
      <c r="I2228" s="24" t="s">
        <v>148</v>
      </c>
      <c r="J2228" s="24" t="s">
        <v>148</v>
      </c>
      <c r="K2228" s="24" t="s">
        <v>148</v>
      </c>
      <c r="L2228" s="24" t="s">
        <v>148</v>
      </c>
    </row>
    <row r="2229" customFormat="false" ht="18" hidden="false" customHeight="true" outlineLevel="0" collapsed="false">
      <c r="A2229" s="17" t="s">
        <v>114</v>
      </c>
      <c r="B2229" s="31" t="s">
        <v>178</v>
      </c>
      <c r="C2229" s="19" t="s">
        <v>134</v>
      </c>
      <c r="D2229" s="20"/>
      <c r="E2229" s="20"/>
      <c r="F2229" s="21" t="n">
        <f aca="false">'📋 Matches'!E69</f>
        <v>0</v>
      </c>
      <c r="G2229" s="21" t="n">
        <f aca="false">'📋 Matches'!F69</f>
        <v>0</v>
      </c>
      <c r="H2229" s="24" t="s">
        <v>148</v>
      </c>
      <c r="I2229" s="24" t="s">
        <v>148</v>
      </c>
      <c r="J2229" s="24" t="s">
        <v>148</v>
      </c>
      <c r="K2229" s="24" t="s">
        <v>148</v>
      </c>
      <c r="L2229" s="24" t="s">
        <v>148</v>
      </c>
    </row>
    <row r="2230" customFormat="false" ht="18" hidden="false" customHeight="true" outlineLevel="0" collapsed="false">
      <c r="A2230" s="17" t="s">
        <v>114</v>
      </c>
      <c r="B2230" s="31" t="s">
        <v>178</v>
      </c>
      <c r="C2230" s="19" t="s">
        <v>135</v>
      </c>
      <c r="D2230" s="20"/>
      <c r="E2230" s="20"/>
      <c r="F2230" s="21" t="n">
        <f aca="false">'📋 Matches'!E70</f>
        <v>0</v>
      </c>
      <c r="G2230" s="21" t="n">
        <f aca="false">'📋 Matches'!F70</f>
        <v>0</v>
      </c>
      <c r="H2230" s="24" t="s">
        <v>148</v>
      </c>
      <c r="I2230" s="24" t="s">
        <v>148</v>
      </c>
      <c r="J2230" s="24" t="s">
        <v>148</v>
      </c>
      <c r="K2230" s="24" t="s">
        <v>148</v>
      </c>
      <c r="L2230" s="24" t="s">
        <v>148</v>
      </c>
    </row>
    <row r="2231" customFormat="false" ht="18" hidden="false" customHeight="true" outlineLevel="0" collapsed="false">
      <c r="A2231" s="17" t="s">
        <v>114</v>
      </c>
      <c r="B2231" s="31" t="s">
        <v>178</v>
      </c>
      <c r="C2231" s="19" t="s">
        <v>136</v>
      </c>
      <c r="D2231" s="20"/>
      <c r="E2231" s="20"/>
      <c r="F2231" s="21" t="n">
        <f aca="false">'📋 Matches'!E71</f>
        <v>0</v>
      </c>
      <c r="G2231" s="21" t="n">
        <f aca="false">'📋 Matches'!F71</f>
        <v>0</v>
      </c>
      <c r="H2231" s="24" t="s">
        <v>148</v>
      </c>
      <c r="I2231" s="24" t="s">
        <v>148</v>
      </c>
      <c r="J2231" s="24" t="s">
        <v>148</v>
      </c>
      <c r="K2231" s="24" t="s">
        <v>148</v>
      </c>
      <c r="L2231" s="24" t="s">
        <v>148</v>
      </c>
    </row>
    <row r="2232" customFormat="false" ht="18" hidden="false" customHeight="true" outlineLevel="0" collapsed="false">
      <c r="A2232" s="17" t="s">
        <v>114</v>
      </c>
      <c r="B2232" s="31" t="s">
        <v>178</v>
      </c>
      <c r="C2232" s="19" t="s">
        <v>137</v>
      </c>
      <c r="D2232" s="20"/>
      <c r="E2232" s="20"/>
      <c r="F2232" s="21" t="n">
        <f aca="false">'📋 Matches'!E72</f>
        <v>0</v>
      </c>
      <c r="G2232" s="21" t="n">
        <f aca="false">'📋 Matches'!F72</f>
        <v>0</v>
      </c>
      <c r="H2232" s="24" t="s">
        <v>148</v>
      </c>
      <c r="I2232" s="24" t="s">
        <v>148</v>
      </c>
      <c r="J2232" s="24" t="s">
        <v>148</v>
      </c>
      <c r="K2232" s="24" t="s">
        <v>148</v>
      </c>
      <c r="L2232" s="24" t="s">
        <v>148</v>
      </c>
    </row>
    <row r="2233" customFormat="false" ht="18" hidden="false" customHeight="true" outlineLevel="0" collapsed="false">
      <c r="A2233" s="17" t="s">
        <v>114</v>
      </c>
      <c r="B2233" s="31" t="s">
        <v>178</v>
      </c>
      <c r="C2233" s="19" t="s">
        <v>138</v>
      </c>
      <c r="D2233" s="20"/>
      <c r="E2233" s="20"/>
      <c r="F2233" s="21" t="n">
        <f aca="false">'📋 Matches'!E73</f>
        <v>0</v>
      </c>
      <c r="G2233" s="21" t="n">
        <f aca="false">'📋 Matches'!F73</f>
        <v>0</v>
      </c>
      <c r="H2233" s="24" t="s">
        <v>148</v>
      </c>
      <c r="I2233" s="24" t="s">
        <v>148</v>
      </c>
      <c r="J2233" s="24" t="s">
        <v>148</v>
      </c>
      <c r="K2233" s="24" t="s">
        <v>148</v>
      </c>
      <c r="L2233" s="24" t="s">
        <v>148</v>
      </c>
    </row>
    <row r="2234" customFormat="false" ht="18" hidden="false" customHeight="true" outlineLevel="0" collapsed="false">
      <c r="A2234" s="25" t="s">
        <v>9</v>
      </c>
      <c r="B2234" s="26" t="s">
        <v>179</v>
      </c>
      <c r="C2234" s="27" t="s">
        <v>10</v>
      </c>
      <c r="D2234" s="28" t="n">
        <v>2</v>
      </c>
      <c r="E2234" s="28" t="n">
        <v>1</v>
      </c>
      <c r="F2234" s="29" t="n">
        <f aca="false">'📋 Matches'!E2</f>
        <v>2</v>
      </c>
      <c r="G2234" s="29" t="n">
        <f aca="false">'📋 Matches'!F2</f>
        <v>0</v>
      </c>
      <c r="H2234" s="22" t="n">
        <f aca="false">IF(AND(ISNUMBER(F2234),ISNUMBER(G2234)),IF(SIGN(D2234-E2234)=SIGN(F2234-G2234),48,0),"")</f>
        <v>48</v>
      </c>
      <c r="I2234" s="22" t="n">
        <f aca="false">IF(AND(ISNUMBER(F2234),ISNUMBER(G2234)),IF(D2234=F2234,15,0),"")</f>
        <v>15</v>
      </c>
      <c r="J2234" s="22" t="n">
        <f aca="false">IF(AND(ISNUMBER(F2234),ISNUMBER(G2234)),IF(E2234=G2234,15,0),"")</f>
        <v>0</v>
      </c>
      <c r="K2234" s="22" t="n">
        <f aca="false">IF(AND(ISNUMBER(F2234),ISNUMBER(G2234)),IF(ABS(D2234-E2234)=ABS(F2234-G2234),12,0),"")</f>
        <v>0</v>
      </c>
      <c r="L2234" s="23" t="n">
        <f aca="false">IF(ISNUMBER(H2234),H2234+I2234+J2234+K2234,"")</f>
        <v>63</v>
      </c>
    </row>
    <row r="2235" customFormat="false" ht="18" hidden="false" customHeight="true" outlineLevel="0" collapsed="false">
      <c r="A2235" s="25" t="s">
        <v>9</v>
      </c>
      <c r="B2235" s="26" t="s">
        <v>179</v>
      </c>
      <c r="C2235" s="27" t="s">
        <v>14</v>
      </c>
      <c r="D2235" s="28" t="n">
        <v>2</v>
      </c>
      <c r="E2235" s="28" t="n">
        <v>0</v>
      </c>
      <c r="F2235" s="29" t="n">
        <f aca="false">'📋 Matches'!E3</f>
        <v>2</v>
      </c>
      <c r="G2235" s="29" t="n">
        <f aca="false">'📋 Matches'!F3</f>
        <v>1</v>
      </c>
      <c r="H2235" s="22" t="n">
        <f aca="false">IF(AND(ISNUMBER(F2235),ISNUMBER(G2235)),IF(SIGN(D2235-E2235)=SIGN(F2235-G2235),48,0),"")</f>
        <v>48</v>
      </c>
      <c r="I2235" s="22" t="n">
        <f aca="false">IF(AND(ISNUMBER(F2235),ISNUMBER(G2235)),IF(D2235=F2235,15,0),"")</f>
        <v>15</v>
      </c>
      <c r="J2235" s="22" t="n">
        <f aca="false">IF(AND(ISNUMBER(F2235),ISNUMBER(G2235)),IF(E2235=G2235,15,0),"")</f>
        <v>0</v>
      </c>
      <c r="K2235" s="22" t="n">
        <f aca="false">IF(AND(ISNUMBER(F2235),ISNUMBER(G2235)),IF(ABS(D2235-E2235)=ABS(F2235-G2235),12,0),"")</f>
        <v>0</v>
      </c>
      <c r="L2235" s="23" t="n">
        <f aca="false">IF(ISNUMBER(H2235),H2235+I2235+J2235+K2235,"")</f>
        <v>63</v>
      </c>
    </row>
    <row r="2236" customFormat="false" ht="18" hidden="false" customHeight="true" outlineLevel="0" collapsed="false">
      <c r="A2236" s="25" t="s">
        <v>9</v>
      </c>
      <c r="B2236" s="26" t="s">
        <v>179</v>
      </c>
      <c r="C2236" s="27" t="s">
        <v>17</v>
      </c>
      <c r="D2236" s="28" t="n">
        <v>1</v>
      </c>
      <c r="E2236" s="28" t="n">
        <v>0</v>
      </c>
      <c r="F2236" s="29" t="n">
        <f aca="false">'📋 Matches'!E4</f>
        <v>1</v>
      </c>
      <c r="G2236" s="29" t="n">
        <f aca="false">'📋 Matches'!F4</f>
        <v>1</v>
      </c>
      <c r="H2236" s="22" t="n">
        <f aca="false">IF(AND(ISNUMBER(F2236),ISNUMBER(G2236)),IF(SIGN(D2236-E2236)=SIGN(F2236-G2236),48,0),"")</f>
        <v>0</v>
      </c>
      <c r="I2236" s="22" t="n">
        <f aca="false">IF(AND(ISNUMBER(F2236),ISNUMBER(G2236)),IF(D2236=F2236,15,0),"")</f>
        <v>15</v>
      </c>
      <c r="J2236" s="22" t="n">
        <f aca="false">IF(AND(ISNUMBER(F2236),ISNUMBER(G2236)),IF(E2236=G2236,15,0),"")</f>
        <v>0</v>
      </c>
      <c r="K2236" s="22" t="n">
        <f aca="false">IF(AND(ISNUMBER(F2236),ISNUMBER(G2236)),IF(ABS(D2236-E2236)=ABS(F2236-G2236),12,0),"")</f>
        <v>0</v>
      </c>
      <c r="L2236" s="23" t="n">
        <f aca="false">IF(ISNUMBER(H2236),H2236+I2236+J2236+K2236,"")</f>
        <v>15</v>
      </c>
    </row>
    <row r="2237" customFormat="false" ht="18" hidden="false" customHeight="true" outlineLevel="0" collapsed="false">
      <c r="A2237" s="25" t="s">
        <v>9</v>
      </c>
      <c r="B2237" s="26" t="s">
        <v>179</v>
      </c>
      <c r="C2237" s="27" t="s">
        <v>20</v>
      </c>
      <c r="D2237" s="28" t="n">
        <v>1</v>
      </c>
      <c r="E2237" s="28" t="n">
        <v>2</v>
      </c>
      <c r="F2237" s="29" t="n">
        <f aca="false">'📋 Matches'!E5</f>
        <v>4</v>
      </c>
      <c r="G2237" s="29" t="n">
        <f aca="false">'📋 Matches'!F5</f>
        <v>1</v>
      </c>
      <c r="H2237" s="22" t="n">
        <f aca="false">IF(AND(ISNUMBER(F2237),ISNUMBER(G2237)),IF(SIGN(D2237-E2237)=SIGN(F2237-G2237),48,0),"")</f>
        <v>0</v>
      </c>
      <c r="I2237" s="22" t="n">
        <f aca="false">IF(AND(ISNUMBER(F2237),ISNUMBER(G2237)),IF(D2237=F2237,15,0),"")</f>
        <v>0</v>
      </c>
      <c r="J2237" s="22" t="n">
        <f aca="false">IF(AND(ISNUMBER(F2237),ISNUMBER(G2237)),IF(E2237=G2237,15,0),"")</f>
        <v>0</v>
      </c>
      <c r="K2237" s="22" t="n">
        <f aca="false">IF(AND(ISNUMBER(F2237),ISNUMBER(G2237)),IF(ABS(D2237-E2237)=ABS(F2237-G2237),12,0),"")</f>
        <v>0</v>
      </c>
      <c r="L2237" s="23" t="n">
        <f aca="false">IF(ISNUMBER(H2237),H2237+I2237+J2237+K2237,"")</f>
        <v>0</v>
      </c>
    </row>
    <row r="2238" customFormat="false" ht="18" hidden="false" customHeight="true" outlineLevel="0" collapsed="false">
      <c r="A2238" s="25" t="s">
        <v>9</v>
      </c>
      <c r="B2238" s="26" t="s">
        <v>179</v>
      </c>
      <c r="C2238" s="27" t="s">
        <v>23</v>
      </c>
      <c r="D2238" s="28" t="n">
        <v>1</v>
      </c>
      <c r="E2238" s="28" t="n">
        <v>3</v>
      </c>
      <c r="F2238" s="29" t="n">
        <f aca="false">'📋 Matches'!E6</f>
        <v>0</v>
      </c>
      <c r="G2238" s="29" t="n">
        <f aca="false">'📋 Matches'!F6</f>
        <v>0</v>
      </c>
      <c r="H2238" s="22" t="str">
        <f aca="false">IF(AND(ISNUMBER(F2238),ISNUMBER(G2238)),IF(SIGN(D2238-E2238)=SIGN(F2238-G2238),48,0),"")</f>
        <v/>
      </c>
      <c r="I2238" s="22" t="str">
        <f aca="false">IF(AND(ISNUMBER(F2238),ISNUMBER(G2238)),IF(D2238=F2238,15,0),"")</f>
        <v/>
      </c>
      <c r="J2238" s="22" t="str">
        <f aca="false">IF(AND(ISNUMBER(F2238),ISNUMBER(G2238)),IF(E2238=G2238,15,0),"")</f>
        <v/>
      </c>
      <c r="K2238" s="22" t="str">
        <f aca="false">IF(AND(ISNUMBER(F2238),ISNUMBER(G2238)),IF(ABS(D2238-E2238)=ABS(F2238-G2238),12,0),"")</f>
        <v/>
      </c>
      <c r="L2238" s="23" t="str">
        <f aca="false">IF(ISNUMBER(H2238),H2238+I2238+J2238+K2238,"")</f>
        <v/>
      </c>
    </row>
    <row r="2239" customFormat="false" ht="18" hidden="false" customHeight="true" outlineLevel="0" collapsed="false">
      <c r="A2239" s="25" t="s">
        <v>9</v>
      </c>
      <c r="B2239" s="26" t="s">
        <v>179</v>
      </c>
      <c r="C2239" s="27" t="s">
        <v>27</v>
      </c>
      <c r="D2239" s="28" t="n">
        <v>3</v>
      </c>
      <c r="E2239" s="28" t="n">
        <v>0</v>
      </c>
      <c r="F2239" s="29" t="n">
        <f aca="false">'📋 Matches'!E7</f>
        <v>0</v>
      </c>
      <c r="G2239" s="29" t="n">
        <f aca="false">'📋 Matches'!F7</f>
        <v>0</v>
      </c>
      <c r="H2239" s="22" t="str">
        <f aca="false">IF(AND(ISNUMBER(F2239),ISNUMBER(G2239)),IF(SIGN(D2239-E2239)=SIGN(F2239-G2239),48,0),"")</f>
        <v/>
      </c>
      <c r="I2239" s="22" t="str">
        <f aca="false">IF(AND(ISNUMBER(F2239),ISNUMBER(G2239)),IF(D2239=F2239,15,0),"")</f>
        <v/>
      </c>
      <c r="J2239" s="22" t="str">
        <f aca="false">IF(AND(ISNUMBER(F2239),ISNUMBER(G2239)),IF(E2239=G2239,15,0),"")</f>
        <v/>
      </c>
      <c r="K2239" s="22" t="str">
        <f aca="false">IF(AND(ISNUMBER(F2239),ISNUMBER(G2239)),IF(ABS(D2239-E2239)=ABS(F2239-G2239),12,0),"")</f>
        <v/>
      </c>
      <c r="L2239" s="23" t="str">
        <f aca="false">IF(ISNUMBER(H2239),H2239+I2239+J2239+K2239,"")</f>
        <v/>
      </c>
    </row>
    <row r="2240" customFormat="false" ht="18" hidden="false" customHeight="true" outlineLevel="0" collapsed="false">
      <c r="A2240" s="25" t="s">
        <v>9</v>
      </c>
      <c r="B2240" s="26" t="s">
        <v>179</v>
      </c>
      <c r="C2240" s="27" t="s">
        <v>30</v>
      </c>
      <c r="D2240" s="28" t="n">
        <v>2</v>
      </c>
      <c r="E2240" s="28" t="n">
        <v>3</v>
      </c>
      <c r="F2240" s="29" t="n">
        <f aca="false">'📋 Matches'!E8</f>
        <v>0</v>
      </c>
      <c r="G2240" s="29" t="n">
        <f aca="false">'📋 Matches'!F8</f>
        <v>0</v>
      </c>
      <c r="H2240" s="22" t="str">
        <f aca="false">IF(AND(ISNUMBER(F2240),ISNUMBER(G2240)),IF(SIGN(D2240-E2240)=SIGN(F2240-G2240),48,0),"")</f>
        <v/>
      </c>
      <c r="I2240" s="22" t="str">
        <f aca="false">IF(AND(ISNUMBER(F2240),ISNUMBER(G2240)),IF(D2240=F2240,15,0),"")</f>
        <v/>
      </c>
      <c r="J2240" s="22" t="str">
        <f aca="false">IF(AND(ISNUMBER(F2240),ISNUMBER(G2240)),IF(E2240=G2240,15,0),"")</f>
        <v/>
      </c>
      <c r="K2240" s="22" t="str">
        <f aca="false">IF(AND(ISNUMBER(F2240),ISNUMBER(G2240)),IF(ABS(D2240-E2240)=ABS(F2240-G2240),12,0),"")</f>
        <v/>
      </c>
      <c r="L2240" s="23" t="str">
        <f aca="false">IF(ISNUMBER(H2240),H2240+I2240+J2240+K2240,"")</f>
        <v/>
      </c>
    </row>
    <row r="2241" customFormat="false" ht="18" hidden="false" customHeight="true" outlineLevel="0" collapsed="false">
      <c r="A2241" s="25" t="s">
        <v>9</v>
      </c>
      <c r="B2241" s="26" t="s">
        <v>179</v>
      </c>
      <c r="C2241" s="27" t="s">
        <v>33</v>
      </c>
      <c r="D2241" s="28" t="n">
        <v>3</v>
      </c>
      <c r="E2241" s="28" t="n">
        <v>1</v>
      </c>
      <c r="F2241" s="29" t="n">
        <f aca="false">'📋 Matches'!E9</f>
        <v>0</v>
      </c>
      <c r="G2241" s="29" t="n">
        <f aca="false">'📋 Matches'!F9</f>
        <v>0</v>
      </c>
      <c r="H2241" s="22" t="str">
        <f aca="false">IF(AND(ISNUMBER(F2241),ISNUMBER(G2241)),IF(SIGN(D2241-E2241)=SIGN(F2241-G2241),48,0),"")</f>
        <v/>
      </c>
      <c r="I2241" s="22" t="str">
        <f aca="false">IF(AND(ISNUMBER(F2241),ISNUMBER(G2241)),IF(D2241=F2241,15,0),"")</f>
        <v/>
      </c>
      <c r="J2241" s="22" t="str">
        <f aca="false">IF(AND(ISNUMBER(F2241),ISNUMBER(G2241)),IF(E2241=G2241,15,0),"")</f>
        <v/>
      </c>
      <c r="K2241" s="22" t="str">
        <f aca="false">IF(AND(ISNUMBER(F2241),ISNUMBER(G2241)),IF(ABS(D2241-E2241)=ABS(F2241-G2241),12,0),"")</f>
        <v/>
      </c>
      <c r="L2241" s="23" t="str">
        <f aca="false">IF(ISNUMBER(H2241),H2241+I2241+J2241+K2241,"")</f>
        <v/>
      </c>
    </row>
    <row r="2242" customFormat="false" ht="18" hidden="false" customHeight="true" outlineLevel="0" collapsed="false">
      <c r="A2242" s="25" t="s">
        <v>9</v>
      </c>
      <c r="B2242" s="26" t="s">
        <v>179</v>
      </c>
      <c r="C2242" s="27" t="s">
        <v>36</v>
      </c>
      <c r="D2242" s="28" t="n">
        <v>2</v>
      </c>
      <c r="E2242" s="28" t="n">
        <v>0</v>
      </c>
      <c r="F2242" s="29" t="n">
        <f aca="false">'📋 Matches'!E10</f>
        <v>0</v>
      </c>
      <c r="G2242" s="29" t="n">
        <f aca="false">'📋 Matches'!F10</f>
        <v>0</v>
      </c>
      <c r="H2242" s="22" t="str">
        <f aca="false">IF(AND(ISNUMBER(F2242),ISNUMBER(G2242)),IF(SIGN(D2242-E2242)=SIGN(F2242-G2242),48,0),"")</f>
        <v/>
      </c>
      <c r="I2242" s="22" t="str">
        <f aca="false">IF(AND(ISNUMBER(F2242),ISNUMBER(G2242)),IF(D2242=F2242,15,0),"")</f>
        <v/>
      </c>
      <c r="J2242" s="22" t="str">
        <f aca="false">IF(AND(ISNUMBER(F2242),ISNUMBER(G2242)),IF(E2242=G2242,15,0),"")</f>
        <v/>
      </c>
      <c r="K2242" s="22" t="str">
        <f aca="false">IF(AND(ISNUMBER(F2242),ISNUMBER(G2242)),IF(ABS(D2242-E2242)=ABS(F2242-G2242),12,0),"")</f>
        <v/>
      </c>
      <c r="L2242" s="23" t="str">
        <f aca="false">IF(ISNUMBER(H2242),H2242+I2242+J2242+K2242,"")</f>
        <v/>
      </c>
    </row>
    <row r="2243" customFormat="false" ht="18" hidden="false" customHeight="true" outlineLevel="0" collapsed="false">
      <c r="A2243" s="25" t="s">
        <v>9</v>
      </c>
      <c r="B2243" s="26" t="s">
        <v>179</v>
      </c>
      <c r="C2243" s="27" t="s">
        <v>39</v>
      </c>
      <c r="D2243" s="28" t="n">
        <v>4</v>
      </c>
      <c r="E2243" s="28" t="n">
        <v>2</v>
      </c>
      <c r="F2243" s="29" t="n">
        <f aca="false">'📋 Matches'!E11</f>
        <v>0</v>
      </c>
      <c r="G2243" s="29" t="n">
        <f aca="false">'📋 Matches'!F11</f>
        <v>0</v>
      </c>
      <c r="H2243" s="22" t="str">
        <f aca="false">IF(AND(ISNUMBER(F2243),ISNUMBER(G2243)),IF(SIGN(D2243-E2243)=SIGN(F2243-G2243),48,0),"")</f>
        <v/>
      </c>
      <c r="I2243" s="22" t="str">
        <f aca="false">IF(AND(ISNUMBER(F2243),ISNUMBER(G2243)),IF(D2243=F2243,15,0),"")</f>
        <v/>
      </c>
      <c r="J2243" s="22" t="str">
        <f aca="false">IF(AND(ISNUMBER(F2243),ISNUMBER(G2243)),IF(E2243=G2243,15,0),"")</f>
        <v/>
      </c>
      <c r="K2243" s="22" t="str">
        <f aca="false">IF(AND(ISNUMBER(F2243),ISNUMBER(G2243)),IF(ABS(D2243-E2243)=ABS(F2243-G2243),12,0),"")</f>
        <v/>
      </c>
      <c r="L2243" s="23" t="str">
        <f aca="false">IF(ISNUMBER(H2243),H2243+I2243+J2243+K2243,"")</f>
        <v/>
      </c>
    </row>
    <row r="2244" customFormat="false" ht="18" hidden="false" customHeight="true" outlineLevel="0" collapsed="false">
      <c r="A2244" s="25" t="s">
        <v>9</v>
      </c>
      <c r="B2244" s="26" t="s">
        <v>179</v>
      </c>
      <c r="C2244" s="27" t="s">
        <v>42</v>
      </c>
      <c r="D2244" s="28" t="n">
        <v>2</v>
      </c>
      <c r="E2244" s="28" t="n">
        <v>4</v>
      </c>
      <c r="F2244" s="29" t="n">
        <f aca="false">'📋 Matches'!E12</f>
        <v>0</v>
      </c>
      <c r="G2244" s="29" t="n">
        <f aca="false">'📋 Matches'!F12</f>
        <v>0</v>
      </c>
      <c r="H2244" s="22" t="str">
        <f aca="false">IF(AND(ISNUMBER(F2244),ISNUMBER(G2244)),IF(SIGN(D2244-E2244)=SIGN(F2244-G2244),48,0),"")</f>
        <v/>
      </c>
      <c r="I2244" s="22" t="str">
        <f aca="false">IF(AND(ISNUMBER(F2244),ISNUMBER(G2244)),IF(D2244=F2244,15,0),"")</f>
        <v/>
      </c>
      <c r="J2244" s="22" t="str">
        <f aca="false">IF(AND(ISNUMBER(F2244),ISNUMBER(G2244)),IF(E2244=G2244,15,0),"")</f>
        <v/>
      </c>
      <c r="K2244" s="22" t="str">
        <f aca="false">IF(AND(ISNUMBER(F2244),ISNUMBER(G2244)),IF(ABS(D2244-E2244)=ABS(F2244-G2244),12,0),"")</f>
        <v/>
      </c>
      <c r="L2244" s="23" t="str">
        <f aca="false">IF(ISNUMBER(H2244),H2244+I2244+J2244+K2244,"")</f>
        <v/>
      </c>
    </row>
    <row r="2245" customFormat="false" ht="18" hidden="false" customHeight="true" outlineLevel="0" collapsed="false">
      <c r="A2245" s="25" t="s">
        <v>9</v>
      </c>
      <c r="B2245" s="26" t="s">
        <v>179</v>
      </c>
      <c r="C2245" s="27" t="s">
        <v>45</v>
      </c>
      <c r="D2245" s="28" t="n">
        <v>2</v>
      </c>
      <c r="E2245" s="28" t="n">
        <v>1</v>
      </c>
      <c r="F2245" s="29" t="n">
        <f aca="false">'📋 Matches'!E13</f>
        <v>0</v>
      </c>
      <c r="G2245" s="29" t="n">
        <f aca="false">'📋 Matches'!F13</f>
        <v>0</v>
      </c>
      <c r="H2245" s="22" t="str">
        <f aca="false">IF(AND(ISNUMBER(F2245),ISNUMBER(G2245)),IF(SIGN(D2245-E2245)=SIGN(F2245-G2245),48,0),"")</f>
        <v/>
      </c>
      <c r="I2245" s="22" t="str">
        <f aca="false">IF(AND(ISNUMBER(F2245),ISNUMBER(G2245)),IF(D2245=F2245,15,0),"")</f>
        <v/>
      </c>
      <c r="J2245" s="22" t="str">
        <f aca="false">IF(AND(ISNUMBER(F2245),ISNUMBER(G2245)),IF(E2245=G2245,15,0),"")</f>
        <v/>
      </c>
      <c r="K2245" s="22" t="str">
        <f aca="false">IF(AND(ISNUMBER(F2245),ISNUMBER(G2245)),IF(ABS(D2245-E2245)=ABS(F2245-G2245),12,0),"")</f>
        <v/>
      </c>
      <c r="L2245" s="23" t="str">
        <f aca="false">IF(ISNUMBER(H2245),H2245+I2245+J2245+K2245,"")</f>
        <v/>
      </c>
    </row>
    <row r="2246" customFormat="false" ht="18" hidden="false" customHeight="true" outlineLevel="0" collapsed="false">
      <c r="A2246" s="25" t="s">
        <v>9</v>
      </c>
      <c r="B2246" s="26" t="s">
        <v>179</v>
      </c>
      <c r="C2246" s="27" t="s">
        <v>48</v>
      </c>
      <c r="D2246" s="28" t="n">
        <v>3</v>
      </c>
      <c r="E2246" s="28" t="n">
        <v>0</v>
      </c>
      <c r="F2246" s="29" t="n">
        <f aca="false">'📋 Matches'!E14</f>
        <v>0</v>
      </c>
      <c r="G2246" s="29" t="n">
        <f aca="false">'📋 Matches'!F14</f>
        <v>0</v>
      </c>
      <c r="H2246" s="22" t="str">
        <f aca="false">IF(AND(ISNUMBER(F2246),ISNUMBER(G2246)),IF(SIGN(D2246-E2246)=SIGN(F2246-G2246),48,0),"")</f>
        <v/>
      </c>
      <c r="I2246" s="22" t="str">
        <f aca="false">IF(AND(ISNUMBER(F2246),ISNUMBER(G2246)),IF(D2246=F2246,15,0),"")</f>
        <v/>
      </c>
      <c r="J2246" s="22" t="str">
        <f aca="false">IF(AND(ISNUMBER(F2246),ISNUMBER(G2246)),IF(E2246=G2246,15,0),"")</f>
        <v/>
      </c>
      <c r="K2246" s="22" t="str">
        <f aca="false">IF(AND(ISNUMBER(F2246),ISNUMBER(G2246)),IF(ABS(D2246-E2246)=ABS(F2246-G2246),12,0),"")</f>
        <v/>
      </c>
      <c r="L2246" s="23" t="str">
        <f aca="false">IF(ISNUMBER(H2246),H2246+I2246+J2246+K2246,"")</f>
        <v/>
      </c>
    </row>
    <row r="2247" customFormat="false" ht="18" hidden="false" customHeight="true" outlineLevel="0" collapsed="false">
      <c r="A2247" s="25" t="s">
        <v>9</v>
      </c>
      <c r="B2247" s="26" t="s">
        <v>179</v>
      </c>
      <c r="C2247" s="27" t="s">
        <v>51</v>
      </c>
      <c r="D2247" s="28" t="n">
        <v>3</v>
      </c>
      <c r="E2247" s="28" t="n">
        <v>1</v>
      </c>
      <c r="F2247" s="29" t="n">
        <f aca="false">'📋 Matches'!E15</f>
        <v>0</v>
      </c>
      <c r="G2247" s="29" t="n">
        <f aca="false">'📋 Matches'!F15</f>
        <v>0</v>
      </c>
      <c r="H2247" s="22" t="str">
        <f aca="false">IF(AND(ISNUMBER(F2247),ISNUMBER(G2247)),IF(SIGN(D2247-E2247)=SIGN(F2247-G2247),48,0),"")</f>
        <v/>
      </c>
      <c r="I2247" s="22" t="str">
        <f aca="false">IF(AND(ISNUMBER(F2247),ISNUMBER(G2247)),IF(D2247=F2247,15,0),"")</f>
        <v/>
      </c>
      <c r="J2247" s="22" t="str">
        <f aca="false">IF(AND(ISNUMBER(F2247),ISNUMBER(G2247)),IF(E2247=G2247,15,0),"")</f>
        <v/>
      </c>
      <c r="K2247" s="22" t="str">
        <f aca="false">IF(AND(ISNUMBER(F2247),ISNUMBER(G2247)),IF(ABS(D2247-E2247)=ABS(F2247-G2247),12,0),"")</f>
        <v/>
      </c>
      <c r="L2247" s="23" t="str">
        <f aca="false">IF(ISNUMBER(H2247),H2247+I2247+J2247+K2247,"")</f>
        <v/>
      </c>
    </row>
    <row r="2248" customFormat="false" ht="18" hidden="false" customHeight="true" outlineLevel="0" collapsed="false">
      <c r="A2248" s="25" t="s">
        <v>9</v>
      </c>
      <c r="B2248" s="26" t="s">
        <v>179</v>
      </c>
      <c r="C2248" s="27" t="s">
        <v>54</v>
      </c>
      <c r="D2248" s="28" t="n">
        <v>0</v>
      </c>
      <c r="E2248" s="28" t="n">
        <v>2</v>
      </c>
      <c r="F2248" s="29" t="n">
        <f aca="false">'📋 Matches'!E16</f>
        <v>0</v>
      </c>
      <c r="G2248" s="29" t="n">
        <f aca="false">'📋 Matches'!F16</f>
        <v>0</v>
      </c>
      <c r="H2248" s="22" t="str">
        <f aca="false">IF(AND(ISNUMBER(F2248),ISNUMBER(G2248)),IF(SIGN(D2248-E2248)=SIGN(F2248-G2248),48,0),"")</f>
        <v/>
      </c>
      <c r="I2248" s="22" t="str">
        <f aca="false">IF(AND(ISNUMBER(F2248),ISNUMBER(G2248)),IF(D2248=F2248,15,0),"")</f>
        <v/>
      </c>
      <c r="J2248" s="22" t="str">
        <f aca="false">IF(AND(ISNUMBER(F2248),ISNUMBER(G2248)),IF(E2248=G2248,15,0),"")</f>
        <v/>
      </c>
      <c r="K2248" s="22" t="str">
        <f aca="false">IF(AND(ISNUMBER(F2248),ISNUMBER(G2248)),IF(ABS(D2248-E2248)=ABS(F2248-G2248),12,0),"")</f>
        <v/>
      </c>
      <c r="L2248" s="23" t="str">
        <f aca="false">IF(ISNUMBER(H2248),H2248+I2248+J2248+K2248,"")</f>
        <v/>
      </c>
    </row>
    <row r="2249" customFormat="false" ht="18" hidden="false" customHeight="true" outlineLevel="0" collapsed="false">
      <c r="A2249" s="25" t="s">
        <v>9</v>
      </c>
      <c r="B2249" s="26" t="s">
        <v>179</v>
      </c>
      <c r="C2249" s="27" t="s">
        <v>57</v>
      </c>
      <c r="D2249" s="28" t="n">
        <v>0</v>
      </c>
      <c r="E2249" s="28" t="n">
        <v>1</v>
      </c>
      <c r="F2249" s="29" t="n">
        <f aca="false">'📋 Matches'!E17</f>
        <v>0</v>
      </c>
      <c r="G2249" s="29" t="n">
        <f aca="false">'📋 Matches'!F17</f>
        <v>0</v>
      </c>
      <c r="H2249" s="22" t="str">
        <f aca="false">IF(AND(ISNUMBER(F2249),ISNUMBER(G2249)),IF(SIGN(D2249-E2249)=SIGN(F2249-G2249),48,0),"")</f>
        <v/>
      </c>
      <c r="I2249" s="22" t="str">
        <f aca="false">IF(AND(ISNUMBER(F2249),ISNUMBER(G2249)),IF(D2249=F2249,15,0),"")</f>
        <v/>
      </c>
      <c r="J2249" s="22" t="str">
        <f aca="false">IF(AND(ISNUMBER(F2249),ISNUMBER(G2249)),IF(E2249=G2249,15,0),"")</f>
        <v/>
      </c>
      <c r="K2249" s="22" t="str">
        <f aca="false">IF(AND(ISNUMBER(F2249),ISNUMBER(G2249)),IF(ABS(D2249-E2249)=ABS(F2249-G2249),12,0),"")</f>
        <v/>
      </c>
      <c r="L2249" s="23" t="str">
        <f aca="false">IF(ISNUMBER(H2249),H2249+I2249+J2249+K2249,"")</f>
        <v/>
      </c>
    </row>
    <row r="2250" customFormat="false" ht="18" hidden="false" customHeight="true" outlineLevel="0" collapsed="false">
      <c r="A2250" s="25" t="s">
        <v>9</v>
      </c>
      <c r="B2250" s="26" t="s">
        <v>179</v>
      </c>
      <c r="C2250" s="27" t="s">
        <v>60</v>
      </c>
      <c r="D2250" s="28" t="n">
        <v>3</v>
      </c>
      <c r="E2250" s="28" t="n">
        <v>1</v>
      </c>
      <c r="F2250" s="29" t="n">
        <f aca="false">'📋 Matches'!E18</f>
        <v>0</v>
      </c>
      <c r="G2250" s="29" t="n">
        <f aca="false">'📋 Matches'!F18</f>
        <v>0</v>
      </c>
      <c r="H2250" s="22" t="str">
        <f aca="false">IF(AND(ISNUMBER(F2250),ISNUMBER(G2250)),IF(SIGN(D2250-E2250)=SIGN(F2250-G2250),48,0),"")</f>
        <v/>
      </c>
      <c r="I2250" s="22" t="str">
        <f aca="false">IF(AND(ISNUMBER(F2250),ISNUMBER(G2250)),IF(D2250=F2250,15,0),"")</f>
        <v/>
      </c>
      <c r="J2250" s="22" t="str">
        <f aca="false">IF(AND(ISNUMBER(F2250),ISNUMBER(G2250)),IF(E2250=G2250,15,0),"")</f>
        <v/>
      </c>
      <c r="K2250" s="22" t="str">
        <f aca="false">IF(AND(ISNUMBER(F2250),ISNUMBER(G2250)),IF(ABS(D2250-E2250)=ABS(F2250-G2250),12,0),"")</f>
        <v/>
      </c>
      <c r="L2250" s="23" t="str">
        <f aca="false">IF(ISNUMBER(H2250),H2250+I2250+J2250+K2250,"")</f>
        <v/>
      </c>
    </row>
    <row r="2251" customFormat="false" ht="18" hidden="false" customHeight="true" outlineLevel="0" collapsed="false">
      <c r="A2251" s="25" t="s">
        <v>9</v>
      </c>
      <c r="B2251" s="26" t="s">
        <v>179</v>
      </c>
      <c r="C2251" s="27" t="s">
        <v>63</v>
      </c>
      <c r="D2251" s="28" t="n">
        <v>0</v>
      </c>
      <c r="E2251" s="28" t="n">
        <v>2</v>
      </c>
      <c r="F2251" s="29" t="n">
        <f aca="false">'📋 Matches'!E19</f>
        <v>0</v>
      </c>
      <c r="G2251" s="29" t="n">
        <f aca="false">'📋 Matches'!F19</f>
        <v>0</v>
      </c>
      <c r="H2251" s="22" t="str">
        <f aca="false">IF(AND(ISNUMBER(F2251),ISNUMBER(G2251)),IF(SIGN(D2251-E2251)=SIGN(F2251-G2251),48,0),"")</f>
        <v/>
      </c>
      <c r="I2251" s="22" t="str">
        <f aca="false">IF(AND(ISNUMBER(F2251),ISNUMBER(G2251)),IF(D2251=F2251,15,0),"")</f>
        <v/>
      </c>
      <c r="J2251" s="22" t="str">
        <f aca="false">IF(AND(ISNUMBER(F2251),ISNUMBER(G2251)),IF(E2251=G2251,15,0),"")</f>
        <v/>
      </c>
      <c r="K2251" s="22" t="str">
        <f aca="false">IF(AND(ISNUMBER(F2251),ISNUMBER(G2251)),IF(ABS(D2251-E2251)=ABS(F2251-G2251),12,0),"")</f>
        <v/>
      </c>
      <c r="L2251" s="23" t="str">
        <f aca="false">IF(ISNUMBER(H2251),H2251+I2251+J2251+K2251,"")</f>
        <v/>
      </c>
    </row>
    <row r="2252" customFormat="false" ht="18" hidden="false" customHeight="true" outlineLevel="0" collapsed="false">
      <c r="A2252" s="25" t="s">
        <v>9</v>
      </c>
      <c r="B2252" s="26" t="s">
        <v>179</v>
      </c>
      <c r="C2252" s="27" t="s">
        <v>66</v>
      </c>
      <c r="D2252" s="28" t="n">
        <v>3</v>
      </c>
      <c r="E2252" s="28" t="n">
        <v>0</v>
      </c>
      <c r="F2252" s="29" t="n">
        <f aca="false">'📋 Matches'!E20</f>
        <v>0</v>
      </c>
      <c r="G2252" s="29" t="n">
        <f aca="false">'📋 Matches'!F20</f>
        <v>0</v>
      </c>
      <c r="H2252" s="22" t="str">
        <f aca="false">IF(AND(ISNUMBER(F2252),ISNUMBER(G2252)),IF(SIGN(D2252-E2252)=SIGN(F2252-G2252),48,0),"")</f>
        <v/>
      </c>
      <c r="I2252" s="22" t="str">
        <f aca="false">IF(AND(ISNUMBER(F2252),ISNUMBER(G2252)),IF(D2252=F2252,15,0),"")</f>
        <v/>
      </c>
      <c r="J2252" s="22" t="str">
        <f aca="false">IF(AND(ISNUMBER(F2252),ISNUMBER(G2252)),IF(E2252=G2252,15,0),"")</f>
        <v/>
      </c>
      <c r="K2252" s="22" t="str">
        <f aca="false">IF(AND(ISNUMBER(F2252),ISNUMBER(G2252)),IF(ABS(D2252-E2252)=ABS(F2252-G2252),12,0),"")</f>
        <v/>
      </c>
      <c r="L2252" s="23" t="str">
        <f aca="false">IF(ISNUMBER(H2252),H2252+I2252+J2252+K2252,"")</f>
        <v/>
      </c>
    </row>
    <row r="2253" customFormat="false" ht="18" hidden="false" customHeight="true" outlineLevel="0" collapsed="false">
      <c r="A2253" s="25" t="s">
        <v>9</v>
      </c>
      <c r="B2253" s="26" t="s">
        <v>179</v>
      </c>
      <c r="C2253" s="27" t="s">
        <v>69</v>
      </c>
      <c r="D2253" s="28" t="n">
        <v>0</v>
      </c>
      <c r="E2253" s="28" t="n">
        <v>1</v>
      </c>
      <c r="F2253" s="29" t="n">
        <f aca="false">'📋 Matches'!E21</f>
        <v>0</v>
      </c>
      <c r="G2253" s="29" t="n">
        <f aca="false">'📋 Matches'!F21</f>
        <v>0</v>
      </c>
      <c r="H2253" s="22" t="str">
        <f aca="false">IF(AND(ISNUMBER(F2253),ISNUMBER(G2253)),IF(SIGN(D2253-E2253)=SIGN(F2253-G2253),48,0),"")</f>
        <v/>
      </c>
      <c r="I2253" s="22" t="str">
        <f aca="false">IF(AND(ISNUMBER(F2253),ISNUMBER(G2253)),IF(D2253=F2253,15,0),"")</f>
        <v/>
      </c>
      <c r="J2253" s="22" t="str">
        <f aca="false">IF(AND(ISNUMBER(F2253),ISNUMBER(G2253)),IF(E2253=G2253,15,0),"")</f>
        <v/>
      </c>
      <c r="K2253" s="22" t="str">
        <f aca="false">IF(AND(ISNUMBER(F2253),ISNUMBER(G2253)),IF(ABS(D2253-E2253)=ABS(F2253-G2253),12,0),"")</f>
        <v/>
      </c>
      <c r="L2253" s="23" t="str">
        <f aca="false">IF(ISNUMBER(H2253),H2253+I2253+J2253+K2253,"")</f>
        <v/>
      </c>
    </row>
    <row r="2254" customFormat="false" ht="18" hidden="false" customHeight="true" outlineLevel="0" collapsed="false">
      <c r="A2254" s="25" t="s">
        <v>9</v>
      </c>
      <c r="B2254" s="26" t="s">
        <v>179</v>
      </c>
      <c r="C2254" s="27" t="s">
        <v>72</v>
      </c>
      <c r="D2254" s="28" t="n">
        <v>4</v>
      </c>
      <c r="E2254" s="28" t="n">
        <v>1</v>
      </c>
      <c r="F2254" s="29" t="n">
        <f aca="false">'📋 Matches'!E22</f>
        <v>0</v>
      </c>
      <c r="G2254" s="29" t="n">
        <f aca="false">'📋 Matches'!F22</f>
        <v>0</v>
      </c>
      <c r="H2254" s="22" t="str">
        <f aca="false">IF(AND(ISNUMBER(F2254),ISNUMBER(G2254)),IF(SIGN(D2254-E2254)=SIGN(F2254-G2254),48,0),"")</f>
        <v/>
      </c>
      <c r="I2254" s="22" t="str">
        <f aca="false">IF(AND(ISNUMBER(F2254),ISNUMBER(G2254)),IF(D2254=F2254,15,0),"")</f>
        <v/>
      </c>
      <c r="J2254" s="22" t="str">
        <f aca="false">IF(AND(ISNUMBER(F2254),ISNUMBER(G2254)),IF(E2254=G2254,15,0),"")</f>
        <v/>
      </c>
      <c r="K2254" s="22" t="str">
        <f aca="false">IF(AND(ISNUMBER(F2254),ISNUMBER(G2254)),IF(ABS(D2254-E2254)=ABS(F2254-G2254),12,0),"")</f>
        <v/>
      </c>
      <c r="L2254" s="23" t="str">
        <f aca="false">IF(ISNUMBER(H2254),H2254+I2254+J2254+K2254,"")</f>
        <v/>
      </c>
    </row>
    <row r="2255" customFormat="false" ht="18" hidden="false" customHeight="true" outlineLevel="0" collapsed="false">
      <c r="A2255" s="25" t="s">
        <v>9</v>
      </c>
      <c r="B2255" s="26" t="s">
        <v>179</v>
      </c>
      <c r="C2255" s="27" t="s">
        <v>75</v>
      </c>
      <c r="D2255" s="28" t="n">
        <v>2</v>
      </c>
      <c r="E2255" s="28" t="n">
        <v>1</v>
      </c>
      <c r="F2255" s="29" t="n">
        <f aca="false">'📋 Matches'!E23</f>
        <v>0</v>
      </c>
      <c r="G2255" s="29" t="n">
        <f aca="false">'📋 Matches'!F23</f>
        <v>0</v>
      </c>
      <c r="H2255" s="22" t="str">
        <f aca="false">IF(AND(ISNUMBER(F2255),ISNUMBER(G2255)),IF(SIGN(D2255-E2255)=SIGN(F2255-G2255),48,0),"")</f>
        <v/>
      </c>
      <c r="I2255" s="22" t="str">
        <f aca="false">IF(AND(ISNUMBER(F2255),ISNUMBER(G2255)),IF(D2255=F2255,15,0),"")</f>
        <v/>
      </c>
      <c r="J2255" s="22" t="str">
        <f aca="false">IF(AND(ISNUMBER(F2255),ISNUMBER(G2255)),IF(E2255=G2255,15,0),"")</f>
        <v/>
      </c>
      <c r="K2255" s="22" t="str">
        <f aca="false">IF(AND(ISNUMBER(F2255),ISNUMBER(G2255)),IF(ABS(D2255-E2255)=ABS(F2255-G2255),12,0),"")</f>
        <v/>
      </c>
      <c r="L2255" s="23" t="str">
        <f aca="false">IF(ISNUMBER(H2255),H2255+I2255+J2255+K2255,"")</f>
        <v/>
      </c>
    </row>
    <row r="2256" customFormat="false" ht="18" hidden="false" customHeight="true" outlineLevel="0" collapsed="false">
      <c r="A2256" s="25" t="s">
        <v>9</v>
      </c>
      <c r="B2256" s="26" t="s">
        <v>179</v>
      </c>
      <c r="C2256" s="27" t="s">
        <v>78</v>
      </c>
      <c r="D2256" s="28" t="n">
        <v>3</v>
      </c>
      <c r="E2256" s="28" t="n">
        <v>0</v>
      </c>
      <c r="F2256" s="29" t="n">
        <f aca="false">'📋 Matches'!E24</f>
        <v>0</v>
      </c>
      <c r="G2256" s="29" t="n">
        <f aca="false">'📋 Matches'!F24</f>
        <v>0</v>
      </c>
      <c r="H2256" s="22" t="str">
        <f aca="false">IF(AND(ISNUMBER(F2256),ISNUMBER(G2256)),IF(SIGN(D2256-E2256)=SIGN(F2256-G2256),48,0),"")</f>
        <v/>
      </c>
      <c r="I2256" s="22" t="str">
        <f aca="false">IF(AND(ISNUMBER(F2256),ISNUMBER(G2256)),IF(D2256=F2256,15,0),"")</f>
        <v/>
      </c>
      <c r="J2256" s="22" t="str">
        <f aca="false">IF(AND(ISNUMBER(F2256),ISNUMBER(G2256)),IF(E2256=G2256,15,0),"")</f>
        <v/>
      </c>
      <c r="K2256" s="22" t="str">
        <f aca="false">IF(AND(ISNUMBER(F2256),ISNUMBER(G2256)),IF(ABS(D2256-E2256)=ABS(F2256-G2256),12,0),"")</f>
        <v/>
      </c>
      <c r="L2256" s="23" t="str">
        <f aca="false">IF(ISNUMBER(H2256),H2256+I2256+J2256+K2256,"")</f>
        <v/>
      </c>
    </row>
    <row r="2257" customFormat="false" ht="18" hidden="false" customHeight="true" outlineLevel="0" collapsed="false">
      <c r="A2257" s="25" t="s">
        <v>9</v>
      </c>
      <c r="B2257" s="26" t="s">
        <v>179</v>
      </c>
      <c r="C2257" s="27" t="s">
        <v>81</v>
      </c>
      <c r="D2257" s="28" t="n">
        <v>0</v>
      </c>
      <c r="E2257" s="28" t="n">
        <v>1</v>
      </c>
      <c r="F2257" s="29" t="n">
        <f aca="false">'📋 Matches'!E25</f>
        <v>0</v>
      </c>
      <c r="G2257" s="29" t="n">
        <f aca="false">'📋 Matches'!F25</f>
        <v>0</v>
      </c>
      <c r="H2257" s="22" t="str">
        <f aca="false">IF(AND(ISNUMBER(F2257),ISNUMBER(G2257)),IF(SIGN(D2257-E2257)=SIGN(F2257-G2257),48,0),"")</f>
        <v/>
      </c>
      <c r="I2257" s="22" t="str">
        <f aca="false">IF(AND(ISNUMBER(F2257),ISNUMBER(G2257)),IF(D2257=F2257,15,0),"")</f>
        <v/>
      </c>
      <c r="J2257" s="22" t="str">
        <f aca="false">IF(AND(ISNUMBER(F2257),ISNUMBER(G2257)),IF(E2257=G2257,15,0),"")</f>
        <v/>
      </c>
      <c r="K2257" s="22" t="str">
        <f aca="false">IF(AND(ISNUMBER(F2257),ISNUMBER(G2257)),IF(ABS(D2257-E2257)=ABS(F2257-G2257),12,0),"")</f>
        <v/>
      </c>
      <c r="L2257" s="23" t="str">
        <f aca="false">IF(ISNUMBER(H2257),H2257+I2257+J2257+K2257,"")</f>
        <v/>
      </c>
    </row>
    <row r="2258" customFormat="false" ht="18" hidden="false" customHeight="true" outlineLevel="0" collapsed="false">
      <c r="A2258" s="25" t="s">
        <v>84</v>
      </c>
      <c r="B2258" s="26" t="s">
        <v>179</v>
      </c>
      <c r="C2258" s="27" t="s">
        <v>85</v>
      </c>
      <c r="D2258" s="28"/>
      <c r="E2258" s="28"/>
      <c r="F2258" s="29" t="n">
        <f aca="false">'📋 Matches'!E26</f>
        <v>0</v>
      </c>
      <c r="G2258" s="29" t="n">
        <f aca="false">'📋 Matches'!F26</f>
        <v>0</v>
      </c>
      <c r="H2258" s="30" t="s">
        <v>148</v>
      </c>
      <c r="I2258" s="30" t="s">
        <v>148</v>
      </c>
      <c r="J2258" s="30" t="s">
        <v>148</v>
      </c>
      <c r="K2258" s="30" t="s">
        <v>148</v>
      </c>
      <c r="L2258" s="30" t="s">
        <v>148</v>
      </c>
    </row>
    <row r="2259" customFormat="false" ht="18" hidden="false" customHeight="true" outlineLevel="0" collapsed="false">
      <c r="A2259" s="25" t="s">
        <v>84</v>
      </c>
      <c r="B2259" s="26" t="s">
        <v>179</v>
      </c>
      <c r="C2259" s="27" t="s">
        <v>87</v>
      </c>
      <c r="D2259" s="28"/>
      <c r="E2259" s="28"/>
      <c r="F2259" s="29" t="n">
        <f aca="false">'📋 Matches'!E27</f>
        <v>0</v>
      </c>
      <c r="G2259" s="29" t="n">
        <f aca="false">'📋 Matches'!F27</f>
        <v>0</v>
      </c>
      <c r="H2259" s="30" t="s">
        <v>148</v>
      </c>
      <c r="I2259" s="30" t="s">
        <v>148</v>
      </c>
      <c r="J2259" s="30" t="s">
        <v>148</v>
      </c>
      <c r="K2259" s="30" t="s">
        <v>148</v>
      </c>
      <c r="L2259" s="30" t="s">
        <v>148</v>
      </c>
    </row>
    <row r="2260" customFormat="false" ht="18" hidden="false" customHeight="true" outlineLevel="0" collapsed="false">
      <c r="A2260" s="25" t="s">
        <v>84</v>
      </c>
      <c r="B2260" s="26" t="s">
        <v>179</v>
      </c>
      <c r="C2260" s="27" t="s">
        <v>89</v>
      </c>
      <c r="D2260" s="28"/>
      <c r="E2260" s="28"/>
      <c r="F2260" s="29" t="n">
        <f aca="false">'📋 Matches'!E28</f>
        <v>0</v>
      </c>
      <c r="G2260" s="29" t="n">
        <f aca="false">'📋 Matches'!F28</f>
        <v>0</v>
      </c>
      <c r="H2260" s="30" t="s">
        <v>148</v>
      </c>
      <c r="I2260" s="30" t="s">
        <v>148</v>
      </c>
      <c r="J2260" s="30" t="s">
        <v>148</v>
      </c>
      <c r="K2260" s="30" t="s">
        <v>148</v>
      </c>
      <c r="L2260" s="30" t="s">
        <v>148</v>
      </c>
    </row>
    <row r="2261" customFormat="false" ht="18" hidden="false" customHeight="true" outlineLevel="0" collapsed="false">
      <c r="A2261" s="25" t="s">
        <v>84</v>
      </c>
      <c r="B2261" s="26" t="s">
        <v>179</v>
      </c>
      <c r="C2261" s="27" t="s">
        <v>90</v>
      </c>
      <c r="D2261" s="28"/>
      <c r="E2261" s="28"/>
      <c r="F2261" s="29" t="n">
        <f aca="false">'📋 Matches'!E29</f>
        <v>0</v>
      </c>
      <c r="G2261" s="29" t="n">
        <f aca="false">'📋 Matches'!F29</f>
        <v>0</v>
      </c>
      <c r="H2261" s="30" t="s">
        <v>148</v>
      </c>
      <c r="I2261" s="30" t="s">
        <v>148</v>
      </c>
      <c r="J2261" s="30" t="s">
        <v>148</v>
      </c>
      <c r="K2261" s="30" t="s">
        <v>148</v>
      </c>
      <c r="L2261" s="30" t="s">
        <v>148</v>
      </c>
    </row>
    <row r="2262" customFormat="false" ht="18" hidden="false" customHeight="true" outlineLevel="0" collapsed="false">
      <c r="A2262" s="25" t="s">
        <v>84</v>
      </c>
      <c r="B2262" s="26" t="s">
        <v>179</v>
      </c>
      <c r="C2262" s="27" t="s">
        <v>91</v>
      </c>
      <c r="D2262" s="28"/>
      <c r="E2262" s="28"/>
      <c r="F2262" s="29" t="n">
        <f aca="false">'📋 Matches'!E30</f>
        <v>0</v>
      </c>
      <c r="G2262" s="29" t="n">
        <f aca="false">'📋 Matches'!F30</f>
        <v>0</v>
      </c>
      <c r="H2262" s="30" t="s">
        <v>148</v>
      </c>
      <c r="I2262" s="30" t="s">
        <v>148</v>
      </c>
      <c r="J2262" s="30" t="s">
        <v>148</v>
      </c>
      <c r="K2262" s="30" t="s">
        <v>148</v>
      </c>
      <c r="L2262" s="30" t="s">
        <v>148</v>
      </c>
    </row>
    <row r="2263" customFormat="false" ht="18" hidden="false" customHeight="true" outlineLevel="0" collapsed="false">
      <c r="A2263" s="25" t="s">
        <v>84</v>
      </c>
      <c r="B2263" s="26" t="s">
        <v>179</v>
      </c>
      <c r="C2263" s="27" t="s">
        <v>92</v>
      </c>
      <c r="D2263" s="28"/>
      <c r="E2263" s="28"/>
      <c r="F2263" s="29" t="n">
        <f aca="false">'📋 Matches'!E31</f>
        <v>0</v>
      </c>
      <c r="G2263" s="29" t="n">
        <f aca="false">'📋 Matches'!F31</f>
        <v>0</v>
      </c>
      <c r="H2263" s="30" t="s">
        <v>148</v>
      </c>
      <c r="I2263" s="30" t="s">
        <v>148</v>
      </c>
      <c r="J2263" s="30" t="s">
        <v>148</v>
      </c>
      <c r="K2263" s="30" t="s">
        <v>148</v>
      </c>
      <c r="L2263" s="30" t="s">
        <v>148</v>
      </c>
    </row>
    <row r="2264" customFormat="false" ht="18" hidden="false" customHeight="true" outlineLevel="0" collapsed="false">
      <c r="A2264" s="25" t="s">
        <v>84</v>
      </c>
      <c r="B2264" s="26" t="s">
        <v>179</v>
      </c>
      <c r="C2264" s="27" t="s">
        <v>93</v>
      </c>
      <c r="D2264" s="28"/>
      <c r="E2264" s="28"/>
      <c r="F2264" s="29" t="n">
        <f aca="false">'📋 Matches'!E32</f>
        <v>0</v>
      </c>
      <c r="G2264" s="29" t="n">
        <f aca="false">'📋 Matches'!F32</f>
        <v>0</v>
      </c>
      <c r="H2264" s="30" t="s">
        <v>148</v>
      </c>
      <c r="I2264" s="30" t="s">
        <v>148</v>
      </c>
      <c r="J2264" s="30" t="s">
        <v>148</v>
      </c>
      <c r="K2264" s="30" t="s">
        <v>148</v>
      </c>
      <c r="L2264" s="30" t="s">
        <v>148</v>
      </c>
    </row>
    <row r="2265" customFormat="false" ht="18" hidden="false" customHeight="true" outlineLevel="0" collapsed="false">
      <c r="A2265" s="25" t="s">
        <v>84</v>
      </c>
      <c r="B2265" s="26" t="s">
        <v>179</v>
      </c>
      <c r="C2265" s="27" t="s">
        <v>94</v>
      </c>
      <c r="D2265" s="28"/>
      <c r="E2265" s="28"/>
      <c r="F2265" s="29" t="n">
        <f aca="false">'📋 Matches'!E33</f>
        <v>0</v>
      </c>
      <c r="G2265" s="29" t="n">
        <f aca="false">'📋 Matches'!F33</f>
        <v>0</v>
      </c>
      <c r="H2265" s="30" t="s">
        <v>148</v>
      </c>
      <c r="I2265" s="30" t="s">
        <v>148</v>
      </c>
      <c r="J2265" s="30" t="s">
        <v>148</v>
      </c>
      <c r="K2265" s="30" t="s">
        <v>148</v>
      </c>
      <c r="L2265" s="30" t="s">
        <v>148</v>
      </c>
    </row>
    <row r="2266" customFormat="false" ht="18" hidden="false" customHeight="true" outlineLevel="0" collapsed="false">
      <c r="A2266" s="25" t="s">
        <v>84</v>
      </c>
      <c r="B2266" s="26" t="s">
        <v>179</v>
      </c>
      <c r="C2266" s="27" t="s">
        <v>96</v>
      </c>
      <c r="D2266" s="28"/>
      <c r="E2266" s="28"/>
      <c r="F2266" s="29" t="n">
        <f aca="false">'📋 Matches'!E34</f>
        <v>0</v>
      </c>
      <c r="G2266" s="29" t="n">
        <f aca="false">'📋 Matches'!F34</f>
        <v>0</v>
      </c>
      <c r="H2266" s="30" t="s">
        <v>148</v>
      </c>
      <c r="I2266" s="30" t="s">
        <v>148</v>
      </c>
      <c r="J2266" s="30" t="s">
        <v>148</v>
      </c>
      <c r="K2266" s="30" t="s">
        <v>148</v>
      </c>
      <c r="L2266" s="30" t="s">
        <v>148</v>
      </c>
    </row>
    <row r="2267" customFormat="false" ht="18" hidden="false" customHeight="true" outlineLevel="0" collapsed="false">
      <c r="A2267" s="25" t="s">
        <v>84</v>
      </c>
      <c r="B2267" s="26" t="s">
        <v>179</v>
      </c>
      <c r="C2267" s="27" t="s">
        <v>97</v>
      </c>
      <c r="D2267" s="28"/>
      <c r="E2267" s="28"/>
      <c r="F2267" s="29" t="n">
        <f aca="false">'📋 Matches'!E35</f>
        <v>0</v>
      </c>
      <c r="G2267" s="29" t="n">
        <f aca="false">'📋 Matches'!F35</f>
        <v>0</v>
      </c>
      <c r="H2267" s="30" t="s">
        <v>148</v>
      </c>
      <c r="I2267" s="30" t="s">
        <v>148</v>
      </c>
      <c r="J2267" s="30" t="s">
        <v>148</v>
      </c>
      <c r="K2267" s="30" t="s">
        <v>148</v>
      </c>
      <c r="L2267" s="30" t="s">
        <v>148</v>
      </c>
    </row>
    <row r="2268" customFormat="false" ht="18" hidden="false" customHeight="true" outlineLevel="0" collapsed="false">
      <c r="A2268" s="25" t="s">
        <v>84</v>
      </c>
      <c r="B2268" s="26" t="s">
        <v>179</v>
      </c>
      <c r="C2268" s="27" t="s">
        <v>98</v>
      </c>
      <c r="D2268" s="28"/>
      <c r="E2268" s="28"/>
      <c r="F2268" s="29" t="n">
        <f aca="false">'📋 Matches'!E36</f>
        <v>0</v>
      </c>
      <c r="G2268" s="29" t="n">
        <f aca="false">'📋 Matches'!F36</f>
        <v>0</v>
      </c>
      <c r="H2268" s="30" t="s">
        <v>148</v>
      </c>
      <c r="I2268" s="30" t="s">
        <v>148</v>
      </c>
      <c r="J2268" s="30" t="s">
        <v>148</v>
      </c>
      <c r="K2268" s="30" t="s">
        <v>148</v>
      </c>
      <c r="L2268" s="30" t="s">
        <v>148</v>
      </c>
    </row>
    <row r="2269" customFormat="false" ht="18" hidden="false" customHeight="true" outlineLevel="0" collapsed="false">
      <c r="A2269" s="25" t="s">
        <v>84</v>
      </c>
      <c r="B2269" s="26" t="s">
        <v>179</v>
      </c>
      <c r="C2269" s="27" t="s">
        <v>100</v>
      </c>
      <c r="D2269" s="28"/>
      <c r="E2269" s="28"/>
      <c r="F2269" s="29" t="n">
        <f aca="false">'📋 Matches'!E37</f>
        <v>0</v>
      </c>
      <c r="G2269" s="29" t="n">
        <f aca="false">'📋 Matches'!F37</f>
        <v>0</v>
      </c>
      <c r="H2269" s="30" t="s">
        <v>148</v>
      </c>
      <c r="I2269" s="30" t="s">
        <v>148</v>
      </c>
      <c r="J2269" s="30" t="s">
        <v>148</v>
      </c>
      <c r="K2269" s="30" t="s">
        <v>148</v>
      </c>
      <c r="L2269" s="30" t="s">
        <v>148</v>
      </c>
    </row>
    <row r="2270" customFormat="false" ht="18" hidden="false" customHeight="true" outlineLevel="0" collapsed="false">
      <c r="A2270" s="25" t="s">
        <v>84</v>
      </c>
      <c r="B2270" s="26" t="s">
        <v>179</v>
      </c>
      <c r="C2270" s="27" t="s">
        <v>101</v>
      </c>
      <c r="D2270" s="28"/>
      <c r="E2270" s="28"/>
      <c r="F2270" s="29" t="n">
        <f aca="false">'📋 Matches'!E38</f>
        <v>0</v>
      </c>
      <c r="G2270" s="29" t="n">
        <f aca="false">'📋 Matches'!F38</f>
        <v>0</v>
      </c>
      <c r="H2270" s="30" t="s">
        <v>148</v>
      </c>
      <c r="I2270" s="30" t="s">
        <v>148</v>
      </c>
      <c r="J2270" s="30" t="s">
        <v>148</v>
      </c>
      <c r="K2270" s="30" t="s">
        <v>148</v>
      </c>
      <c r="L2270" s="30" t="s">
        <v>148</v>
      </c>
    </row>
    <row r="2271" customFormat="false" ht="18" hidden="false" customHeight="true" outlineLevel="0" collapsed="false">
      <c r="A2271" s="25" t="s">
        <v>84</v>
      </c>
      <c r="B2271" s="26" t="s">
        <v>179</v>
      </c>
      <c r="C2271" s="27" t="s">
        <v>102</v>
      </c>
      <c r="D2271" s="28"/>
      <c r="E2271" s="28"/>
      <c r="F2271" s="29" t="n">
        <f aca="false">'📋 Matches'!E39</f>
        <v>0</v>
      </c>
      <c r="G2271" s="29" t="n">
        <f aca="false">'📋 Matches'!F39</f>
        <v>0</v>
      </c>
      <c r="H2271" s="30" t="s">
        <v>148</v>
      </c>
      <c r="I2271" s="30" t="s">
        <v>148</v>
      </c>
      <c r="J2271" s="30" t="s">
        <v>148</v>
      </c>
      <c r="K2271" s="30" t="s">
        <v>148</v>
      </c>
      <c r="L2271" s="30" t="s">
        <v>148</v>
      </c>
    </row>
    <row r="2272" customFormat="false" ht="18" hidden="false" customHeight="true" outlineLevel="0" collapsed="false">
      <c r="A2272" s="25" t="s">
        <v>84</v>
      </c>
      <c r="B2272" s="26" t="s">
        <v>179</v>
      </c>
      <c r="C2272" s="27" t="s">
        <v>103</v>
      </c>
      <c r="D2272" s="28"/>
      <c r="E2272" s="28"/>
      <c r="F2272" s="29" t="n">
        <f aca="false">'📋 Matches'!E40</f>
        <v>0</v>
      </c>
      <c r="G2272" s="29" t="n">
        <f aca="false">'📋 Matches'!F40</f>
        <v>0</v>
      </c>
      <c r="H2272" s="30" t="s">
        <v>148</v>
      </c>
      <c r="I2272" s="30" t="s">
        <v>148</v>
      </c>
      <c r="J2272" s="30" t="s">
        <v>148</v>
      </c>
      <c r="K2272" s="30" t="s">
        <v>148</v>
      </c>
      <c r="L2272" s="30" t="s">
        <v>148</v>
      </c>
    </row>
    <row r="2273" customFormat="false" ht="18" hidden="false" customHeight="true" outlineLevel="0" collapsed="false">
      <c r="A2273" s="25" t="s">
        <v>84</v>
      </c>
      <c r="B2273" s="26" t="s">
        <v>179</v>
      </c>
      <c r="C2273" s="27" t="s">
        <v>104</v>
      </c>
      <c r="D2273" s="28"/>
      <c r="E2273" s="28"/>
      <c r="F2273" s="29" t="n">
        <f aca="false">'📋 Matches'!E41</f>
        <v>0</v>
      </c>
      <c r="G2273" s="29" t="n">
        <f aca="false">'📋 Matches'!F41</f>
        <v>0</v>
      </c>
      <c r="H2273" s="30" t="s">
        <v>148</v>
      </c>
      <c r="I2273" s="30" t="s">
        <v>148</v>
      </c>
      <c r="J2273" s="30" t="s">
        <v>148</v>
      </c>
      <c r="K2273" s="30" t="s">
        <v>148</v>
      </c>
      <c r="L2273" s="30" t="s">
        <v>148</v>
      </c>
    </row>
    <row r="2274" customFormat="false" ht="18" hidden="false" customHeight="true" outlineLevel="0" collapsed="false">
      <c r="A2274" s="25" t="s">
        <v>84</v>
      </c>
      <c r="B2274" s="26" t="s">
        <v>179</v>
      </c>
      <c r="C2274" s="27" t="s">
        <v>105</v>
      </c>
      <c r="D2274" s="28"/>
      <c r="E2274" s="28"/>
      <c r="F2274" s="29" t="n">
        <f aca="false">'📋 Matches'!E42</f>
        <v>0</v>
      </c>
      <c r="G2274" s="29" t="n">
        <f aca="false">'📋 Matches'!F42</f>
        <v>0</v>
      </c>
      <c r="H2274" s="30" t="s">
        <v>148</v>
      </c>
      <c r="I2274" s="30" t="s">
        <v>148</v>
      </c>
      <c r="J2274" s="30" t="s">
        <v>148</v>
      </c>
      <c r="K2274" s="30" t="s">
        <v>148</v>
      </c>
      <c r="L2274" s="30" t="s">
        <v>148</v>
      </c>
    </row>
    <row r="2275" customFormat="false" ht="18" hidden="false" customHeight="true" outlineLevel="0" collapsed="false">
      <c r="A2275" s="25" t="s">
        <v>84</v>
      </c>
      <c r="B2275" s="26" t="s">
        <v>179</v>
      </c>
      <c r="C2275" s="27" t="s">
        <v>106</v>
      </c>
      <c r="D2275" s="28"/>
      <c r="E2275" s="28"/>
      <c r="F2275" s="29" t="n">
        <f aca="false">'📋 Matches'!E43</f>
        <v>0</v>
      </c>
      <c r="G2275" s="29" t="n">
        <f aca="false">'📋 Matches'!F43</f>
        <v>0</v>
      </c>
      <c r="H2275" s="30" t="s">
        <v>148</v>
      </c>
      <c r="I2275" s="30" t="s">
        <v>148</v>
      </c>
      <c r="J2275" s="30" t="s">
        <v>148</v>
      </c>
      <c r="K2275" s="30" t="s">
        <v>148</v>
      </c>
      <c r="L2275" s="30" t="s">
        <v>148</v>
      </c>
    </row>
    <row r="2276" customFormat="false" ht="18" hidden="false" customHeight="true" outlineLevel="0" collapsed="false">
      <c r="A2276" s="25" t="s">
        <v>84</v>
      </c>
      <c r="B2276" s="26" t="s">
        <v>179</v>
      </c>
      <c r="C2276" s="27" t="s">
        <v>107</v>
      </c>
      <c r="D2276" s="28"/>
      <c r="E2276" s="28"/>
      <c r="F2276" s="29" t="n">
        <f aca="false">'📋 Matches'!E44</f>
        <v>0</v>
      </c>
      <c r="G2276" s="29" t="n">
        <f aca="false">'📋 Matches'!F44</f>
        <v>0</v>
      </c>
      <c r="H2276" s="30" t="s">
        <v>148</v>
      </c>
      <c r="I2276" s="30" t="s">
        <v>148</v>
      </c>
      <c r="J2276" s="30" t="s">
        <v>148</v>
      </c>
      <c r="K2276" s="30" t="s">
        <v>148</v>
      </c>
      <c r="L2276" s="30" t="s">
        <v>148</v>
      </c>
    </row>
    <row r="2277" customFormat="false" ht="18" hidden="false" customHeight="true" outlineLevel="0" collapsed="false">
      <c r="A2277" s="25" t="s">
        <v>84</v>
      </c>
      <c r="B2277" s="26" t="s">
        <v>179</v>
      </c>
      <c r="C2277" s="27" t="s">
        <v>108</v>
      </c>
      <c r="D2277" s="28"/>
      <c r="E2277" s="28"/>
      <c r="F2277" s="29" t="n">
        <f aca="false">'📋 Matches'!E45</f>
        <v>0</v>
      </c>
      <c r="G2277" s="29" t="n">
        <f aca="false">'📋 Matches'!F45</f>
        <v>0</v>
      </c>
      <c r="H2277" s="30" t="s">
        <v>148</v>
      </c>
      <c r="I2277" s="30" t="s">
        <v>148</v>
      </c>
      <c r="J2277" s="30" t="s">
        <v>148</v>
      </c>
      <c r="K2277" s="30" t="s">
        <v>148</v>
      </c>
      <c r="L2277" s="30" t="s">
        <v>148</v>
      </c>
    </row>
    <row r="2278" customFormat="false" ht="18" hidden="false" customHeight="true" outlineLevel="0" collapsed="false">
      <c r="A2278" s="25" t="s">
        <v>84</v>
      </c>
      <c r="B2278" s="26" t="s">
        <v>179</v>
      </c>
      <c r="C2278" s="27" t="s">
        <v>109</v>
      </c>
      <c r="D2278" s="28"/>
      <c r="E2278" s="28"/>
      <c r="F2278" s="29" t="n">
        <f aca="false">'📋 Matches'!E46</f>
        <v>0</v>
      </c>
      <c r="G2278" s="29" t="n">
        <f aca="false">'📋 Matches'!F46</f>
        <v>0</v>
      </c>
      <c r="H2278" s="30" t="s">
        <v>148</v>
      </c>
      <c r="I2278" s="30" t="s">
        <v>148</v>
      </c>
      <c r="J2278" s="30" t="s">
        <v>148</v>
      </c>
      <c r="K2278" s="30" t="s">
        <v>148</v>
      </c>
      <c r="L2278" s="30" t="s">
        <v>148</v>
      </c>
    </row>
    <row r="2279" customFormat="false" ht="18" hidden="false" customHeight="true" outlineLevel="0" collapsed="false">
      <c r="A2279" s="25" t="s">
        <v>84</v>
      </c>
      <c r="B2279" s="26" t="s">
        <v>179</v>
      </c>
      <c r="C2279" s="27" t="s">
        <v>110</v>
      </c>
      <c r="D2279" s="28"/>
      <c r="E2279" s="28"/>
      <c r="F2279" s="29" t="n">
        <f aca="false">'📋 Matches'!E47</f>
        <v>0</v>
      </c>
      <c r="G2279" s="29" t="n">
        <f aca="false">'📋 Matches'!F47</f>
        <v>0</v>
      </c>
      <c r="H2279" s="30" t="s">
        <v>148</v>
      </c>
      <c r="I2279" s="30" t="s">
        <v>148</v>
      </c>
      <c r="J2279" s="30" t="s">
        <v>148</v>
      </c>
      <c r="K2279" s="30" t="s">
        <v>148</v>
      </c>
      <c r="L2279" s="30" t="s">
        <v>148</v>
      </c>
    </row>
    <row r="2280" customFormat="false" ht="18" hidden="false" customHeight="true" outlineLevel="0" collapsed="false">
      <c r="A2280" s="25" t="s">
        <v>84</v>
      </c>
      <c r="B2280" s="26" t="s">
        <v>179</v>
      </c>
      <c r="C2280" s="27" t="s">
        <v>111</v>
      </c>
      <c r="D2280" s="28"/>
      <c r="E2280" s="28"/>
      <c r="F2280" s="29" t="n">
        <f aca="false">'📋 Matches'!E48</f>
        <v>0</v>
      </c>
      <c r="G2280" s="29" t="n">
        <f aca="false">'📋 Matches'!F48</f>
        <v>0</v>
      </c>
      <c r="H2280" s="30" t="s">
        <v>148</v>
      </c>
      <c r="I2280" s="30" t="s">
        <v>148</v>
      </c>
      <c r="J2280" s="30" t="s">
        <v>148</v>
      </c>
      <c r="K2280" s="30" t="s">
        <v>148</v>
      </c>
      <c r="L2280" s="30" t="s">
        <v>148</v>
      </c>
    </row>
    <row r="2281" customFormat="false" ht="18" hidden="false" customHeight="true" outlineLevel="0" collapsed="false">
      <c r="A2281" s="25" t="s">
        <v>84</v>
      </c>
      <c r="B2281" s="26" t="s">
        <v>179</v>
      </c>
      <c r="C2281" s="27" t="s">
        <v>112</v>
      </c>
      <c r="D2281" s="28"/>
      <c r="E2281" s="28"/>
      <c r="F2281" s="29" t="n">
        <f aca="false">'📋 Matches'!E49</f>
        <v>0</v>
      </c>
      <c r="G2281" s="29" t="n">
        <f aca="false">'📋 Matches'!F49</f>
        <v>0</v>
      </c>
      <c r="H2281" s="30" t="s">
        <v>148</v>
      </c>
      <c r="I2281" s="30" t="s">
        <v>148</v>
      </c>
      <c r="J2281" s="30" t="s">
        <v>148</v>
      </c>
      <c r="K2281" s="30" t="s">
        <v>148</v>
      </c>
      <c r="L2281" s="30" t="s">
        <v>148</v>
      </c>
    </row>
    <row r="2282" customFormat="false" ht="18" hidden="false" customHeight="true" outlineLevel="0" collapsed="false">
      <c r="A2282" s="25" t="s">
        <v>114</v>
      </c>
      <c r="B2282" s="26" t="s">
        <v>179</v>
      </c>
      <c r="C2282" s="27" t="s">
        <v>115</v>
      </c>
      <c r="D2282" s="28"/>
      <c r="E2282" s="28"/>
      <c r="F2282" s="29" t="n">
        <f aca="false">'📋 Matches'!E50</f>
        <v>0</v>
      </c>
      <c r="G2282" s="29" t="n">
        <f aca="false">'📋 Matches'!F50</f>
        <v>0</v>
      </c>
      <c r="H2282" s="30" t="s">
        <v>148</v>
      </c>
      <c r="I2282" s="30" t="s">
        <v>148</v>
      </c>
      <c r="J2282" s="30" t="s">
        <v>148</v>
      </c>
      <c r="K2282" s="30" t="s">
        <v>148</v>
      </c>
      <c r="L2282" s="30" t="s">
        <v>148</v>
      </c>
    </row>
    <row r="2283" customFormat="false" ht="18" hidden="false" customHeight="true" outlineLevel="0" collapsed="false">
      <c r="A2283" s="25" t="s">
        <v>114</v>
      </c>
      <c r="B2283" s="26" t="s">
        <v>179</v>
      </c>
      <c r="C2283" s="27" t="s">
        <v>116</v>
      </c>
      <c r="D2283" s="28"/>
      <c r="E2283" s="28"/>
      <c r="F2283" s="29" t="n">
        <f aca="false">'📋 Matches'!E51</f>
        <v>0</v>
      </c>
      <c r="G2283" s="29" t="n">
        <f aca="false">'📋 Matches'!F51</f>
        <v>0</v>
      </c>
      <c r="H2283" s="30" t="s">
        <v>148</v>
      </c>
      <c r="I2283" s="30" t="s">
        <v>148</v>
      </c>
      <c r="J2283" s="30" t="s">
        <v>148</v>
      </c>
      <c r="K2283" s="30" t="s">
        <v>148</v>
      </c>
      <c r="L2283" s="30" t="s">
        <v>148</v>
      </c>
    </row>
    <row r="2284" customFormat="false" ht="18" hidden="false" customHeight="true" outlineLevel="0" collapsed="false">
      <c r="A2284" s="25" t="s">
        <v>114</v>
      </c>
      <c r="B2284" s="26" t="s">
        <v>179</v>
      </c>
      <c r="C2284" s="27" t="s">
        <v>117</v>
      </c>
      <c r="D2284" s="28"/>
      <c r="E2284" s="28"/>
      <c r="F2284" s="29" t="n">
        <f aca="false">'📋 Matches'!E52</f>
        <v>0</v>
      </c>
      <c r="G2284" s="29" t="n">
        <f aca="false">'📋 Matches'!F52</f>
        <v>0</v>
      </c>
      <c r="H2284" s="30" t="s">
        <v>148</v>
      </c>
      <c r="I2284" s="30" t="s">
        <v>148</v>
      </c>
      <c r="J2284" s="30" t="s">
        <v>148</v>
      </c>
      <c r="K2284" s="30" t="s">
        <v>148</v>
      </c>
      <c r="L2284" s="30" t="s">
        <v>148</v>
      </c>
    </row>
    <row r="2285" customFormat="false" ht="18" hidden="false" customHeight="true" outlineLevel="0" collapsed="false">
      <c r="A2285" s="25" t="s">
        <v>114</v>
      </c>
      <c r="B2285" s="26" t="s">
        <v>179</v>
      </c>
      <c r="C2285" s="27" t="s">
        <v>118</v>
      </c>
      <c r="D2285" s="28"/>
      <c r="E2285" s="28"/>
      <c r="F2285" s="29" t="n">
        <f aca="false">'📋 Matches'!E53</f>
        <v>0</v>
      </c>
      <c r="G2285" s="29" t="n">
        <f aca="false">'📋 Matches'!F53</f>
        <v>0</v>
      </c>
      <c r="H2285" s="30" t="s">
        <v>148</v>
      </c>
      <c r="I2285" s="30" t="s">
        <v>148</v>
      </c>
      <c r="J2285" s="30" t="s">
        <v>148</v>
      </c>
      <c r="K2285" s="30" t="s">
        <v>148</v>
      </c>
      <c r="L2285" s="30" t="s">
        <v>148</v>
      </c>
    </row>
    <row r="2286" customFormat="false" ht="18" hidden="false" customHeight="true" outlineLevel="0" collapsed="false">
      <c r="A2286" s="25" t="s">
        <v>114</v>
      </c>
      <c r="B2286" s="26" t="s">
        <v>179</v>
      </c>
      <c r="C2286" s="27" t="s">
        <v>119</v>
      </c>
      <c r="D2286" s="28"/>
      <c r="E2286" s="28"/>
      <c r="F2286" s="29" t="n">
        <f aca="false">'📋 Matches'!E54</f>
        <v>0</v>
      </c>
      <c r="G2286" s="29" t="n">
        <f aca="false">'📋 Matches'!F54</f>
        <v>0</v>
      </c>
      <c r="H2286" s="30" t="s">
        <v>148</v>
      </c>
      <c r="I2286" s="30" t="s">
        <v>148</v>
      </c>
      <c r="J2286" s="30" t="s">
        <v>148</v>
      </c>
      <c r="K2286" s="30" t="s">
        <v>148</v>
      </c>
      <c r="L2286" s="30" t="s">
        <v>148</v>
      </c>
    </row>
    <row r="2287" customFormat="false" ht="18" hidden="false" customHeight="true" outlineLevel="0" collapsed="false">
      <c r="A2287" s="25" t="s">
        <v>114</v>
      </c>
      <c r="B2287" s="26" t="s">
        <v>179</v>
      </c>
      <c r="C2287" s="27" t="s">
        <v>120</v>
      </c>
      <c r="D2287" s="28"/>
      <c r="E2287" s="28"/>
      <c r="F2287" s="29" t="n">
        <f aca="false">'📋 Matches'!E55</f>
        <v>0</v>
      </c>
      <c r="G2287" s="29" t="n">
        <f aca="false">'📋 Matches'!F55</f>
        <v>0</v>
      </c>
      <c r="H2287" s="30" t="s">
        <v>148</v>
      </c>
      <c r="I2287" s="30" t="s">
        <v>148</v>
      </c>
      <c r="J2287" s="30" t="s">
        <v>148</v>
      </c>
      <c r="K2287" s="30" t="s">
        <v>148</v>
      </c>
      <c r="L2287" s="30" t="s">
        <v>148</v>
      </c>
    </row>
    <row r="2288" customFormat="false" ht="18" hidden="false" customHeight="true" outlineLevel="0" collapsed="false">
      <c r="A2288" s="25" t="s">
        <v>114</v>
      </c>
      <c r="B2288" s="26" t="s">
        <v>179</v>
      </c>
      <c r="C2288" s="27" t="s">
        <v>121</v>
      </c>
      <c r="D2288" s="28"/>
      <c r="E2288" s="28"/>
      <c r="F2288" s="29" t="n">
        <f aca="false">'📋 Matches'!E56</f>
        <v>0</v>
      </c>
      <c r="G2288" s="29" t="n">
        <f aca="false">'📋 Matches'!F56</f>
        <v>0</v>
      </c>
      <c r="H2288" s="30" t="s">
        <v>148</v>
      </c>
      <c r="I2288" s="30" t="s">
        <v>148</v>
      </c>
      <c r="J2288" s="30" t="s">
        <v>148</v>
      </c>
      <c r="K2288" s="30" t="s">
        <v>148</v>
      </c>
      <c r="L2288" s="30" t="s">
        <v>148</v>
      </c>
    </row>
    <row r="2289" customFormat="false" ht="18" hidden="false" customHeight="true" outlineLevel="0" collapsed="false">
      <c r="A2289" s="25" t="s">
        <v>114</v>
      </c>
      <c r="B2289" s="26" t="s">
        <v>179</v>
      </c>
      <c r="C2289" s="27" t="s">
        <v>122</v>
      </c>
      <c r="D2289" s="28"/>
      <c r="E2289" s="28"/>
      <c r="F2289" s="29" t="n">
        <f aca="false">'📋 Matches'!E57</f>
        <v>0</v>
      </c>
      <c r="G2289" s="29" t="n">
        <f aca="false">'📋 Matches'!F57</f>
        <v>0</v>
      </c>
      <c r="H2289" s="30" t="s">
        <v>148</v>
      </c>
      <c r="I2289" s="30" t="s">
        <v>148</v>
      </c>
      <c r="J2289" s="30" t="s">
        <v>148</v>
      </c>
      <c r="K2289" s="30" t="s">
        <v>148</v>
      </c>
      <c r="L2289" s="30" t="s">
        <v>148</v>
      </c>
    </row>
    <row r="2290" customFormat="false" ht="18" hidden="false" customHeight="true" outlineLevel="0" collapsed="false">
      <c r="A2290" s="25" t="s">
        <v>114</v>
      </c>
      <c r="B2290" s="26" t="s">
        <v>179</v>
      </c>
      <c r="C2290" s="27" t="s">
        <v>123</v>
      </c>
      <c r="D2290" s="28"/>
      <c r="E2290" s="28"/>
      <c r="F2290" s="29" t="n">
        <f aca="false">'📋 Matches'!E58</f>
        <v>0</v>
      </c>
      <c r="G2290" s="29" t="n">
        <f aca="false">'📋 Matches'!F58</f>
        <v>0</v>
      </c>
      <c r="H2290" s="30" t="s">
        <v>148</v>
      </c>
      <c r="I2290" s="30" t="s">
        <v>148</v>
      </c>
      <c r="J2290" s="30" t="s">
        <v>148</v>
      </c>
      <c r="K2290" s="30" t="s">
        <v>148</v>
      </c>
      <c r="L2290" s="30" t="s">
        <v>148</v>
      </c>
    </row>
    <row r="2291" customFormat="false" ht="18" hidden="false" customHeight="true" outlineLevel="0" collapsed="false">
      <c r="A2291" s="25" t="s">
        <v>114</v>
      </c>
      <c r="B2291" s="26" t="s">
        <v>179</v>
      </c>
      <c r="C2291" s="27" t="s">
        <v>124</v>
      </c>
      <c r="D2291" s="28"/>
      <c r="E2291" s="28"/>
      <c r="F2291" s="29" t="n">
        <f aca="false">'📋 Matches'!E59</f>
        <v>0</v>
      </c>
      <c r="G2291" s="29" t="n">
        <f aca="false">'📋 Matches'!F59</f>
        <v>0</v>
      </c>
      <c r="H2291" s="30" t="s">
        <v>148</v>
      </c>
      <c r="I2291" s="30" t="s">
        <v>148</v>
      </c>
      <c r="J2291" s="30" t="s">
        <v>148</v>
      </c>
      <c r="K2291" s="30" t="s">
        <v>148</v>
      </c>
      <c r="L2291" s="30" t="s">
        <v>148</v>
      </c>
    </row>
    <row r="2292" customFormat="false" ht="18" hidden="false" customHeight="true" outlineLevel="0" collapsed="false">
      <c r="A2292" s="25" t="s">
        <v>114</v>
      </c>
      <c r="B2292" s="26" t="s">
        <v>179</v>
      </c>
      <c r="C2292" s="27" t="s">
        <v>125</v>
      </c>
      <c r="D2292" s="28"/>
      <c r="E2292" s="28"/>
      <c r="F2292" s="29" t="n">
        <f aca="false">'📋 Matches'!E60</f>
        <v>0</v>
      </c>
      <c r="G2292" s="29" t="n">
        <f aca="false">'📋 Matches'!F60</f>
        <v>0</v>
      </c>
      <c r="H2292" s="30" t="s">
        <v>148</v>
      </c>
      <c r="I2292" s="30" t="s">
        <v>148</v>
      </c>
      <c r="J2292" s="30" t="s">
        <v>148</v>
      </c>
      <c r="K2292" s="30" t="s">
        <v>148</v>
      </c>
      <c r="L2292" s="30" t="s">
        <v>148</v>
      </c>
    </row>
    <row r="2293" customFormat="false" ht="18" hidden="false" customHeight="true" outlineLevel="0" collapsed="false">
      <c r="A2293" s="25" t="s">
        <v>114</v>
      </c>
      <c r="B2293" s="26" t="s">
        <v>179</v>
      </c>
      <c r="C2293" s="27" t="s">
        <v>126</v>
      </c>
      <c r="D2293" s="28"/>
      <c r="E2293" s="28"/>
      <c r="F2293" s="29" t="n">
        <f aca="false">'📋 Matches'!E61</f>
        <v>0</v>
      </c>
      <c r="G2293" s="29" t="n">
        <f aca="false">'📋 Matches'!F61</f>
        <v>0</v>
      </c>
      <c r="H2293" s="30" t="s">
        <v>148</v>
      </c>
      <c r="I2293" s="30" t="s">
        <v>148</v>
      </c>
      <c r="J2293" s="30" t="s">
        <v>148</v>
      </c>
      <c r="K2293" s="30" t="s">
        <v>148</v>
      </c>
      <c r="L2293" s="30" t="s">
        <v>148</v>
      </c>
    </row>
    <row r="2294" customFormat="false" ht="18" hidden="false" customHeight="true" outlineLevel="0" collapsed="false">
      <c r="A2294" s="25" t="s">
        <v>114</v>
      </c>
      <c r="B2294" s="26" t="s">
        <v>179</v>
      </c>
      <c r="C2294" s="27" t="s">
        <v>127</v>
      </c>
      <c r="D2294" s="28"/>
      <c r="E2294" s="28"/>
      <c r="F2294" s="29" t="n">
        <f aca="false">'📋 Matches'!E62</f>
        <v>0</v>
      </c>
      <c r="G2294" s="29" t="n">
        <f aca="false">'📋 Matches'!F62</f>
        <v>0</v>
      </c>
      <c r="H2294" s="30" t="s">
        <v>148</v>
      </c>
      <c r="I2294" s="30" t="s">
        <v>148</v>
      </c>
      <c r="J2294" s="30" t="s">
        <v>148</v>
      </c>
      <c r="K2294" s="30" t="s">
        <v>148</v>
      </c>
      <c r="L2294" s="30" t="s">
        <v>148</v>
      </c>
    </row>
    <row r="2295" customFormat="false" ht="18" hidden="false" customHeight="true" outlineLevel="0" collapsed="false">
      <c r="A2295" s="25" t="s">
        <v>114</v>
      </c>
      <c r="B2295" s="26" t="s">
        <v>179</v>
      </c>
      <c r="C2295" s="27" t="s">
        <v>128</v>
      </c>
      <c r="D2295" s="28"/>
      <c r="E2295" s="28"/>
      <c r="F2295" s="29" t="n">
        <f aca="false">'📋 Matches'!E63</f>
        <v>0</v>
      </c>
      <c r="G2295" s="29" t="n">
        <f aca="false">'📋 Matches'!F63</f>
        <v>0</v>
      </c>
      <c r="H2295" s="30" t="s">
        <v>148</v>
      </c>
      <c r="I2295" s="30" t="s">
        <v>148</v>
      </c>
      <c r="J2295" s="30" t="s">
        <v>148</v>
      </c>
      <c r="K2295" s="30" t="s">
        <v>148</v>
      </c>
      <c r="L2295" s="30" t="s">
        <v>148</v>
      </c>
    </row>
    <row r="2296" customFormat="false" ht="18" hidden="false" customHeight="true" outlineLevel="0" collapsed="false">
      <c r="A2296" s="25" t="s">
        <v>114</v>
      </c>
      <c r="B2296" s="26" t="s">
        <v>179</v>
      </c>
      <c r="C2296" s="27" t="s">
        <v>129</v>
      </c>
      <c r="D2296" s="28"/>
      <c r="E2296" s="28"/>
      <c r="F2296" s="29" t="n">
        <f aca="false">'📋 Matches'!E64</f>
        <v>0</v>
      </c>
      <c r="G2296" s="29" t="n">
        <f aca="false">'📋 Matches'!F64</f>
        <v>0</v>
      </c>
      <c r="H2296" s="30" t="s">
        <v>148</v>
      </c>
      <c r="I2296" s="30" t="s">
        <v>148</v>
      </c>
      <c r="J2296" s="30" t="s">
        <v>148</v>
      </c>
      <c r="K2296" s="30" t="s">
        <v>148</v>
      </c>
      <c r="L2296" s="30" t="s">
        <v>148</v>
      </c>
    </row>
    <row r="2297" customFormat="false" ht="18" hidden="false" customHeight="true" outlineLevel="0" collapsed="false">
      <c r="A2297" s="25" t="s">
        <v>114</v>
      </c>
      <c r="B2297" s="26" t="s">
        <v>179</v>
      </c>
      <c r="C2297" s="27" t="s">
        <v>130</v>
      </c>
      <c r="D2297" s="28"/>
      <c r="E2297" s="28"/>
      <c r="F2297" s="29" t="n">
        <f aca="false">'📋 Matches'!E65</f>
        <v>0</v>
      </c>
      <c r="G2297" s="29" t="n">
        <f aca="false">'📋 Matches'!F65</f>
        <v>0</v>
      </c>
      <c r="H2297" s="30" t="s">
        <v>148</v>
      </c>
      <c r="I2297" s="30" t="s">
        <v>148</v>
      </c>
      <c r="J2297" s="30" t="s">
        <v>148</v>
      </c>
      <c r="K2297" s="30" t="s">
        <v>148</v>
      </c>
      <c r="L2297" s="30" t="s">
        <v>148</v>
      </c>
    </row>
    <row r="2298" customFormat="false" ht="18" hidden="false" customHeight="true" outlineLevel="0" collapsed="false">
      <c r="A2298" s="25" t="s">
        <v>114</v>
      </c>
      <c r="B2298" s="26" t="s">
        <v>179</v>
      </c>
      <c r="C2298" s="27" t="s">
        <v>131</v>
      </c>
      <c r="D2298" s="28"/>
      <c r="E2298" s="28"/>
      <c r="F2298" s="29" t="n">
        <f aca="false">'📋 Matches'!E66</f>
        <v>0</v>
      </c>
      <c r="G2298" s="29" t="n">
        <f aca="false">'📋 Matches'!F66</f>
        <v>0</v>
      </c>
      <c r="H2298" s="30" t="s">
        <v>148</v>
      </c>
      <c r="I2298" s="30" t="s">
        <v>148</v>
      </c>
      <c r="J2298" s="30" t="s">
        <v>148</v>
      </c>
      <c r="K2298" s="30" t="s">
        <v>148</v>
      </c>
      <c r="L2298" s="30" t="s">
        <v>148</v>
      </c>
    </row>
    <row r="2299" customFormat="false" ht="18" hidden="false" customHeight="true" outlineLevel="0" collapsed="false">
      <c r="A2299" s="25" t="s">
        <v>114</v>
      </c>
      <c r="B2299" s="26" t="s">
        <v>179</v>
      </c>
      <c r="C2299" s="27" t="s">
        <v>132</v>
      </c>
      <c r="D2299" s="28"/>
      <c r="E2299" s="28"/>
      <c r="F2299" s="29" t="n">
        <f aca="false">'📋 Matches'!E67</f>
        <v>0</v>
      </c>
      <c r="G2299" s="29" t="n">
        <f aca="false">'📋 Matches'!F67</f>
        <v>0</v>
      </c>
      <c r="H2299" s="30" t="s">
        <v>148</v>
      </c>
      <c r="I2299" s="30" t="s">
        <v>148</v>
      </c>
      <c r="J2299" s="30" t="s">
        <v>148</v>
      </c>
      <c r="K2299" s="30" t="s">
        <v>148</v>
      </c>
      <c r="L2299" s="30" t="s">
        <v>148</v>
      </c>
    </row>
    <row r="2300" customFormat="false" ht="18" hidden="false" customHeight="true" outlineLevel="0" collapsed="false">
      <c r="A2300" s="25" t="s">
        <v>114</v>
      </c>
      <c r="B2300" s="26" t="s">
        <v>179</v>
      </c>
      <c r="C2300" s="27" t="s">
        <v>133</v>
      </c>
      <c r="D2300" s="28"/>
      <c r="E2300" s="28"/>
      <c r="F2300" s="29" t="n">
        <f aca="false">'📋 Matches'!E68</f>
        <v>0</v>
      </c>
      <c r="G2300" s="29" t="n">
        <f aca="false">'📋 Matches'!F68</f>
        <v>0</v>
      </c>
      <c r="H2300" s="30" t="s">
        <v>148</v>
      </c>
      <c r="I2300" s="30" t="s">
        <v>148</v>
      </c>
      <c r="J2300" s="30" t="s">
        <v>148</v>
      </c>
      <c r="K2300" s="30" t="s">
        <v>148</v>
      </c>
      <c r="L2300" s="30" t="s">
        <v>148</v>
      </c>
    </row>
    <row r="2301" customFormat="false" ht="18" hidden="false" customHeight="true" outlineLevel="0" collapsed="false">
      <c r="A2301" s="25" t="s">
        <v>114</v>
      </c>
      <c r="B2301" s="26" t="s">
        <v>179</v>
      </c>
      <c r="C2301" s="27" t="s">
        <v>134</v>
      </c>
      <c r="D2301" s="28"/>
      <c r="E2301" s="28"/>
      <c r="F2301" s="29" t="n">
        <f aca="false">'📋 Matches'!E69</f>
        <v>0</v>
      </c>
      <c r="G2301" s="29" t="n">
        <f aca="false">'📋 Matches'!F69</f>
        <v>0</v>
      </c>
      <c r="H2301" s="30" t="s">
        <v>148</v>
      </c>
      <c r="I2301" s="30" t="s">
        <v>148</v>
      </c>
      <c r="J2301" s="30" t="s">
        <v>148</v>
      </c>
      <c r="K2301" s="30" t="s">
        <v>148</v>
      </c>
      <c r="L2301" s="30" t="s">
        <v>148</v>
      </c>
    </row>
    <row r="2302" customFormat="false" ht="18" hidden="false" customHeight="true" outlineLevel="0" collapsed="false">
      <c r="A2302" s="25" t="s">
        <v>114</v>
      </c>
      <c r="B2302" s="26" t="s">
        <v>179</v>
      </c>
      <c r="C2302" s="27" t="s">
        <v>135</v>
      </c>
      <c r="D2302" s="28"/>
      <c r="E2302" s="28"/>
      <c r="F2302" s="29" t="n">
        <f aca="false">'📋 Matches'!E70</f>
        <v>0</v>
      </c>
      <c r="G2302" s="29" t="n">
        <f aca="false">'📋 Matches'!F70</f>
        <v>0</v>
      </c>
      <c r="H2302" s="30" t="s">
        <v>148</v>
      </c>
      <c r="I2302" s="30" t="s">
        <v>148</v>
      </c>
      <c r="J2302" s="30" t="s">
        <v>148</v>
      </c>
      <c r="K2302" s="30" t="s">
        <v>148</v>
      </c>
      <c r="L2302" s="30" t="s">
        <v>148</v>
      </c>
    </row>
    <row r="2303" customFormat="false" ht="18" hidden="false" customHeight="true" outlineLevel="0" collapsed="false">
      <c r="A2303" s="25" t="s">
        <v>114</v>
      </c>
      <c r="B2303" s="26" t="s">
        <v>179</v>
      </c>
      <c r="C2303" s="27" t="s">
        <v>136</v>
      </c>
      <c r="D2303" s="28"/>
      <c r="E2303" s="28"/>
      <c r="F2303" s="29" t="n">
        <f aca="false">'📋 Matches'!E71</f>
        <v>0</v>
      </c>
      <c r="G2303" s="29" t="n">
        <f aca="false">'📋 Matches'!F71</f>
        <v>0</v>
      </c>
      <c r="H2303" s="30" t="s">
        <v>148</v>
      </c>
      <c r="I2303" s="30" t="s">
        <v>148</v>
      </c>
      <c r="J2303" s="30" t="s">
        <v>148</v>
      </c>
      <c r="K2303" s="30" t="s">
        <v>148</v>
      </c>
      <c r="L2303" s="30" t="s">
        <v>148</v>
      </c>
    </row>
    <row r="2304" customFormat="false" ht="18" hidden="false" customHeight="true" outlineLevel="0" collapsed="false">
      <c r="A2304" s="25" t="s">
        <v>114</v>
      </c>
      <c r="B2304" s="26" t="s">
        <v>179</v>
      </c>
      <c r="C2304" s="27" t="s">
        <v>137</v>
      </c>
      <c r="D2304" s="28"/>
      <c r="E2304" s="28"/>
      <c r="F2304" s="29" t="n">
        <f aca="false">'📋 Matches'!E72</f>
        <v>0</v>
      </c>
      <c r="G2304" s="29" t="n">
        <f aca="false">'📋 Matches'!F72</f>
        <v>0</v>
      </c>
      <c r="H2304" s="30" t="s">
        <v>148</v>
      </c>
      <c r="I2304" s="30" t="s">
        <v>148</v>
      </c>
      <c r="J2304" s="30" t="s">
        <v>148</v>
      </c>
      <c r="K2304" s="30" t="s">
        <v>148</v>
      </c>
      <c r="L2304" s="30" t="s">
        <v>148</v>
      </c>
    </row>
    <row r="2305" customFormat="false" ht="18" hidden="false" customHeight="true" outlineLevel="0" collapsed="false">
      <c r="A2305" s="25" t="s">
        <v>114</v>
      </c>
      <c r="B2305" s="26" t="s">
        <v>179</v>
      </c>
      <c r="C2305" s="27" t="s">
        <v>138</v>
      </c>
      <c r="D2305" s="28"/>
      <c r="E2305" s="28"/>
      <c r="F2305" s="29" t="n">
        <f aca="false">'📋 Matches'!E73</f>
        <v>0</v>
      </c>
      <c r="G2305" s="29" t="n">
        <f aca="false">'📋 Matches'!F73</f>
        <v>0</v>
      </c>
      <c r="H2305" s="30" t="s">
        <v>148</v>
      </c>
      <c r="I2305" s="30" t="s">
        <v>148</v>
      </c>
      <c r="J2305" s="30" t="s">
        <v>148</v>
      </c>
      <c r="K2305" s="30" t="s">
        <v>148</v>
      </c>
      <c r="L2305" s="30" t="s">
        <v>148</v>
      </c>
    </row>
    <row r="2306" customFormat="false" ht="18" hidden="false" customHeight="true" outlineLevel="0" collapsed="false">
      <c r="A2306" s="17" t="s">
        <v>9</v>
      </c>
      <c r="B2306" s="18" t="s">
        <v>180</v>
      </c>
      <c r="C2306" s="19" t="s">
        <v>10</v>
      </c>
      <c r="D2306" s="20" t="n">
        <v>3</v>
      </c>
      <c r="E2306" s="20" t="n">
        <v>0</v>
      </c>
      <c r="F2306" s="21" t="n">
        <f aca="false">'📋 Matches'!E2</f>
        <v>2</v>
      </c>
      <c r="G2306" s="21" t="n">
        <f aca="false">'📋 Matches'!F2</f>
        <v>0</v>
      </c>
      <c r="H2306" s="22" t="n">
        <f aca="false">IF(AND(ISNUMBER(F2306),ISNUMBER(G2306)),IF(SIGN(D2306-E2306)=SIGN(F2306-G2306),48,0),"")</f>
        <v>48</v>
      </c>
      <c r="I2306" s="22" t="n">
        <f aca="false">IF(AND(ISNUMBER(F2306),ISNUMBER(G2306)),IF(D2306=F2306,15,0),"")</f>
        <v>0</v>
      </c>
      <c r="J2306" s="22" t="n">
        <f aca="false">IF(AND(ISNUMBER(F2306),ISNUMBER(G2306)),IF(E2306=G2306,15,0),"")</f>
        <v>15</v>
      </c>
      <c r="K2306" s="22" t="n">
        <f aca="false">IF(AND(ISNUMBER(F2306),ISNUMBER(G2306)),IF(ABS(D2306-E2306)=ABS(F2306-G2306),12,0),"")</f>
        <v>0</v>
      </c>
      <c r="L2306" s="23" t="n">
        <f aca="false">IF(ISNUMBER(H2306),H2306+I2306+J2306+K2306,"")</f>
        <v>63</v>
      </c>
    </row>
    <row r="2307" customFormat="false" ht="18" hidden="false" customHeight="true" outlineLevel="0" collapsed="false">
      <c r="A2307" s="17" t="s">
        <v>9</v>
      </c>
      <c r="B2307" s="18" t="s">
        <v>180</v>
      </c>
      <c r="C2307" s="19" t="s">
        <v>14</v>
      </c>
      <c r="D2307" s="20" t="n">
        <v>2</v>
      </c>
      <c r="E2307" s="20" t="n">
        <v>1</v>
      </c>
      <c r="F2307" s="21" t="n">
        <f aca="false">'📋 Matches'!E3</f>
        <v>2</v>
      </c>
      <c r="G2307" s="21" t="n">
        <f aca="false">'📋 Matches'!F3</f>
        <v>1</v>
      </c>
      <c r="H2307" s="22" t="n">
        <f aca="false">IF(AND(ISNUMBER(F2307),ISNUMBER(G2307)),IF(SIGN(D2307-E2307)=SIGN(F2307-G2307),48,0),"")</f>
        <v>48</v>
      </c>
      <c r="I2307" s="22" t="n">
        <f aca="false">IF(AND(ISNUMBER(F2307),ISNUMBER(G2307)),IF(D2307=F2307,15,0),"")</f>
        <v>15</v>
      </c>
      <c r="J2307" s="22" t="n">
        <f aca="false">IF(AND(ISNUMBER(F2307),ISNUMBER(G2307)),IF(E2307=G2307,15,0),"")</f>
        <v>15</v>
      </c>
      <c r="K2307" s="22" t="n">
        <f aca="false">IF(AND(ISNUMBER(F2307),ISNUMBER(G2307)),IF(ABS(D2307-E2307)=ABS(F2307-G2307),12,0),"")</f>
        <v>12</v>
      </c>
      <c r="L2307" s="23" t="n">
        <f aca="false">IF(ISNUMBER(H2307),H2307+I2307+J2307+K2307,"")</f>
        <v>90</v>
      </c>
    </row>
    <row r="2308" customFormat="false" ht="18" hidden="false" customHeight="true" outlineLevel="0" collapsed="false">
      <c r="A2308" s="17" t="s">
        <v>9</v>
      </c>
      <c r="B2308" s="18" t="s">
        <v>180</v>
      </c>
      <c r="C2308" s="19" t="s">
        <v>17</v>
      </c>
      <c r="D2308" s="20" t="n">
        <v>2</v>
      </c>
      <c r="E2308" s="20" t="n">
        <v>2</v>
      </c>
      <c r="F2308" s="21" t="n">
        <f aca="false">'📋 Matches'!E4</f>
        <v>1</v>
      </c>
      <c r="G2308" s="21" t="n">
        <f aca="false">'📋 Matches'!F4</f>
        <v>1</v>
      </c>
      <c r="H2308" s="22" t="n">
        <f aca="false">IF(AND(ISNUMBER(F2308),ISNUMBER(G2308)),IF(SIGN(D2308-E2308)=SIGN(F2308-G2308),48,0),"")</f>
        <v>48</v>
      </c>
      <c r="I2308" s="22" t="n">
        <f aca="false">IF(AND(ISNUMBER(F2308),ISNUMBER(G2308)),IF(D2308=F2308,15,0),"")</f>
        <v>0</v>
      </c>
      <c r="J2308" s="22" t="n">
        <f aca="false">IF(AND(ISNUMBER(F2308),ISNUMBER(G2308)),IF(E2308=G2308,15,0),"")</f>
        <v>0</v>
      </c>
      <c r="K2308" s="22" t="n">
        <f aca="false">IF(AND(ISNUMBER(F2308),ISNUMBER(G2308)),IF(ABS(D2308-E2308)=ABS(F2308-G2308),12,0),"")</f>
        <v>12</v>
      </c>
      <c r="L2308" s="23" t="n">
        <f aca="false">IF(ISNUMBER(H2308),H2308+I2308+J2308+K2308,"")</f>
        <v>60</v>
      </c>
    </row>
    <row r="2309" customFormat="false" ht="18" hidden="false" customHeight="true" outlineLevel="0" collapsed="false">
      <c r="A2309" s="17" t="s">
        <v>9</v>
      </c>
      <c r="B2309" s="18" t="s">
        <v>180</v>
      </c>
      <c r="C2309" s="19" t="s">
        <v>20</v>
      </c>
      <c r="D2309" s="20" t="n">
        <v>2</v>
      </c>
      <c r="E2309" s="20" t="n">
        <v>0</v>
      </c>
      <c r="F2309" s="21" t="n">
        <f aca="false">'📋 Matches'!E5</f>
        <v>4</v>
      </c>
      <c r="G2309" s="21" t="n">
        <f aca="false">'📋 Matches'!F5</f>
        <v>1</v>
      </c>
      <c r="H2309" s="22" t="n">
        <f aca="false">IF(AND(ISNUMBER(F2309),ISNUMBER(G2309)),IF(SIGN(D2309-E2309)=SIGN(F2309-G2309),48,0),"")</f>
        <v>48</v>
      </c>
      <c r="I2309" s="22" t="n">
        <f aca="false">IF(AND(ISNUMBER(F2309),ISNUMBER(G2309)),IF(D2309=F2309,15,0),"")</f>
        <v>0</v>
      </c>
      <c r="J2309" s="22" t="n">
        <f aca="false">IF(AND(ISNUMBER(F2309),ISNUMBER(G2309)),IF(E2309=G2309,15,0),"")</f>
        <v>0</v>
      </c>
      <c r="K2309" s="22" t="n">
        <f aca="false">IF(AND(ISNUMBER(F2309),ISNUMBER(G2309)),IF(ABS(D2309-E2309)=ABS(F2309-G2309),12,0),"")</f>
        <v>0</v>
      </c>
      <c r="L2309" s="23" t="n">
        <f aca="false">IF(ISNUMBER(H2309),H2309+I2309+J2309+K2309,"")</f>
        <v>48</v>
      </c>
    </row>
    <row r="2310" customFormat="false" ht="18" hidden="false" customHeight="true" outlineLevel="0" collapsed="false">
      <c r="A2310" s="17" t="s">
        <v>9</v>
      </c>
      <c r="B2310" s="18" t="s">
        <v>180</v>
      </c>
      <c r="C2310" s="19" t="s">
        <v>23</v>
      </c>
      <c r="D2310" s="20" t="n">
        <v>1</v>
      </c>
      <c r="E2310" s="20" t="n">
        <v>4</v>
      </c>
      <c r="F2310" s="21" t="n">
        <f aca="false">'📋 Matches'!E6</f>
        <v>0</v>
      </c>
      <c r="G2310" s="21" t="n">
        <f aca="false">'📋 Matches'!F6</f>
        <v>0</v>
      </c>
      <c r="H2310" s="22" t="str">
        <f aca="false">IF(AND(ISNUMBER(F2310),ISNUMBER(G2310)),IF(SIGN(D2310-E2310)=SIGN(F2310-G2310),48,0),"")</f>
        <v/>
      </c>
      <c r="I2310" s="22" t="str">
        <f aca="false">IF(AND(ISNUMBER(F2310),ISNUMBER(G2310)),IF(D2310=F2310,15,0),"")</f>
        <v/>
      </c>
      <c r="J2310" s="22" t="str">
        <f aca="false">IF(AND(ISNUMBER(F2310),ISNUMBER(G2310)),IF(E2310=G2310,15,0),"")</f>
        <v/>
      </c>
      <c r="K2310" s="22" t="str">
        <f aca="false">IF(AND(ISNUMBER(F2310),ISNUMBER(G2310)),IF(ABS(D2310-E2310)=ABS(F2310-G2310),12,0),"")</f>
        <v/>
      </c>
      <c r="L2310" s="23" t="str">
        <f aca="false">IF(ISNUMBER(H2310),H2310+I2310+J2310+K2310,"")</f>
        <v/>
      </c>
    </row>
    <row r="2311" customFormat="false" ht="18" hidden="false" customHeight="true" outlineLevel="0" collapsed="false">
      <c r="A2311" s="17" t="s">
        <v>9</v>
      </c>
      <c r="B2311" s="18" t="s">
        <v>180</v>
      </c>
      <c r="C2311" s="19" t="s">
        <v>27</v>
      </c>
      <c r="D2311" s="20" t="n">
        <v>1</v>
      </c>
      <c r="E2311" s="20" t="n">
        <v>1</v>
      </c>
      <c r="F2311" s="21" t="n">
        <f aca="false">'📋 Matches'!E7</f>
        <v>0</v>
      </c>
      <c r="G2311" s="21" t="n">
        <f aca="false">'📋 Matches'!F7</f>
        <v>0</v>
      </c>
      <c r="H2311" s="22" t="str">
        <f aca="false">IF(AND(ISNUMBER(F2311),ISNUMBER(G2311)),IF(SIGN(D2311-E2311)=SIGN(F2311-G2311),48,0),"")</f>
        <v/>
      </c>
      <c r="I2311" s="22" t="str">
        <f aca="false">IF(AND(ISNUMBER(F2311),ISNUMBER(G2311)),IF(D2311=F2311,15,0),"")</f>
        <v/>
      </c>
      <c r="J2311" s="22" t="str">
        <f aca="false">IF(AND(ISNUMBER(F2311),ISNUMBER(G2311)),IF(E2311=G2311,15,0),"")</f>
        <v/>
      </c>
      <c r="K2311" s="22" t="str">
        <f aca="false">IF(AND(ISNUMBER(F2311),ISNUMBER(G2311)),IF(ABS(D2311-E2311)=ABS(F2311-G2311),12,0),"")</f>
        <v/>
      </c>
      <c r="L2311" s="23" t="str">
        <f aca="false">IF(ISNUMBER(H2311),H2311+I2311+J2311+K2311,"")</f>
        <v/>
      </c>
    </row>
    <row r="2312" customFormat="false" ht="18" hidden="false" customHeight="true" outlineLevel="0" collapsed="false">
      <c r="A2312" s="17" t="s">
        <v>9</v>
      </c>
      <c r="B2312" s="18" t="s">
        <v>180</v>
      </c>
      <c r="C2312" s="19" t="s">
        <v>30</v>
      </c>
      <c r="D2312" s="20" t="n">
        <v>0</v>
      </c>
      <c r="E2312" s="20" t="n">
        <v>3</v>
      </c>
      <c r="F2312" s="21" t="n">
        <f aca="false">'📋 Matches'!E8</f>
        <v>0</v>
      </c>
      <c r="G2312" s="21" t="n">
        <f aca="false">'📋 Matches'!F8</f>
        <v>0</v>
      </c>
      <c r="H2312" s="22" t="str">
        <f aca="false">IF(AND(ISNUMBER(F2312),ISNUMBER(G2312)),IF(SIGN(D2312-E2312)=SIGN(F2312-G2312),48,0),"")</f>
        <v/>
      </c>
      <c r="I2312" s="22" t="str">
        <f aca="false">IF(AND(ISNUMBER(F2312),ISNUMBER(G2312)),IF(D2312=F2312,15,0),"")</f>
        <v/>
      </c>
      <c r="J2312" s="22" t="str">
        <f aca="false">IF(AND(ISNUMBER(F2312),ISNUMBER(G2312)),IF(E2312=G2312,15,0),"")</f>
        <v/>
      </c>
      <c r="K2312" s="22" t="str">
        <f aca="false">IF(AND(ISNUMBER(F2312),ISNUMBER(G2312)),IF(ABS(D2312-E2312)=ABS(F2312-G2312),12,0),"")</f>
        <v/>
      </c>
      <c r="L2312" s="23" t="str">
        <f aca="false">IF(ISNUMBER(H2312),H2312+I2312+J2312+K2312,"")</f>
        <v/>
      </c>
    </row>
    <row r="2313" customFormat="false" ht="18" hidden="false" customHeight="true" outlineLevel="0" collapsed="false">
      <c r="A2313" s="17" t="s">
        <v>9</v>
      </c>
      <c r="B2313" s="18" t="s">
        <v>180</v>
      </c>
      <c r="C2313" s="19" t="s">
        <v>33</v>
      </c>
      <c r="D2313" s="20" t="n">
        <v>1</v>
      </c>
      <c r="E2313" s="20" t="n">
        <v>2</v>
      </c>
      <c r="F2313" s="21" t="n">
        <f aca="false">'📋 Matches'!E9</f>
        <v>0</v>
      </c>
      <c r="G2313" s="21" t="n">
        <f aca="false">'📋 Matches'!F9</f>
        <v>0</v>
      </c>
      <c r="H2313" s="22" t="str">
        <f aca="false">IF(AND(ISNUMBER(F2313),ISNUMBER(G2313)),IF(SIGN(D2313-E2313)=SIGN(F2313-G2313),48,0),"")</f>
        <v/>
      </c>
      <c r="I2313" s="22" t="str">
        <f aca="false">IF(AND(ISNUMBER(F2313),ISNUMBER(G2313)),IF(D2313=F2313,15,0),"")</f>
        <v/>
      </c>
      <c r="J2313" s="22" t="str">
        <f aca="false">IF(AND(ISNUMBER(F2313),ISNUMBER(G2313)),IF(E2313=G2313,15,0),"")</f>
        <v/>
      </c>
      <c r="K2313" s="22" t="str">
        <f aca="false">IF(AND(ISNUMBER(F2313),ISNUMBER(G2313)),IF(ABS(D2313-E2313)=ABS(F2313-G2313),12,0),"")</f>
        <v/>
      </c>
      <c r="L2313" s="23" t="str">
        <f aca="false">IF(ISNUMBER(H2313),H2313+I2313+J2313+K2313,"")</f>
        <v/>
      </c>
    </row>
    <row r="2314" customFormat="false" ht="18" hidden="false" customHeight="true" outlineLevel="0" collapsed="false">
      <c r="A2314" s="17" t="s">
        <v>9</v>
      </c>
      <c r="B2314" s="18" t="s">
        <v>180</v>
      </c>
      <c r="C2314" s="19" t="s">
        <v>36</v>
      </c>
      <c r="D2314" s="20" t="n">
        <v>6</v>
      </c>
      <c r="E2314" s="20" t="n">
        <v>0</v>
      </c>
      <c r="F2314" s="21" t="n">
        <f aca="false">'📋 Matches'!E10</f>
        <v>0</v>
      </c>
      <c r="G2314" s="21" t="n">
        <f aca="false">'📋 Matches'!F10</f>
        <v>0</v>
      </c>
      <c r="H2314" s="22" t="str">
        <f aca="false">IF(AND(ISNUMBER(F2314),ISNUMBER(G2314)),IF(SIGN(D2314-E2314)=SIGN(F2314-G2314),48,0),"")</f>
        <v/>
      </c>
      <c r="I2314" s="22" t="str">
        <f aca="false">IF(AND(ISNUMBER(F2314),ISNUMBER(G2314)),IF(D2314=F2314,15,0),"")</f>
        <v/>
      </c>
      <c r="J2314" s="22" t="str">
        <f aca="false">IF(AND(ISNUMBER(F2314),ISNUMBER(G2314)),IF(E2314=G2314,15,0),"")</f>
        <v/>
      </c>
      <c r="K2314" s="22" t="str">
        <f aca="false">IF(AND(ISNUMBER(F2314),ISNUMBER(G2314)),IF(ABS(D2314-E2314)=ABS(F2314-G2314),12,0),"")</f>
        <v/>
      </c>
      <c r="L2314" s="23" t="str">
        <f aca="false">IF(ISNUMBER(H2314),H2314+I2314+J2314+K2314,"")</f>
        <v/>
      </c>
    </row>
    <row r="2315" customFormat="false" ht="18" hidden="false" customHeight="true" outlineLevel="0" collapsed="false">
      <c r="A2315" s="17" t="s">
        <v>9</v>
      </c>
      <c r="B2315" s="18" t="s">
        <v>180</v>
      </c>
      <c r="C2315" s="19" t="s">
        <v>39</v>
      </c>
      <c r="D2315" s="20" t="n">
        <v>2</v>
      </c>
      <c r="E2315" s="20" t="n">
        <v>1</v>
      </c>
      <c r="F2315" s="21" t="n">
        <f aca="false">'📋 Matches'!E11</f>
        <v>0</v>
      </c>
      <c r="G2315" s="21" t="n">
        <f aca="false">'📋 Matches'!F11</f>
        <v>0</v>
      </c>
      <c r="H2315" s="22" t="str">
        <f aca="false">IF(AND(ISNUMBER(F2315),ISNUMBER(G2315)),IF(SIGN(D2315-E2315)=SIGN(F2315-G2315),48,0),"")</f>
        <v/>
      </c>
      <c r="I2315" s="22" t="str">
        <f aca="false">IF(AND(ISNUMBER(F2315),ISNUMBER(G2315)),IF(D2315=F2315,15,0),"")</f>
        <v/>
      </c>
      <c r="J2315" s="22" t="str">
        <f aca="false">IF(AND(ISNUMBER(F2315),ISNUMBER(G2315)),IF(E2315=G2315,15,0),"")</f>
        <v/>
      </c>
      <c r="K2315" s="22" t="str">
        <f aca="false">IF(AND(ISNUMBER(F2315),ISNUMBER(G2315)),IF(ABS(D2315-E2315)=ABS(F2315-G2315),12,0),"")</f>
        <v/>
      </c>
      <c r="L2315" s="23" t="str">
        <f aca="false">IF(ISNUMBER(H2315),H2315+I2315+J2315+K2315,"")</f>
        <v/>
      </c>
    </row>
    <row r="2316" customFormat="false" ht="18" hidden="false" customHeight="true" outlineLevel="0" collapsed="false">
      <c r="A2316" s="17" t="s">
        <v>9</v>
      </c>
      <c r="B2316" s="18" t="s">
        <v>180</v>
      </c>
      <c r="C2316" s="19" t="s">
        <v>42</v>
      </c>
      <c r="D2316" s="20" t="n">
        <v>1</v>
      </c>
      <c r="E2316" s="20" t="n">
        <v>1</v>
      </c>
      <c r="F2316" s="21" t="n">
        <f aca="false">'📋 Matches'!E12</f>
        <v>0</v>
      </c>
      <c r="G2316" s="21" t="n">
        <f aca="false">'📋 Matches'!F12</f>
        <v>0</v>
      </c>
      <c r="H2316" s="22" t="str">
        <f aca="false">IF(AND(ISNUMBER(F2316),ISNUMBER(G2316)),IF(SIGN(D2316-E2316)=SIGN(F2316-G2316),48,0),"")</f>
        <v/>
      </c>
      <c r="I2316" s="22" t="str">
        <f aca="false">IF(AND(ISNUMBER(F2316),ISNUMBER(G2316)),IF(D2316=F2316,15,0),"")</f>
        <v/>
      </c>
      <c r="J2316" s="22" t="str">
        <f aca="false">IF(AND(ISNUMBER(F2316),ISNUMBER(G2316)),IF(E2316=G2316,15,0),"")</f>
        <v/>
      </c>
      <c r="K2316" s="22" t="str">
        <f aca="false">IF(AND(ISNUMBER(F2316),ISNUMBER(G2316)),IF(ABS(D2316-E2316)=ABS(F2316-G2316),12,0),"")</f>
        <v/>
      </c>
      <c r="L2316" s="23" t="str">
        <f aca="false">IF(ISNUMBER(H2316),H2316+I2316+J2316+K2316,"")</f>
        <v/>
      </c>
    </row>
    <row r="2317" customFormat="false" ht="18" hidden="false" customHeight="true" outlineLevel="0" collapsed="false">
      <c r="A2317" s="17" t="s">
        <v>9</v>
      </c>
      <c r="B2317" s="18" t="s">
        <v>180</v>
      </c>
      <c r="C2317" s="19" t="s">
        <v>45</v>
      </c>
      <c r="D2317" s="20" t="n">
        <v>2</v>
      </c>
      <c r="E2317" s="20" t="n">
        <v>0</v>
      </c>
      <c r="F2317" s="21" t="n">
        <f aca="false">'📋 Matches'!E13</f>
        <v>0</v>
      </c>
      <c r="G2317" s="21" t="n">
        <f aca="false">'📋 Matches'!F13</f>
        <v>0</v>
      </c>
      <c r="H2317" s="22" t="str">
        <f aca="false">IF(AND(ISNUMBER(F2317),ISNUMBER(G2317)),IF(SIGN(D2317-E2317)=SIGN(F2317-G2317),48,0),"")</f>
        <v/>
      </c>
      <c r="I2317" s="22" t="str">
        <f aca="false">IF(AND(ISNUMBER(F2317),ISNUMBER(G2317)),IF(D2317=F2317,15,0),"")</f>
        <v/>
      </c>
      <c r="J2317" s="22" t="str">
        <f aca="false">IF(AND(ISNUMBER(F2317),ISNUMBER(G2317)),IF(E2317=G2317,15,0),"")</f>
        <v/>
      </c>
      <c r="K2317" s="22" t="str">
        <f aca="false">IF(AND(ISNUMBER(F2317),ISNUMBER(G2317)),IF(ABS(D2317-E2317)=ABS(F2317-G2317),12,0),"")</f>
        <v/>
      </c>
      <c r="L2317" s="23" t="str">
        <f aca="false">IF(ISNUMBER(H2317),H2317+I2317+J2317+K2317,"")</f>
        <v/>
      </c>
    </row>
    <row r="2318" customFormat="false" ht="18" hidden="false" customHeight="true" outlineLevel="0" collapsed="false">
      <c r="A2318" s="17" t="s">
        <v>9</v>
      </c>
      <c r="B2318" s="18" t="s">
        <v>180</v>
      </c>
      <c r="C2318" s="19" t="s">
        <v>48</v>
      </c>
      <c r="D2318" s="20" t="n">
        <v>7</v>
      </c>
      <c r="E2318" s="20" t="n">
        <v>0</v>
      </c>
      <c r="F2318" s="21" t="n">
        <f aca="false">'📋 Matches'!E14</f>
        <v>0</v>
      </c>
      <c r="G2318" s="21" t="n">
        <f aca="false">'📋 Matches'!F14</f>
        <v>0</v>
      </c>
      <c r="H2318" s="22" t="str">
        <f aca="false">IF(AND(ISNUMBER(F2318),ISNUMBER(G2318)),IF(SIGN(D2318-E2318)=SIGN(F2318-G2318),48,0),"")</f>
        <v/>
      </c>
      <c r="I2318" s="22" t="str">
        <f aca="false">IF(AND(ISNUMBER(F2318),ISNUMBER(G2318)),IF(D2318=F2318,15,0),"")</f>
        <v/>
      </c>
      <c r="J2318" s="22" t="str">
        <f aca="false">IF(AND(ISNUMBER(F2318),ISNUMBER(G2318)),IF(E2318=G2318,15,0),"")</f>
        <v/>
      </c>
      <c r="K2318" s="22" t="str">
        <f aca="false">IF(AND(ISNUMBER(F2318),ISNUMBER(G2318)),IF(ABS(D2318-E2318)=ABS(F2318-G2318),12,0),"")</f>
        <v/>
      </c>
      <c r="L2318" s="23" t="str">
        <f aca="false">IF(ISNUMBER(H2318),H2318+I2318+J2318+K2318,"")</f>
        <v/>
      </c>
    </row>
    <row r="2319" customFormat="false" ht="18" hidden="false" customHeight="true" outlineLevel="0" collapsed="false">
      <c r="A2319" s="17" t="s">
        <v>9</v>
      </c>
      <c r="B2319" s="18" t="s">
        <v>180</v>
      </c>
      <c r="C2319" s="19" t="s">
        <v>51</v>
      </c>
      <c r="D2319" s="20" t="n">
        <v>3</v>
      </c>
      <c r="E2319" s="20" t="n">
        <v>0</v>
      </c>
      <c r="F2319" s="21" t="n">
        <f aca="false">'📋 Matches'!E15</f>
        <v>0</v>
      </c>
      <c r="G2319" s="21" t="n">
        <f aca="false">'📋 Matches'!F15</f>
        <v>0</v>
      </c>
      <c r="H2319" s="22" t="str">
        <f aca="false">IF(AND(ISNUMBER(F2319),ISNUMBER(G2319)),IF(SIGN(D2319-E2319)=SIGN(F2319-G2319),48,0),"")</f>
        <v/>
      </c>
      <c r="I2319" s="22" t="str">
        <f aca="false">IF(AND(ISNUMBER(F2319),ISNUMBER(G2319)),IF(D2319=F2319,15,0),"")</f>
        <v/>
      </c>
      <c r="J2319" s="22" t="str">
        <f aca="false">IF(AND(ISNUMBER(F2319),ISNUMBER(G2319)),IF(E2319=G2319,15,0),"")</f>
        <v/>
      </c>
      <c r="K2319" s="22" t="str">
        <f aca="false">IF(AND(ISNUMBER(F2319),ISNUMBER(G2319)),IF(ABS(D2319-E2319)=ABS(F2319-G2319),12,0),"")</f>
        <v/>
      </c>
      <c r="L2319" s="23" t="str">
        <f aca="false">IF(ISNUMBER(H2319),H2319+I2319+J2319+K2319,"")</f>
        <v/>
      </c>
    </row>
    <row r="2320" customFormat="false" ht="18" hidden="false" customHeight="true" outlineLevel="0" collapsed="false">
      <c r="A2320" s="17" t="s">
        <v>9</v>
      </c>
      <c r="B2320" s="18" t="s">
        <v>180</v>
      </c>
      <c r="C2320" s="19" t="s">
        <v>54</v>
      </c>
      <c r="D2320" s="20" t="n">
        <v>1</v>
      </c>
      <c r="E2320" s="20" t="n">
        <v>3</v>
      </c>
      <c r="F2320" s="21" t="n">
        <f aca="false">'📋 Matches'!E16</f>
        <v>0</v>
      </c>
      <c r="G2320" s="21" t="n">
        <f aca="false">'📋 Matches'!F16</f>
        <v>0</v>
      </c>
      <c r="H2320" s="22" t="str">
        <f aca="false">IF(AND(ISNUMBER(F2320),ISNUMBER(G2320)),IF(SIGN(D2320-E2320)=SIGN(F2320-G2320),48,0),"")</f>
        <v/>
      </c>
      <c r="I2320" s="22" t="str">
        <f aca="false">IF(AND(ISNUMBER(F2320),ISNUMBER(G2320)),IF(D2320=F2320,15,0),"")</f>
        <v/>
      </c>
      <c r="J2320" s="22" t="str">
        <f aca="false">IF(AND(ISNUMBER(F2320),ISNUMBER(G2320)),IF(E2320=G2320,15,0),"")</f>
        <v/>
      </c>
      <c r="K2320" s="22" t="str">
        <f aca="false">IF(AND(ISNUMBER(F2320),ISNUMBER(G2320)),IF(ABS(D2320-E2320)=ABS(F2320-G2320),12,0),"")</f>
        <v/>
      </c>
      <c r="L2320" s="23" t="str">
        <f aca="false">IF(ISNUMBER(H2320),H2320+I2320+J2320+K2320,"")</f>
        <v/>
      </c>
    </row>
    <row r="2321" customFormat="false" ht="18" hidden="false" customHeight="true" outlineLevel="0" collapsed="false">
      <c r="A2321" s="17" t="s">
        <v>9</v>
      </c>
      <c r="B2321" s="18" t="s">
        <v>180</v>
      </c>
      <c r="C2321" s="19" t="s">
        <v>57</v>
      </c>
      <c r="D2321" s="20" t="n">
        <v>2</v>
      </c>
      <c r="E2321" s="20" t="n">
        <v>1</v>
      </c>
      <c r="F2321" s="21" t="n">
        <f aca="false">'📋 Matches'!E17</f>
        <v>0</v>
      </c>
      <c r="G2321" s="21" t="n">
        <f aca="false">'📋 Matches'!F17</f>
        <v>0</v>
      </c>
      <c r="H2321" s="22" t="str">
        <f aca="false">IF(AND(ISNUMBER(F2321),ISNUMBER(G2321)),IF(SIGN(D2321-E2321)=SIGN(F2321-G2321),48,0),"")</f>
        <v/>
      </c>
      <c r="I2321" s="22" t="str">
        <f aca="false">IF(AND(ISNUMBER(F2321),ISNUMBER(G2321)),IF(D2321=F2321,15,0),"")</f>
        <v/>
      </c>
      <c r="J2321" s="22" t="str">
        <f aca="false">IF(AND(ISNUMBER(F2321),ISNUMBER(G2321)),IF(E2321=G2321,15,0),"")</f>
        <v/>
      </c>
      <c r="K2321" s="22" t="str">
        <f aca="false">IF(AND(ISNUMBER(F2321),ISNUMBER(G2321)),IF(ABS(D2321-E2321)=ABS(F2321-G2321),12,0),"")</f>
        <v/>
      </c>
      <c r="L2321" s="23" t="str">
        <f aca="false">IF(ISNUMBER(H2321),H2321+I2321+J2321+K2321,"")</f>
        <v/>
      </c>
    </row>
    <row r="2322" customFormat="false" ht="18" hidden="false" customHeight="true" outlineLevel="0" collapsed="false">
      <c r="A2322" s="17" t="s">
        <v>9</v>
      </c>
      <c r="B2322" s="18" t="s">
        <v>180</v>
      </c>
      <c r="C2322" s="19" t="s">
        <v>60</v>
      </c>
      <c r="D2322" s="20" t="n">
        <v>1</v>
      </c>
      <c r="E2322" s="20" t="n">
        <v>0</v>
      </c>
      <c r="F2322" s="21" t="n">
        <f aca="false">'📋 Matches'!E18</f>
        <v>0</v>
      </c>
      <c r="G2322" s="21" t="n">
        <f aca="false">'📋 Matches'!F18</f>
        <v>0</v>
      </c>
      <c r="H2322" s="22" t="str">
        <f aca="false">IF(AND(ISNUMBER(F2322),ISNUMBER(G2322)),IF(SIGN(D2322-E2322)=SIGN(F2322-G2322),48,0),"")</f>
        <v/>
      </c>
      <c r="I2322" s="22" t="str">
        <f aca="false">IF(AND(ISNUMBER(F2322),ISNUMBER(G2322)),IF(D2322=F2322,15,0),"")</f>
        <v/>
      </c>
      <c r="J2322" s="22" t="str">
        <f aca="false">IF(AND(ISNUMBER(F2322),ISNUMBER(G2322)),IF(E2322=G2322,15,0),"")</f>
        <v/>
      </c>
      <c r="K2322" s="22" t="str">
        <f aca="false">IF(AND(ISNUMBER(F2322),ISNUMBER(G2322)),IF(ABS(D2322-E2322)=ABS(F2322-G2322),12,0),"")</f>
        <v/>
      </c>
      <c r="L2322" s="23" t="str">
        <f aca="false">IF(ISNUMBER(H2322),H2322+I2322+J2322+K2322,"")</f>
        <v/>
      </c>
    </row>
    <row r="2323" customFormat="false" ht="18" hidden="false" customHeight="true" outlineLevel="0" collapsed="false">
      <c r="A2323" s="17" t="s">
        <v>9</v>
      </c>
      <c r="B2323" s="18" t="s">
        <v>180</v>
      </c>
      <c r="C2323" s="19" t="s">
        <v>63</v>
      </c>
      <c r="D2323" s="20" t="n">
        <v>1</v>
      </c>
      <c r="E2323" s="20" t="n">
        <v>3</v>
      </c>
      <c r="F2323" s="21" t="n">
        <f aca="false">'📋 Matches'!E19</f>
        <v>0</v>
      </c>
      <c r="G2323" s="21" t="n">
        <f aca="false">'📋 Matches'!F19</f>
        <v>0</v>
      </c>
      <c r="H2323" s="22" t="str">
        <f aca="false">IF(AND(ISNUMBER(F2323),ISNUMBER(G2323)),IF(SIGN(D2323-E2323)=SIGN(F2323-G2323),48,0),"")</f>
        <v/>
      </c>
      <c r="I2323" s="22" t="str">
        <f aca="false">IF(AND(ISNUMBER(F2323),ISNUMBER(G2323)),IF(D2323=F2323,15,0),"")</f>
        <v/>
      </c>
      <c r="J2323" s="22" t="str">
        <f aca="false">IF(AND(ISNUMBER(F2323),ISNUMBER(G2323)),IF(E2323=G2323,15,0),"")</f>
        <v/>
      </c>
      <c r="K2323" s="22" t="str">
        <f aca="false">IF(AND(ISNUMBER(F2323),ISNUMBER(G2323)),IF(ABS(D2323-E2323)=ABS(F2323-G2323),12,0),"")</f>
        <v/>
      </c>
      <c r="L2323" s="23" t="str">
        <f aca="false">IF(ISNUMBER(H2323),H2323+I2323+J2323+K2323,"")</f>
        <v/>
      </c>
    </row>
    <row r="2324" customFormat="false" ht="18" hidden="false" customHeight="true" outlineLevel="0" collapsed="false">
      <c r="A2324" s="17" t="s">
        <v>9</v>
      </c>
      <c r="B2324" s="18" t="s">
        <v>180</v>
      </c>
      <c r="C2324" s="19" t="s">
        <v>66</v>
      </c>
      <c r="D2324" s="20" t="n">
        <v>2</v>
      </c>
      <c r="E2324" s="20" t="n">
        <v>0</v>
      </c>
      <c r="F2324" s="21" t="n">
        <f aca="false">'📋 Matches'!E20</f>
        <v>0</v>
      </c>
      <c r="G2324" s="21" t="n">
        <f aca="false">'📋 Matches'!F20</f>
        <v>0</v>
      </c>
      <c r="H2324" s="22" t="str">
        <f aca="false">IF(AND(ISNUMBER(F2324),ISNUMBER(G2324)),IF(SIGN(D2324-E2324)=SIGN(F2324-G2324),48,0),"")</f>
        <v/>
      </c>
      <c r="I2324" s="22" t="str">
        <f aca="false">IF(AND(ISNUMBER(F2324),ISNUMBER(G2324)),IF(D2324=F2324,15,0),"")</f>
        <v/>
      </c>
      <c r="J2324" s="22" t="str">
        <f aca="false">IF(AND(ISNUMBER(F2324),ISNUMBER(G2324)),IF(E2324=G2324,15,0),"")</f>
        <v/>
      </c>
      <c r="K2324" s="22" t="str">
        <f aca="false">IF(AND(ISNUMBER(F2324),ISNUMBER(G2324)),IF(ABS(D2324-E2324)=ABS(F2324-G2324),12,0),"")</f>
        <v/>
      </c>
      <c r="L2324" s="23" t="str">
        <f aca="false">IF(ISNUMBER(H2324),H2324+I2324+J2324+K2324,"")</f>
        <v/>
      </c>
    </row>
    <row r="2325" customFormat="false" ht="18" hidden="false" customHeight="true" outlineLevel="0" collapsed="false">
      <c r="A2325" s="17" t="s">
        <v>9</v>
      </c>
      <c r="B2325" s="18" t="s">
        <v>180</v>
      </c>
      <c r="C2325" s="19" t="s">
        <v>69</v>
      </c>
      <c r="D2325" s="20" t="n">
        <v>2</v>
      </c>
      <c r="E2325" s="20" t="n">
        <v>0</v>
      </c>
      <c r="F2325" s="21" t="n">
        <f aca="false">'📋 Matches'!E21</f>
        <v>0</v>
      </c>
      <c r="G2325" s="21" t="n">
        <f aca="false">'📋 Matches'!F21</f>
        <v>0</v>
      </c>
      <c r="H2325" s="22" t="str">
        <f aca="false">IF(AND(ISNUMBER(F2325),ISNUMBER(G2325)),IF(SIGN(D2325-E2325)=SIGN(F2325-G2325),48,0),"")</f>
        <v/>
      </c>
      <c r="I2325" s="22" t="str">
        <f aca="false">IF(AND(ISNUMBER(F2325),ISNUMBER(G2325)),IF(D2325=F2325,15,0),"")</f>
        <v/>
      </c>
      <c r="J2325" s="22" t="str">
        <f aca="false">IF(AND(ISNUMBER(F2325),ISNUMBER(G2325)),IF(E2325=G2325,15,0),"")</f>
        <v/>
      </c>
      <c r="K2325" s="22" t="str">
        <f aca="false">IF(AND(ISNUMBER(F2325),ISNUMBER(G2325)),IF(ABS(D2325-E2325)=ABS(F2325-G2325),12,0),"")</f>
        <v/>
      </c>
      <c r="L2325" s="23" t="str">
        <f aca="false">IF(ISNUMBER(H2325),H2325+I2325+J2325+K2325,"")</f>
        <v/>
      </c>
    </row>
    <row r="2326" customFormat="false" ht="18" hidden="false" customHeight="true" outlineLevel="0" collapsed="false">
      <c r="A2326" s="17" t="s">
        <v>9</v>
      </c>
      <c r="B2326" s="18" t="s">
        <v>180</v>
      </c>
      <c r="C2326" s="19" t="s">
        <v>72</v>
      </c>
      <c r="D2326" s="20" t="n">
        <v>3</v>
      </c>
      <c r="E2326" s="20" t="n">
        <v>1</v>
      </c>
      <c r="F2326" s="21" t="n">
        <f aca="false">'📋 Matches'!E22</f>
        <v>0</v>
      </c>
      <c r="G2326" s="21" t="n">
        <f aca="false">'📋 Matches'!F22</f>
        <v>0</v>
      </c>
      <c r="H2326" s="22" t="str">
        <f aca="false">IF(AND(ISNUMBER(F2326),ISNUMBER(G2326)),IF(SIGN(D2326-E2326)=SIGN(F2326-G2326),48,0),"")</f>
        <v/>
      </c>
      <c r="I2326" s="22" t="str">
        <f aca="false">IF(AND(ISNUMBER(F2326),ISNUMBER(G2326)),IF(D2326=F2326,15,0),"")</f>
        <v/>
      </c>
      <c r="J2326" s="22" t="str">
        <f aca="false">IF(AND(ISNUMBER(F2326),ISNUMBER(G2326)),IF(E2326=G2326,15,0),"")</f>
        <v/>
      </c>
      <c r="K2326" s="22" t="str">
        <f aca="false">IF(AND(ISNUMBER(F2326),ISNUMBER(G2326)),IF(ABS(D2326-E2326)=ABS(F2326-G2326),12,0),"")</f>
        <v/>
      </c>
      <c r="L2326" s="23" t="str">
        <f aca="false">IF(ISNUMBER(H2326),H2326+I2326+J2326+K2326,"")</f>
        <v/>
      </c>
    </row>
    <row r="2327" customFormat="false" ht="18" hidden="false" customHeight="true" outlineLevel="0" collapsed="false">
      <c r="A2327" s="17" t="s">
        <v>9</v>
      </c>
      <c r="B2327" s="18" t="s">
        <v>180</v>
      </c>
      <c r="C2327" s="19" t="s">
        <v>75</v>
      </c>
      <c r="D2327" s="20" t="n">
        <v>2</v>
      </c>
      <c r="E2327" s="20" t="n">
        <v>2</v>
      </c>
      <c r="F2327" s="21" t="n">
        <f aca="false">'📋 Matches'!E23</f>
        <v>0</v>
      </c>
      <c r="G2327" s="21" t="n">
        <f aca="false">'📋 Matches'!F23</f>
        <v>0</v>
      </c>
      <c r="H2327" s="22" t="str">
        <f aca="false">IF(AND(ISNUMBER(F2327),ISNUMBER(G2327)),IF(SIGN(D2327-E2327)=SIGN(F2327-G2327),48,0),"")</f>
        <v/>
      </c>
      <c r="I2327" s="22" t="str">
        <f aca="false">IF(AND(ISNUMBER(F2327),ISNUMBER(G2327)),IF(D2327=F2327,15,0),"")</f>
        <v/>
      </c>
      <c r="J2327" s="22" t="str">
        <f aca="false">IF(AND(ISNUMBER(F2327),ISNUMBER(G2327)),IF(E2327=G2327,15,0),"")</f>
        <v/>
      </c>
      <c r="K2327" s="22" t="str">
        <f aca="false">IF(AND(ISNUMBER(F2327),ISNUMBER(G2327)),IF(ABS(D2327-E2327)=ABS(F2327-G2327),12,0),"")</f>
        <v/>
      </c>
      <c r="L2327" s="23" t="str">
        <f aca="false">IF(ISNUMBER(H2327),H2327+I2327+J2327+K2327,"")</f>
        <v/>
      </c>
    </row>
    <row r="2328" customFormat="false" ht="18" hidden="false" customHeight="true" outlineLevel="0" collapsed="false">
      <c r="A2328" s="17" t="s">
        <v>9</v>
      </c>
      <c r="B2328" s="18" t="s">
        <v>180</v>
      </c>
      <c r="C2328" s="19" t="s">
        <v>78</v>
      </c>
      <c r="D2328" s="20" t="n">
        <v>3</v>
      </c>
      <c r="E2328" s="20" t="n">
        <v>1</v>
      </c>
      <c r="F2328" s="21" t="n">
        <f aca="false">'📋 Matches'!E24</f>
        <v>0</v>
      </c>
      <c r="G2328" s="21" t="n">
        <f aca="false">'📋 Matches'!F24</f>
        <v>0</v>
      </c>
      <c r="H2328" s="22" t="str">
        <f aca="false">IF(AND(ISNUMBER(F2328),ISNUMBER(G2328)),IF(SIGN(D2328-E2328)=SIGN(F2328-G2328),48,0),"")</f>
        <v/>
      </c>
      <c r="I2328" s="22" t="str">
        <f aca="false">IF(AND(ISNUMBER(F2328),ISNUMBER(G2328)),IF(D2328=F2328,15,0),"")</f>
        <v/>
      </c>
      <c r="J2328" s="22" t="str">
        <f aca="false">IF(AND(ISNUMBER(F2328),ISNUMBER(G2328)),IF(E2328=G2328,15,0),"")</f>
        <v/>
      </c>
      <c r="K2328" s="22" t="str">
        <f aca="false">IF(AND(ISNUMBER(F2328),ISNUMBER(G2328)),IF(ABS(D2328-E2328)=ABS(F2328-G2328),12,0),"")</f>
        <v/>
      </c>
      <c r="L2328" s="23" t="str">
        <f aca="false">IF(ISNUMBER(H2328),H2328+I2328+J2328+K2328,"")</f>
        <v/>
      </c>
    </row>
    <row r="2329" customFormat="false" ht="18" hidden="false" customHeight="true" outlineLevel="0" collapsed="false">
      <c r="A2329" s="17" t="s">
        <v>9</v>
      </c>
      <c r="B2329" s="18" t="s">
        <v>180</v>
      </c>
      <c r="C2329" s="19" t="s">
        <v>81</v>
      </c>
      <c r="D2329" s="20" t="n">
        <v>0</v>
      </c>
      <c r="E2329" s="20" t="n">
        <v>3</v>
      </c>
      <c r="F2329" s="21" t="n">
        <f aca="false">'📋 Matches'!E25</f>
        <v>0</v>
      </c>
      <c r="G2329" s="21" t="n">
        <f aca="false">'📋 Matches'!F25</f>
        <v>0</v>
      </c>
      <c r="H2329" s="22" t="str">
        <f aca="false">IF(AND(ISNUMBER(F2329),ISNUMBER(G2329)),IF(SIGN(D2329-E2329)=SIGN(F2329-G2329),48,0),"")</f>
        <v/>
      </c>
      <c r="I2329" s="22" t="str">
        <f aca="false">IF(AND(ISNUMBER(F2329),ISNUMBER(G2329)),IF(D2329=F2329,15,0),"")</f>
        <v/>
      </c>
      <c r="J2329" s="22" t="str">
        <f aca="false">IF(AND(ISNUMBER(F2329),ISNUMBER(G2329)),IF(E2329=G2329,15,0),"")</f>
        <v/>
      </c>
      <c r="K2329" s="22" t="str">
        <f aca="false">IF(AND(ISNUMBER(F2329),ISNUMBER(G2329)),IF(ABS(D2329-E2329)=ABS(F2329-G2329),12,0),"")</f>
        <v/>
      </c>
      <c r="L2329" s="23" t="str">
        <f aca="false">IF(ISNUMBER(H2329),H2329+I2329+J2329+K2329,"")</f>
        <v/>
      </c>
    </row>
    <row r="2330" customFormat="false" ht="18" hidden="false" customHeight="true" outlineLevel="0" collapsed="false">
      <c r="A2330" s="17" t="s">
        <v>84</v>
      </c>
      <c r="B2330" s="18" t="s">
        <v>180</v>
      </c>
      <c r="C2330" s="19" t="s">
        <v>85</v>
      </c>
      <c r="D2330" s="20"/>
      <c r="E2330" s="20"/>
      <c r="F2330" s="21" t="n">
        <f aca="false">'📋 Matches'!E26</f>
        <v>0</v>
      </c>
      <c r="G2330" s="21" t="n">
        <f aca="false">'📋 Matches'!F26</f>
        <v>0</v>
      </c>
      <c r="H2330" s="24" t="s">
        <v>148</v>
      </c>
      <c r="I2330" s="24" t="s">
        <v>148</v>
      </c>
      <c r="J2330" s="24" t="s">
        <v>148</v>
      </c>
      <c r="K2330" s="24" t="s">
        <v>148</v>
      </c>
      <c r="L2330" s="24" t="s">
        <v>148</v>
      </c>
    </row>
    <row r="2331" customFormat="false" ht="18" hidden="false" customHeight="true" outlineLevel="0" collapsed="false">
      <c r="A2331" s="17" t="s">
        <v>84</v>
      </c>
      <c r="B2331" s="18" t="s">
        <v>180</v>
      </c>
      <c r="C2331" s="19" t="s">
        <v>87</v>
      </c>
      <c r="D2331" s="20"/>
      <c r="E2331" s="20"/>
      <c r="F2331" s="21" t="n">
        <f aca="false">'📋 Matches'!E27</f>
        <v>0</v>
      </c>
      <c r="G2331" s="21" t="n">
        <f aca="false">'📋 Matches'!F27</f>
        <v>0</v>
      </c>
      <c r="H2331" s="24" t="s">
        <v>148</v>
      </c>
      <c r="I2331" s="24" t="s">
        <v>148</v>
      </c>
      <c r="J2331" s="24" t="s">
        <v>148</v>
      </c>
      <c r="K2331" s="24" t="s">
        <v>148</v>
      </c>
      <c r="L2331" s="24" t="s">
        <v>148</v>
      </c>
    </row>
    <row r="2332" customFormat="false" ht="18" hidden="false" customHeight="true" outlineLevel="0" collapsed="false">
      <c r="A2332" s="17" t="s">
        <v>84</v>
      </c>
      <c r="B2332" s="18" t="s">
        <v>180</v>
      </c>
      <c r="C2332" s="19" t="s">
        <v>89</v>
      </c>
      <c r="D2332" s="20"/>
      <c r="E2332" s="20"/>
      <c r="F2332" s="21" t="n">
        <f aca="false">'📋 Matches'!E28</f>
        <v>0</v>
      </c>
      <c r="G2332" s="21" t="n">
        <f aca="false">'📋 Matches'!F28</f>
        <v>0</v>
      </c>
      <c r="H2332" s="24" t="s">
        <v>148</v>
      </c>
      <c r="I2332" s="24" t="s">
        <v>148</v>
      </c>
      <c r="J2332" s="24" t="s">
        <v>148</v>
      </c>
      <c r="K2332" s="24" t="s">
        <v>148</v>
      </c>
      <c r="L2332" s="24" t="s">
        <v>148</v>
      </c>
    </row>
    <row r="2333" customFormat="false" ht="18" hidden="false" customHeight="true" outlineLevel="0" collapsed="false">
      <c r="A2333" s="17" t="s">
        <v>84</v>
      </c>
      <c r="B2333" s="18" t="s">
        <v>180</v>
      </c>
      <c r="C2333" s="19" t="s">
        <v>90</v>
      </c>
      <c r="D2333" s="20"/>
      <c r="E2333" s="20"/>
      <c r="F2333" s="21" t="n">
        <f aca="false">'📋 Matches'!E29</f>
        <v>0</v>
      </c>
      <c r="G2333" s="21" t="n">
        <f aca="false">'📋 Matches'!F29</f>
        <v>0</v>
      </c>
      <c r="H2333" s="24" t="s">
        <v>148</v>
      </c>
      <c r="I2333" s="24" t="s">
        <v>148</v>
      </c>
      <c r="J2333" s="24" t="s">
        <v>148</v>
      </c>
      <c r="K2333" s="24" t="s">
        <v>148</v>
      </c>
      <c r="L2333" s="24" t="s">
        <v>148</v>
      </c>
    </row>
    <row r="2334" customFormat="false" ht="18" hidden="false" customHeight="true" outlineLevel="0" collapsed="false">
      <c r="A2334" s="17" t="s">
        <v>84</v>
      </c>
      <c r="B2334" s="18" t="s">
        <v>180</v>
      </c>
      <c r="C2334" s="19" t="s">
        <v>91</v>
      </c>
      <c r="D2334" s="20"/>
      <c r="E2334" s="20"/>
      <c r="F2334" s="21" t="n">
        <f aca="false">'📋 Matches'!E30</f>
        <v>0</v>
      </c>
      <c r="G2334" s="21" t="n">
        <f aca="false">'📋 Matches'!F30</f>
        <v>0</v>
      </c>
      <c r="H2334" s="24" t="s">
        <v>148</v>
      </c>
      <c r="I2334" s="24" t="s">
        <v>148</v>
      </c>
      <c r="J2334" s="24" t="s">
        <v>148</v>
      </c>
      <c r="K2334" s="24" t="s">
        <v>148</v>
      </c>
      <c r="L2334" s="24" t="s">
        <v>148</v>
      </c>
    </row>
    <row r="2335" customFormat="false" ht="18" hidden="false" customHeight="true" outlineLevel="0" collapsed="false">
      <c r="A2335" s="17" t="s">
        <v>84</v>
      </c>
      <c r="B2335" s="18" t="s">
        <v>180</v>
      </c>
      <c r="C2335" s="19" t="s">
        <v>92</v>
      </c>
      <c r="D2335" s="20"/>
      <c r="E2335" s="20"/>
      <c r="F2335" s="21" t="n">
        <f aca="false">'📋 Matches'!E31</f>
        <v>0</v>
      </c>
      <c r="G2335" s="21" t="n">
        <f aca="false">'📋 Matches'!F31</f>
        <v>0</v>
      </c>
      <c r="H2335" s="24" t="s">
        <v>148</v>
      </c>
      <c r="I2335" s="24" t="s">
        <v>148</v>
      </c>
      <c r="J2335" s="24" t="s">
        <v>148</v>
      </c>
      <c r="K2335" s="24" t="s">
        <v>148</v>
      </c>
      <c r="L2335" s="24" t="s">
        <v>148</v>
      </c>
    </row>
    <row r="2336" customFormat="false" ht="18" hidden="false" customHeight="true" outlineLevel="0" collapsed="false">
      <c r="A2336" s="17" t="s">
        <v>84</v>
      </c>
      <c r="B2336" s="18" t="s">
        <v>180</v>
      </c>
      <c r="C2336" s="19" t="s">
        <v>93</v>
      </c>
      <c r="D2336" s="20"/>
      <c r="E2336" s="20"/>
      <c r="F2336" s="21" t="n">
        <f aca="false">'📋 Matches'!E32</f>
        <v>0</v>
      </c>
      <c r="G2336" s="21" t="n">
        <f aca="false">'📋 Matches'!F32</f>
        <v>0</v>
      </c>
      <c r="H2336" s="24" t="s">
        <v>148</v>
      </c>
      <c r="I2336" s="24" t="s">
        <v>148</v>
      </c>
      <c r="J2336" s="24" t="s">
        <v>148</v>
      </c>
      <c r="K2336" s="24" t="s">
        <v>148</v>
      </c>
      <c r="L2336" s="24" t="s">
        <v>148</v>
      </c>
    </row>
    <row r="2337" customFormat="false" ht="18" hidden="false" customHeight="true" outlineLevel="0" collapsed="false">
      <c r="A2337" s="17" t="s">
        <v>84</v>
      </c>
      <c r="B2337" s="18" t="s">
        <v>180</v>
      </c>
      <c r="C2337" s="19" t="s">
        <v>94</v>
      </c>
      <c r="D2337" s="20"/>
      <c r="E2337" s="20"/>
      <c r="F2337" s="21" t="n">
        <f aca="false">'📋 Matches'!E33</f>
        <v>0</v>
      </c>
      <c r="G2337" s="21" t="n">
        <f aca="false">'📋 Matches'!F33</f>
        <v>0</v>
      </c>
      <c r="H2337" s="24" t="s">
        <v>148</v>
      </c>
      <c r="I2337" s="24" t="s">
        <v>148</v>
      </c>
      <c r="J2337" s="24" t="s">
        <v>148</v>
      </c>
      <c r="K2337" s="24" t="s">
        <v>148</v>
      </c>
      <c r="L2337" s="24" t="s">
        <v>148</v>
      </c>
    </row>
    <row r="2338" customFormat="false" ht="18" hidden="false" customHeight="true" outlineLevel="0" collapsed="false">
      <c r="A2338" s="17" t="s">
        <v>84</v>
      </c>
      <c r="B2338" s="18" t="s">
        <v>180</v>
      </c>
      <c r="C2338" s="19" t="s">
        <v>96</v>
      </c>
      <c r="D2338" s="20"/>
      <c r="E2338" s="20"/>
      <c r="F2338" s="21" t="n">
        <f aca="false">'📋 Matches'!E34</f>
        <v>0</v>
      </c>
      <c r="G2338" s="21" t="n">
        <f aca="false">'📋 Matches'!F34</f>
        <v>0</v>
      </c>
      <c r="H2338" s="24" t="s">
        <v>148</v>
      </c>
      <c r="I2338" s="24" t="s">
        <v>148</v>
      </c>
      <c r="J2338" s="24" t="s">
        <v>148</v>
      </c>
      <c r="K2338" s="24" t="s">
        <v>148</v>
      </c>
      <c r="L2338" s="24" t="s">
        <v>148</v>
      </c>
    </row>
    <row r="2339" customFormat="false" ht="18" hidden="false" customHeight="true" outlineLevel="0" collapsed="false">
      <c r="A2339" s="17" t="s">
        <v>84</v>
      </c>
      <c r="B2339" s="18" t="s">
        <v>180</v>
      </c>
      <c r="C2339" s="19" t="s">
        <v>97</v>
      </c>
      <c r="D2339" s="20"/>
      <c r="E2339" s="20"/>
      <c r="F2339" s="21" t="n">
        <f aca="false">'📋 Matches'!E35</f>
        <v>0</v>
      </c>
      <c r="G2339" s="21" t="n">
        <f aca="false">'📋 Matches'!F35</f>
        <v>0</v>
      </c>
      <c r="H2339" s="24" t="s">
        <v>148</v>
      </c>
      <c r="I2339" s="24" t="s">
        <v>148</v>
      </c>
      <c r="J2339" s="24" t="s">
        <v>148</v>
      </c>
      <c r="K2339" s="24" t="s">
        <v>148</v>
      </c>
      <c r="L2339" s="24" t="s">
        <v>148</v>
      </c>
    </row>
    <row r="2340" customFormat="false" ht="18" hidden="false" customHeight="true" outlineLevel="0" collapsed="false">
      <c r="A2340" s="17" t="s">
        <v>84</v>
      </c>
      <c r="B2340" s="18" t="s">
        <v>180</v>
      </c>
      <c r="C2340" s="19" t="s">
        <v>98</v>
      </c>
      <c r="D2340" s="20"/>
      <c r="E2340" s="20"/>
      <c r="F2340" s="21" t="n">
        <f aca="false">'📋 Matches'!E36</f>
        <v>0</v>
      </c>
      <c r="G2340" s="21" t="n">
        <f aca="false">'📋 Matches'!F36</f>
        <v>0</v>
      </c>
      <c r="H2340" s="24" t="s">
        <v>148</v>
      </c>
      <c r="I2340" s="24" t="s">
        <v>148</v>
      </c>
      <c r="J2340" s="24" t="s">
        <v>148</v>
      </c>
      <c r="K2340" s="24" t="s">
        <v>148</v>
      </c>
      <c r="L2340" s="24" t="s">
        <v>148</v>
      </c>
    </row>
    <row r="2341" customFormat="false" ht="18" hidden="false" customHeight="true" outlineLevel="0" collapsed="false">
      <c r="A2341" s="17" t="s">
        <v>84</v>
      </c>
      <c r="B2341" s="18" t="s">
        <v>180</v>
      </c>
      <c r="C2341" s="19" t="s">
        <v>100</v>
      </c>
      <c r="D2341" s="20"/>
      <c r="E2341" s="20"/>
      <c r="F2341" s="21" t="n">
        <f aca="false">'📋 Matches'!E37</f>
        <v>0</v>
      </c>
      <c r="G2341" s="21" t="n">
        <f aca="false">'📋 Matches'!F37</f>
        <v>0</v>
      </c>
      <c r="H2341" s="24" t="s">
        <v>148</v>
      </c>
      <c r="I2341" s="24" t="s">
        <v>148</v>
      </c>
      <c r="J2341" s="24" t="s">
        <v>148</v>
      </c>
      <c r="K2341" s="24" t="s">
        <v>148</v>
      </c>
      <c r="L2341" s="24" t="s">
        <v>148</v>
      </c>
    </row>
    <row r="2342" customFormat="false" ht="18" hidden="false" customHeight="true" outlineLevel="0" collapsed="false">
      <c r="A2342" s="17" t="s">
        <v>84</v>
      </c>
      <c r="B2342" s="18" t="s">
        <v>180</v>
      </c>
      <c r="C2342" s="19" t="s">
        <v>101</v>
      </c>
      <c r="D2342" s="20"/>
      <c r="E2342" s="20"/>
      <c r="F2342" s="21" t="n">
        <f aca="false">'📋 Matches'!E38</f>
        <v>0</v>
      </c>
      <c r="G2342" s="21" t="n">
        <f aca="false">'📋 Matches'!F38</f>
        <v>0</v>
      </c>
      <c r="H2342" s="24" t="s">
        <v>148</v>
      </c>
      <c r="I2342" s="24" t="s">
        <v>148</v>
      </c>
      <c r="J2342" s="24" t="s">
        <v>148</v>
      </c>
      <c r="K2342" s="24" t="s">
        <v>148</v>
      </c>
      <c r="L2342" s="24" t="s">
        <v>148</v>
      </c>
    </row>
    <row r="2343" customFormat="false" ht="18" hidden="false" customHeight="true" outlineLevel="0" collapsed="false">
      <c r="A2343" s="17" t="s">
        <v>84</v>
      </c>
      <c r="B2343" s="18" t="s">
        <v>180</v>
      </c>
      <c r="C2343" s="19" t="s">
        <v>102</v>
      </c>
      <c r="D2343" s="20"/>
      <c r="E2343" s="20"/>
      <c r="F2343" s="21" t="n">
        <f aca="false">'📋 Matches'!E39</f>
        <v>0</v>
      </c>
      <c r="G2343" s="21" t="n">
        <f aca="false">'📋 Matches'!F39</f>
        <v>0</v>
      </c>
      <c r="H2343" s="24" t="s">
        <v>148</v>
      </c>
      <c r="I2343" s="24" t="s">
        <v>148</v>
      </c>
      <c r="J2343" s="24" t="s">
        <v>148</v>
      </c>
      <c r="K2343" s="24" t="s">
        <v>148</v>
      </c>
      <c r="L2343" s="24" t="s">
        <v>148</v>
      </c>
    </row>
    <row r="2344" customFormat="false" ht="18" hidden="false" customHeight="true" outlineLevel="0" collapsed="false">
      <c r="A2344" s="17" t="s">
        <v>84</v>
      </c>
      <c r="B2344" s="18" t="s">
        <v>180</v>
      </c>
      <c r="C2344" s="19" t="s">
        <v>103</v>
      </c>
      <c r="D2344" s="20"/>
      <c r="E2344" s="20"/>
      <c r="F2344" s="21" t="n">
        <f aca="false">'📋 Matches'!E40</f>
        <v>0</v>
      </c>
      <c r="G2344" s="21" t="n">
        <f aca="false">'📋 Matches'!F40</f>
        <v>0</v>
      </c>
      <c r="H2344" s="24" t="s">
        <v>148</v>
      </c>
      <c r="I2344" s="24" t="s">
        <v>148</v>
      </c>
      <c r="J2344" s="24" t="s">
        <v>148</v>
      </c>
      <c r="K2344" s="24" t="s">
        <v>148</v>
      </c>
      <c r="L2344" s="24" t="s">
        <v>148</v>
      </c>
    </row>
    <row r="2345" customFormat="false" ht="18" hidden="false" customHeight="true" outlineLevel="0" collapsed="false">
      <c r="A2345" s="17" t="s">
        <v>84</v>
      </c>
      <c r="B2345" s="18" t="s">
        <v>180</v>
      </c>
      <c r="C2345" s="19" t="s">
        <v>104</v>
      </c>
      <c r="D2345" s="20"/>
      <c r="E2345" s="20"/>
      <c r="F2345" s="21" t="n">
        <f aca="false">'📋 Matches'!E41</f>
        <v>0</v>
      </c>
      <c r="G2345" s="21" t="n">
        <f aca="false">'📋 Matches'!F41</f>
        <v>0</v>
      </c>
      <c r="H2345" s="24" t="s">
        <v>148</v>
      </c>
      <c r="I2345" s="24" t="s">
        <v>148</v>
      </c>
      <c r="J2345" s="24" t="s">
        <v>148</v>
      </c>
      <c r="K2345" s="24" t="s">
        <v>148</v>
      </c>
      <c r="L2345" s="24" t="s">
        <v>148</v>
      </c>
    </row>
    <row r="2346" customFormat="false" ht="18" hidden="false" customHeight="true" outlineLevel="0" collapsed="false">
      <c r="A2346" s="17" t="s">
        <v>84</v>
      </c>
      <c r="B2346" s="18" t="s">
        <v>180</v>
      </c>
      <c r="C2346" s="19" t="s">
        <v>105</v>
      </c>
      <c r="D2346" s="20"/>
      <c r="E2346" s="20"/>
      <c r="F2346" s="21" t="n">
        <f aca="false">'📋 Matches'!E42</f>
        <v>0</v>
      </c>
      <c r="G2346" s="21" t="n">
        <f aca="false">'📋 Matches'!F42</f>
        <v>0</v>
      </c>
      <c r="H2346" s="24" t="s">
        <v>148</v>
      </c>
      <c r="I2346" s="24" t="s">
        <v>148</v>
      </c>
      <c r="J2346" s="24" t="s">
        <v>148</v>
      </c>
      <c r="K2346" s="24" t="s">
        <v>148</v>
      </c>
      <c r="L2346" s="24" t="s">
        <v>148</v>
      </c>
    </row>
    <row r="2347" customFormat="false" ht="18" hidden="false" customHeight="true" outlineLevel="0" collapsed="false">
      <c r="A2347" s="17" t="s">
        <v>84</v>
      </c>
      <c r="B2347" s="18" t="s">
        <v>180</v>
      </c>
      <c r="C2347" s="19" t="s">
        <v>106</v>
      </c>
      <c r="D2347" s="20"/>
      <c r="E2347" s="20"/>
      <c r="F2347" s="21" t="n">
        <f aca="false">'📋 Matches'!E43</f>
        <v>0</v>
      </c>
      <c r="G2347" s="21" t="n">
        <f aca="false">'📋 Matches'!F43</f>
        <v>0</v>
      </c>
      <c r="H2347" s="24" t="s">
        <v>148</v>
      </c>
      <c r="I2347" s="24" t="s">
        <v>148</v>
      </c>
      <c r="J2347" s="24" t="s">
        <v>148</v>
      </c>
      <c r="K2347" s="24" t="s">
        <v>148</v>
      </c>
      <c r="L2347" s="24" t="s">
        <v>148</v>
      </c>
    </row>
    <row r="2348" customFormat="false" ht="18" hidden="false" customHeight="true" outlineLevel="0" collapsed="false">
      <c r="A2348" s="17" t="s">
        <v>84</v>
      </c>
      <c r="B2348" s="18" t="s">
        <v>180</v>
      </c>
      <c r="C2348" s="19" t="s">
        <v>107</v>
      </c>
      <c r="D2348" s="20"/>
      <c r="E2348" s="20"/>
      <c r="F2348" s="21" t="n">
        <f aca="false">'📋 Matches'!E44</f>
        <v>0</v>
      </c>
      <c r="G2348" s="21" t="n">
        <f aca="false">'📋 Matches'!F44</f>
        <v>0</v>
      </c>
      <c r="H2348" s="24" t="s">
        <v>148</v>
      </c>
      <c r="I2348" s="24" t="s">
        <v>148</v>
      </c>
      <c r="J2348" s="24" t="s">
        <v>148</v>
      </c>
      <c r="K2348" s="24" t="s">
        <v>148</v>
      </c>
      <c r="L2348" s="24" t="s">
        <v>148</v>
      </c>
    </row>
    <row r="2349" customFormat="false" ht="18" hidden="false" customHeight="true" outlineLevel="0" collapsed="false">
      <c r="A2349" s="17" t="s">
        <v>84</v>
      </c>
      <c r="B2349" s="18" t="s">
        <v>180</v>
      </c>
      <c r="C2349" s="19" t="s">
        <v>108</v>
      </c>
      <c r="D2349" s="20"/>
      <c r="E2349" s="20"/>
      <c r="F2349" s="21" t="n">
        <f aca="false">'📋 Matches'!E45</f>
        <v>0</v>
      </c>
      <c r="G2349" s="21" t="n">
        <f aca="false">'📋 Matches'!F45</f>
        <v>0</v>
      </c>
      <c r="H2349" s="24" t="s">
        <v>148</v>
      </c>
      <c r="I2349" s="24" t="s">
        <v>148</v>
      </c>
      <c r="J2349" s="24" t="s">
        <v>148</v>
      </c>
      <c r="K2349" s="24" t="s">
        <v>148</v>
      </c>
      <c r="L2349" s="24" t="s">
        <v>148</v>
      </c>
    </row>
    <row r="2350" customFormat="false" ht="18" hidden="false" customHeight="true" outlineLevel="0" collapsed="false">
      <c r="A2350" s="17" t="s">
        <v>84</v>
      </c>
      <c r="B2350" s="18" t="s">
        <v>180</v>
      </c>
      <c r="C2350" s="19" t="s">
        <v>109</v>
      </c>
      <c r="D2350" s="20"/>
      <c r="E2350" s="20"/>
      <c r="F2350" s="21" t="n">
        <f aca="false">'📋 Matches'!E46</f>
        <v>0</v>
      </c>
      <c r="G2350" s="21" t="n">
        <f aca="false">'📋 Matches'!F46</f>
        <v>0</v>
      </c>
      <c r="H2350" s="24" t="s">
        <v>148</v>
      </c>
      <c r="I2350" s="24" t="s">
        <v>148</v>
      </c>
      <c r="J2350" s="24" t="s">
        <v>148</v>
      </c>
      <c r="K2350" s="24" t="s">
        <v>148</v>
      </c>
      <c r="L2350" s="24" t="s">
        <v>148</v>
      </c>
    </row>
    <row r="2351" customFormat="false" ht="18" hidden="false" customHeight="true" outlineLevel="0" collapsed="false">
      <c r="A2351" s="17" t="s">
        <v>84</v>
      </c>
      <c r="B2351" s="18" t="s">
        <v>180</v>
      </c>
      <c r="C2351" s="19" t="s">
        <v>110</v>
      </c>
      <c r="D2351" s="20"/>
      <c r="E2351" s="20"/>
      <c r="F2351" s="21" t="n">
        <f aca="false">'📋 Matches'!E47</f>
        <v>0</v>
      </c>
      <c r="G2351" s="21" t="n">
        <f aca="false">'📋 Matches'!F47</f>
        <v>0</v>
      </c>
      <c r="H2351" s="24" t="s">
        <v>148</v>
      </c>
      <c r="I2351" s="24" t="s">
        <v>148</v>
      </c>
      <c r="J2351" s="24" t="s">
        <v>148</v>
      </c>
      <c r="K2351" s="24" t="s">
        <v>148</v>
      </c>
      <c r="L2351" s="24" t="s">
        <v>148</v>
      </c>
    </row>
    <row r="2352" customFormat="false" ht="18" hidden="false" customHeight="true" outlineLevel="0" collapsed="false">
      <c r="A2352" s="17" t="s">
        <v>84</v>
      </c>
      <c r="B2352" s="18" t="s">
        <v>180</v>
      </c>
      <c r="C2352" s="19" t="s">
        <v>111</v>
      </c>
      <c r="D2352" s="20"/>
      <c r="E2352" s="20"/>
      <c r="F2352" s="21" t="n">
        <f aca="false">'📋 Matches'!E48</f>
        <v>0</v>
      </c>
      <c r="G2352" s="21" t="n">
        <f aca="false">'📋 Matches'!F48</f>
        <v>0</v>
      </c>
      <c r="H2352" s="24" t="s">
        <v>148</v>
      </c>
      <c r="I2352" s="24" t="s">
        <v>148</v>
      </c>
      <c r="J2352" s="24" t="s">
        <v>148</v>
      </c>
      <c r="K2352" s="24" t="s">
        <v>148</v>
      </c>
      <c r="L2352" s="24" t="s">
        <v>148</v>
      </c>
    </row>
    <row r="2353" customFormat="false" ht="18" hidden="false" customHeight="true" outlineLevel="0" collapsed="false">
      <c r="A2353" s="17" t="s">
        <v>84</v>
      </c>
      <c r="B2353" s="18" t="s">
        <v>180</v>
      </c>
      <c r="C2353" s="19" t="s">
        <v>112</v>
      </c>
      <c r="D2353" s="20"/>
      <c r="E2353" s="20"/>
      <c r="F2353" s="21" t="n">
        <f aca="false">'📋 Matches'!E49</f>
        <v>0</v>
      </c>
      <c r="G2353" s="21" t="n">
        <f aca="false">'📋 Matches'!F49</f>
        <v>0</v>
      </c>
      <c r="H2353" s="24" t="s">
        <v>148</v>
      </c>
      <c r="I2353" s="24" t="s">
        <v>148</v>
      </c>
      <c r="J2353" s="24" t="s">
        <v>148</v>
      </c>
      <c r="K2353" s="24" t="s">
        <v>148</v>
      </c>
      <c r="L2353" s="24" t="s">
        <v>148</v>
      </c>
    </row>
    <row r="2354" customFormat="false" ht="18" hidden="false" customHeight="true" outlineLevel="0" collapsed="false">
      <c r="A2354" s="17" t="s">
        <v>114</v>
      </c>
      <c r="B2354" s="18" t="s">
        <v>180</v>
      </c>
      <c r="C2354" s="19" t="s">
        <v>115</v>
      </c>
      <c r="D2354" s="20"/>
      <c r="E2354" s="20"/>
      <c r="F2354" s="21" t="n">
        <f aca="false">'📋 Matches'!E50</f>
        <v>0</v>
      </c>
      <c r="G2354" s="21" t="n">
        <f aca="false">'📋 Matches'!F50</f>
        <v>0</v>
      </c>
      <c r="H2354" s="24" t="s">
        <v>148</v>
      </c>
      <c r="I2354" s="24" t="s">
        <v>148</v>
      </c>
      <c r="J2354" s="24" t="s">
        <v>148</v>
      </c>
      <c r="K2354" s="24" t="s">
        <v>148</v>
      </c>
      <c r="L2354" s="24" t="s">
        <v>148</v>
      </c>
    </row>
    <row r="2355" customFormat="false" ht="18" hidden="false" customHeight="true" outlineLevel="0" collapsed="false">
      <c r="A2355" s="17" t="s">
        <v>114</v>
      </c>
      <c r="B2355" s="18" t="s">
        <v>180</v>
      </c>
      <c r="C2355" s="19" t="s">
        <v>116</v>
      </c>
      <c r="D2355" s="20"/>
      <c r="E2355" s="20"/>
      <c r="F2355" s="21" t="n">
        <f aca="false">'📋 Matches'!E51</f>
        <v>0</v>
      </c>
      <c r="G2355" s="21" t="n">
        <f aca="false">'📋 Matches'!F51</f>
        <v>0</v>
      </c>
      <c r="H2355" s="24" t="s">
        <v>148</v>
      </c>
      <c r="I2355" s="24" t="s">
        <v>148</v>
      </c>
      <c r="J2355" s="24" t="s">
        <v>148</v>
      </c>
      <c r="K2355" s="24" t="s">
        <v>148</v>
      </c>
      <c r="L2355" s="24" t="s">
        <v>148</v>
      </c>
    </row>
    <row r="2356" customFormat="false" ht="18" hidden="false" customHeight="true" outlineLevel="0" collapsed="false">
      <c r="A2356" s="17" t="s">
        <v>114</v>
      </c>
      <c r="B2356" s="18" t="s">
        <v>180</v>
      </c>
      <c r="C2356" s="19" t="s">
        <v>117</v>
      </c>
      <c r="D2356" s="20"/>
      <c r="E2356" s="20"/>
      <c r="F2356" s="21" t="n">
        <f aca="false">'📋 Matches'!E52</f>
        <v>0</v>
      </c>
      <c r="G2356" s="21" t="n">
        <f aca="false">'📋 Matches'!F52</f>
        <v>0</v>
      </c>
      <c r="H2356" s="24" t="s">
        <v>148</v>
      </c>
      <c r="I2356" s="24" t="s">
        <v>148</v>
      </c>
      <c r="J2356" s="24" t="s">
        <v>148</v>
      </c>
      <c r="K2356" s="24" t="s">
        <v>148</v>
      </c>
      <c r="L2356" s="24" t="s">
        <v>148</v>
      </c>
    </row>
    <row r="2357" customFormat="false" ht="18" hidden="false" customHeight="true" outlineLevel="0" collapsed="false">
      <c r="A2357" s="17" t="s">
        <v>114</v>
      </c>
      <c r="B2357" s="18" t="s">
        <v>180</v>
      </c>
      <c r="C2357" s="19" t="s">
        <v>118</v>
      </c>
      <c r="D2357" s="20"/>
      <c r="E2357" s="20"/>
      <c r="F2357" s="21" t="n">
        <f aca="false">'📋 Matches'!E53</f>
        <v>0</v>
      </c>
      <c r="G2357" s="21" t="n">
        <f aca="false">'📋 Matches'!F53</f>
        <v>0</v>
      </c>
      <c r="H2357" s="24" t="s">
        <v>148</v>
      </c>
      <c r="I2357" s="24" t="s">
        <v>148</v>
      </c>
      <c r="J2357" s="24" t="s">
        <v>148</v>
      </c>
      <c r="K2357" s="24" t="s">
        <v>148</v>
      </c>
      <c r="L2357" s="24" t="s">
        <v>148</v>
      </c>
    </row>
    <row r="2358" customFormat="false" ht="18" hidden="false" customHeight="true" outlineLevel="0" collapsed="false">
      <c r="A2358" s="17" t="s">
        <v>114</v>
      </c>
      <c r="B2358" s="18" t="s">
        <v>180</v>
      </c>
      <c r="C2358" s="19" t="s">
        <v>119</v>
      </c>
      <c r="D2358" s="20"/>
      <c r="E2358" s="20"/>
      <c r="F2358" s="21" t="n">
        <f aca="false">'📋 Matches'!E54</f>
        <v>0</v>
      </c>
      <c r="G2358" s="21" t="n">
        <f aca="false">'📋 Matches'!F54</f>
        <v>0</v>
      </c>
      <c r="H2358" s="24" t="s">
        <v>148</v>
      </c>
      <c r="I2358" s="24" t="s">
        <v>148</v>
      </c>
      <c r="J2358" s="24" t="s">
        <v>148</v>
      </c>
      <c r="K2358" s="24" t="s">
        <v>148</v>
      </c>
      <c r="L2358" s="24" t="s">
        <v>148</v>
      </c>
    </row>
    <row r="2359" customFormat="false" ht="18" hidden="false" customHeight="true" outlineLevel="0" collapsed="false">
      <c r="A2359" s="17" t="s">
        <v>114</v>
      </c>
      <c r="B2359" s="18" t="s">
        <v>180</v>
      </c>
      <c r="C2359" s="19" t="s">
        <v>120</v>
      </c>
      <c r="D2359" s="20"/>
      <c r="E2359" s="20"/>
      <c r="F2359" s="21" t="n">
        <f aca="false">'📋 Matches'!E55</f>
        <v>0</v>
      </c>
      <c r="G2359" s="21" t="n">
        <f aca="false">'📋 Matches'!F55</f>
        <v>0</v>
      </c>
      <c r="H2359" s="24" t="s">
        <v>148</v>
      </c>
      <c r="I2359" s="24" t="s">
        <v>148</v>
      </c>
      <c r="J2359" s="24" t="s">
        <v>148</v>
      </c>
      <c r="K2359" s="24" t="s">
        <v>148</v>
      </c>
      <c r="L2359" s="24" t="s">
        <v>148</v>
      </c>
    </row>
    <row r="2360" customFormat="false" ht="18" hidden="false" customHeight="true" outlineLevel="0" collapsed="false">
      <c r="A2360" s="17" t="s">
        <v>114</v>
      </c>
      <c r="B2360" s="18" t="s">
        <v>180</v>
      </c>
      <c r="C2360" s="19" t="s">
        <v>121</v>
      </c>
      <c r="D2360" s="20"/>
      <c r="E2360" s="20"/>
      <c r="F2360" s="21" t="n">
        <f aca="false">'📋 Matches'!E56</f>
        <v>0</v>
      </c>
      <c r="G2360" s="21" t="n">
        <f aca="false">'📋 Matches'!F56</f>
        <v>0</v>
      </c>
      <c r="H2360" s="24" t="s">
        <v>148</v>
      </c>
      <c r="I2360" s="24" t="s">
        <v>148</v>
      </c>
      <c r="J2360" s="24" t="s">
        <v>148</v>
      </c>
      <c r="K2360" s="24" t="s">
        <v>148</v>
      </c>
      <c r="L2360" s="24" t="s">
        <v>148</v>
      </c>
    </row>
    <row r="2361" customFormat="false" ht="18" hidden="false" customHeight="true" outlineLevel="0" collapsed="false">
      <c r="A2361" s="17" t="s">
        <v>114</v>
      </c>
      <c r="B2361" s="18" t="s">
        <v>180</v>
      </c>
      <c r="C2361" s="19" t="s">
        <v>122</v>
      </c>
      <c r="D2361" s="20"/>
      <c r="E2361" s="20"/>
      <c r="F2361" s="21" t="n">
        <f aca="false">'📋 Matches'!E57</f>
        <v>0</v>
      </c>
      <c r="G2361" s="21" t="n">
        <f aca="false">'📋 Matches'!F57</f>
        <v>0</v>
      </c>
      <c r="H2361" s="24" t="s">
        <v>148</v>
      </c>
      <c r="I2361" s="24" t="s">
        <v>148</v>
      </c>
      <c r="J2361" s="24" t="s">
        <v>148</v>
      </c>
      <c r="K2361" s="24" t="s">
        <v>148</v>
      </c>
      <c r="L2361" s="24" t="s">
        <v>148</v>
      </c>
    </row>
    <row r="2362" customFormat="false" ht="18" hidden="false" customHeight="true" outlineLevel="0" collapsed="false">
      <c r="A2362" s="17" t="s">
        <v>114</v>
      </c>
      <c r="B2362" s="18" t="s">
        <v>180</v>
      </c>
      <c r="C2362" s="19" t="s">
        <v>123</v>
      </c>
      <c r="D2362" s="20"/>
      <c r="E2362" s="20"/>
      <c r="F2362" s="21" t="n">
        <f aca="false">'📋 Matches'!E58</f>
        <v>0</v>
      </c>
      <c r="G2362" s="21" t="n">
        <f aca="false">'📋 Matches'!F58</f>
        <v>0</v>
      </c>
      <c r="H2362" s="24" t="s">
        <v>148</v>
      </c>
      <c r="I2362" s="24" t="s">
        <v>148</v>
      </c>
      <c r="J2362" s="24" t="s">
        <v>148</v>
      </c>
      <c r="K2362" s="24" t="s">
        <v>148</v>
      </c>
      <c r="L2362" s="24" t="s">
        <v>148</v>
      </c>
    </row>
    <row r="2363" customFormat="false" ht="18" hidden="false" customHeight="true" outlineLevel="0" collapsed="false">
      <c r="A2363" s="17" t="s">
        <v>114</v>
      </c>
      <c r="B2363" s="18" t="s">
        <v>180</v>
      </c>
      <c r="C2363" s="19" t="s">
        <v>124</v>
      </c>
      <c r="D2363" s="20"/>
      <c r="E2363" s="20"/>
      <c r="F2363" s="21" t="n">
        <f aca="false">'📋 Matches'!E59</f>
        <v>0</v>
      </c>
      <c r="G2363" s="21" t="n">
        <f aca="false">'📋 Matches'!F59</f>
        <v>0</v>
      </c>
      <c r="H2363" s="24" t="s">
        <v>148</v>
      </c>
      <c r="I2363" s="24" t="s">
        <v>148</v>
      </c>
      <c r="J2363" s="24" t="s">
        <v>148</v>
      </c>
      <c r="K2363" s="24" t="s">
        <v>148</v>
      </c>
      <c r="L2363" s="24" t="s">
        <v>148</v>
      </c>
    </row>
    <row r="2364" customFormat="false" ht="18" hidden="false" customHeight="true" outlineLevel="0" collapsed="false">
      <c r="A2364" s="17" t="s">
        <v>114</v>
      </c>
      <c r="B2364" s="18" t="s">
        <v>180</v>
      </c>
      <c r="C2364" s="19" t="s">
        <v>125</v>
      </c>
      <c r="D2364" s="20"/>
      <c r="E2364" s="20"/>
      <c r="F2364" s="21" t="n">
        <f aca="false">'📋 Matches'!E60</f>
        <v>0</v>
      </c>
      <c r="G2364" s="21" t="n">
        <f aca="false">'📋 Matches'!F60</f>
        <v>0</v>
      </c>
      <c r="H2364" s="24" t="s">
        <v>148</v>
      </c>
      <c r="I2364" s="24" t="s">
        <v>148</v>
      </c>
      <c r="J2364" s="24" t="s">
        <v>148</v>
      </c>
      <c r="K2364" s="24" t="s">
        <v>148</v>
      </c>
      <c r="L2364" s="24" t="s">
        <v>148</v>
      </c>
    </row>
    <row r="2365" customFormat="false" ht="18" hidden="false" customHeight="true" outlineLevel="0" collapsed="false">
      <c r="A2365" s="17" t="s">
        <v>114</v>
      </c>
      <c r="B2365" s="18" t="s">
        <v>180</v>
      </c>
      <c r="C2365" s="19" t="s">
        <v>126</v>
      </c>
      <c r="D2365" s="20"/>
      <c r="E2365" s="20"/>
      <c r="F2365" s="21" t="n">
        <f aca="false">'📋 Matches'!E61</f>
        <v>0</v>
      </c>
      <c r="G2365" s="21" t="n">
        <f aca="false">'📋 Matches'!F61</f>
        <v>0</v>
      </c>
      <c r="H2365" s="24" t="s">
        <v>148</v>
      </c>
      <c r="I2365" s="24" t="s">
        <v>148</v>
      </c>
      <c r="J2365" s="24" t="s">
        <v>148</v>
      </c>
      <c r="K2365" s="24" t="s">
        <v>148</v>
      </c>
      <c r="L2365" s="24" t="s">
        <v>148</v>
      </c>
    </row>
    <row r="2366" customFormat="false" ht="18" hidden="false" customHeight="true" outlineLevel="0" collapsed="false">
      <c r="A2366" s="17" t="s">
        <v>114</v>
      </c>
      <c r="B2366" s="18" t="s">
        <v>180</v>
      </c>
      <c r="C2366" s="19" t="s">
        <v>127</v>
      </c>
      <c r="D2366" s="20"/>
      <c r="E2366" s="20"/>
      <c r="F2366" s="21" t="n">
        <f aca="false">'📋 Matches'!E62</f>
        <v>0</v>
      </c>
      <c r="G2366" s="21" t="n">
        <f aca="false">'📋 Matches'!F62</f>
        <v>0</v>
      </c>
      <c r="H2366" s="24" t="s">
        <v>148</v>
      </c>
      <c r="I2366" s="24" t="s">
        <v>148</v>
      </c>
      <c r="J2366" s="24" t="s">
        <v>148</v>
      </c>
      <c r="K2366" s="24" t="s">
        <v>148</v>
      </c>
      <c r="L2366" s="24" t="s">
        <v>148</v>
      </c>
    </row>
    <row r="2367" customFormat="false" ht="18" hidden="false" customHeight="true" outlineLevel="0" collapsed="false">
      <c r="A2367" s="17" t="s">
        <v>114</v>
      </c>
      <c r="B2367" s="18" t="s">
        <v>180</v>
      </c>
      <c r="C2367" s="19" t="s">
        <v>128</v>
      </c>
      <c r="D2367" s="20"/>
      <c r="E2367" s="20"/>
      <c r="F2367" s="21" t="n">
        <f aca="false">'📋 Matches'!E63</f>
        <v>0</v>
      </c>
      <c r="G2367" s="21" t="n">
        <f aca="false">'📋 Matches'!F63</f>
        <v>0</v>
      </c>
      <c r="H2367" s="24" t="s">
        <v>148</v>
      </c>
      <c r="I2367" s="24" t="s">
        <v>148</v>
      </c>
      <c r="J2367" s="24" t="s">
        <v>148</v>
      </c>
      <c r="K2367" s="24" t="s">
        <v>148</v>
      </c>
      <c r="L2367" s="24" t="s">
        <v>148</v>
      </c>
    </row>
    <row r="2368" customFormat="false" ht="18" hidden="false" customHeight="true" outlineLevel="0" collapsed="false">
      <c r="A2368" s="17" t="s">
        <v>114</v>
      </c>
      <c r="B2368" s="18" t="s">
        <v>180</v>
      </c>
      <c r="C2368" s="19" t="s">
        <v>129</v>
      </c>
      <c r="D2368" s="20"/>
      <c r="E2368" s="20"/>
      <c r="F2368" s="21" t="n">
        <f aca="false">'📋 Matches'!E64</f>
        <v>0</v>
      </c>
      <c r="G2368" s="21" t="n">
        <f aca="false">'📋 Matches'!F64</f>
        <v>0</v>
      </c>
      <c r="H2368" s="24" t="s">
        <v>148</v>
      </c>
      <c r="I2368" s="24" t="s">
        <v>148</v>
      </c>
      <c r="J2368" s="24" t="s">
        <v>148</v>
      </c>
      <c r="K2368" s="24" t="s">
        <v>148</v>
      </c>
      <c r="L2368" s="24" t="s">
        <v>148</v>
      </c>
    </row>
    <row r="2369" customFormat="false" ht="18" hidden="false" customHeight="true" outlineLevel="0" collapsed="false">
      <c r="A2369" s="17" t="s">
        <v>114</v>
      </c>
      <c r="B2369" s="18" t="s">
        <v>180</v>
      </c>
      <c r="C2369" s="19" t="s">
        <v>130</v>
      </c>
      <c r="D2369" s="20"/>
      <c r="E2369" s="20"/>
      <c r="F2369" s="21" t="n">
        <f aca="false">'📋 Matches'!E65</f>
        <v>0</v>
      </c>
      <c r="G2369" s="21" t="n">
        <f aca="false">'📋 Matches'!F65</f>
        <v>0</v>
      </c>
      <c r="H2369" s="24" t="s">
        <v>148</v>
      </c>
      <c r="I2369" s="24" t="s">
        <v>148</v>
      </c>
      <c r="J2369" s="24" t="s">
        <v>148</v>
      </c>
      <c r="K2369" s="24" t="s">
        <v>148</v>
      </c>
      <c r="L2369" s="24" t="s">
        <v>148</v>
      </c>
    </row>
    <row r="2370" customFormat="false" ht="18" hidden="false" customHeight="true" outlineLevel="0" collapsed="false">
      <c r="A2370" s="17" t="s">
        <v>114</v>
      </c>
      <c r="B2370" s="18" t="s">
        <v>180</v>
      </c>
      <c r="C2370" s="19" t="s">
        <v>131</v>
      </c>
      <c r="D2370" s="20"/>
      <c r="E2370" s="20"/>
      <c r="F2370" s="21" t="n">
        <f aca="false">'📋 Matches'!E66</f>
        <v>0</v>
      </c>
      <c r="G2370" s="21" t="n">
        <f aca="false">'📋 Matches'!F66</f>
        <v>0</v>
      </c>
      <c r="H2370" s="24" t="s">
        <v>148</v>
      </c>
      <c r="I2370" s="24" t="s">
        <v>148</v>
      </c>
      <c r="J2370" s="24" t="s">
        <v>148</v>
      </c>
      <c r="K2370" s="24" t="s">
        <v>148</v>
      </c>
      <c r="L2370" s="24" t="s">
        <v>148</v>
      </c>
    </row>
    <row r="2371" customFormat="false" ht="18" hidden="false" customHeight="true" outlineLevel="0" collapsed="false">
      <c r="A2371" s="17" t="s">
        <v>114</v>
      </c>
      <c r="B2371" s="18" t="s">
        <v>180</v>
      </c>
      <c r="C2371" s="19" t="s">
        <v>132</v>
      </c>
      <c r="D2371" s="20"/>
      <c r="E2371" s="20"/>
      <c r="F2371" s="21" t="n">
        <f aca="false">'📋 Matches'!E67</f>
        <v>0</v>
      </c>
      <c r="G2371" s="21" t="n">
        <f aca="false">'📋 Matches'!F67</f>
        <v>0</v>
      </c>
      <c r="H2371" s="24" t="s">
        <v>148</v>
      </c>
      <c r="I2371" s="24" t="s">
        <v>148</v>
      </c>
      <c r="J2371" s="24" t="s">
        <v>148</v>
      </c>
      <c r="K2371" s="24" t="s">
        <v>148</v>
      </c>
      <c r="L2371" s="24" t="s">
        <v>148</v>
      </c>
    </row>
    <row r="2372" customFormat="false" ht="18" hidden="false" customHeight="true" outlineLevel="0" collapsed="false">
      <c r="A2372" s="17" t="s">
        <v>114</v>
      </c>
      <c r="B2372" s="18" t="s">
        <v>180</v>
      </c>
      <c r="C2372" s="19" t="s">
        <v>133</v>
      </c>
      <c r="D2372" s="20"/>
      <c r="E2372" s="20"/>
      <c r="F2372" s="21" t="n">
        <f aca="false">'📋 Matches'!E68</f>
        <v>0</v>
      </c>
      <c r="G2372" s="21" t="n">
        <f aca="false">'📋 Matches'!F68</f>
        <v>0</v>
      </c>
      <c r="H2372" s="24" t="s">
        <v>148</v>
      </c>
      <c r="I2372" s="24" t="s">
        <v>148</v>
      </c>
      <c r="J2372" s="24" t="s">
        <v>148</v>
      </c>
      <c r="K2372" s="24" t="s">
        <v>148</v>
      </c>
      <c r="L2372" s="24" t="s">
        <v>148</v>
      </c>
    </row>
    <row r="2373" customFormat="false" ht="18" hidden="false" customHeight="true" outlineLevel="0" collapsed="false">
      <c r="A2373" s="17" t="s">
        <v>114</v>
      </c>
      <c r="B2373" s="18" t="s">
        <v>180</v>
      </c>
      <c r="C2373" s="19" t="s">
        <v>134</v>
      </c>
      <c r="D2373" s="20"/>
      <c r="E2373" s="20"/>
      <c r="F2373" s="21" t="n">
        <f aca="false">'📋 Matches'!E69</f>
        <v>0</v>
      </c>
      <c r="G2373" s="21" t="n">
        <f aca="false">'📋 Matches'!F69</f>
        <v>0</v>
      </c>
      <c r="H2373" s="24" t="s">
        <v>148</v>
      </c>
      <c r="I2373" s="24" t="s">
        <v>148</v>
      </c>
      <c r="J2373" s="24" t="s">
        <v>148</v>
      </c>
      <c r="K2373" s="24" t="s">
        <v>148</v>
      </c>
      <c r="L2373" s="24" t="s">
        <v>148</v>
      </c>
    </row>
    <row r="2374" customFormat="false" ht="18" hidden="false" customHeight="true" outlineLevel="0" collapsed="false">
      <c r="A2374" s="17" t="s">
        <v>114</v>
      </c>
      <c r="B2374" s="18" t="s">
        <v>180</v>
      </c>
      <c r="C2374" s="19" t="s">
        <v>135</v>
      </c>
      <c r="D2374" s="20"/>
      <c r="E2374" s="20"/>
      <c r="F2374" s="21" t="n">
        <f aca="false">'📋 Matches'!E70</f>
        <v>0</v>
      </c>
      <c r="G2374" s="21" t="n">
        <f aca="false">'📋 Matches'!F70</f>
        <v>0</v>
      </c>
      <c r="H2374" s="24" t="s">
        <v>148</v>
      </c>
      <c r="I2374" s="24" t="s">
        <v>148</v>
      </c>
      <c r="J2374" s="24" t="s">
        <v>148</v>
      </c>
      <c r="K2374" s="24" t="s">
        <v>148</v>
      </c>
      <c r="L2374" s="24" t="s">
        <v>148</v>
      </c>
    </row>
    <row r="2375" customFormat="false" ht="18" hidden="false" customHeight="true" outlineLevel="0" collapsed="false">
      <c r="A2375" s="17" t="s">
        <v>114</v>
      </c>
      <c r="B2375" s="18" t="s">
        <v>180</v>
      </c>
      <c r="C2375" s="19" t="s">
        <v>136</v>
      </c>
      <c r="D2375" s="20"/>
      <c r="E2375" s="20"/>
      <c r="F2375" s="21" t="n">
        <f aca="false">'📋 Matches'!E71</f>
        <v>0</v>
      </c>
      <c r="G2375" s="21" t="n">
        <f aca="false">'📋 Matches'!F71</f>
        <v>0</v>
      </c>
      <c r="H2375" s="24" t="s">
        <v>148</v>
      </c>
      <c r="I2375" s="24" t="s">
        <v>148</v>
      </c>
      <c r="J2375" s="24" t="s">
        <v>148</v>
      </c>
      <c r="K2375" s="24" t="s">
        <v>148</v>
      </c>
      <c r="L2375" s="24" t="s">
        <v>148</v>
      </c>
    </row>
    <row r="2376" customFormat="false" ht="18" hidden="false" customHeight="true" outlineLevel="0" collapsed="false">
      <c r="A2376" s="17" t="s">
        <v>114</v>
      </c>
      <c r="B2376" s="18" t="s">
        <v>180</v>
      </c>
      <c r="C2376" s="19" t="s">
        <v>137</v>
      </c>
      <c r="D2376" s="20"/>
      <c r="E2376" s="20"/>
      <c r="F2376" s="21" t="n">
        <f aca="false">'📋 Matches'!E72</f>
        <v>0</v>
      </c>
      <c r="G2376" s="21" t="n">
        <f aca="false">'📋 Matches'!F72</f>
        <v>0</v>
      </c>
      <c r="H2376" s="24" t="s">
        <v>148</v>
      </c>
      <c r="I2376" s="24" t="s">
        <v>148</v>
      </c>
      <c r="J2376" s="24" t="s">
        <v>148</v>
      </c>
      <c r="K2376" s="24" t="s">
        <v>148</v>
      </c>
      <c r="L2376" s="24" t="s">
        <v>148</v>
      </c>
    </row>
    <row r="2377" customFormat="false" ht="18" hidden="false" customHeight="true" outlineLevel="0" collapsed="false">
      <c r="A2377" s="17" t="s">
        <v>114</v>
      </c>
      <c r="B2377" s="18" t="s">
        <v>180</v>
      </c>
      <c r="C2377" s="19" t="s">
        <v>138</v>
      </c>
      <c r="D2377" s="20"/>
      <c r="E2377" s="20"/>
      <c r="F2377" s="21" t="n">
        <f aca="false">'📋 Matches'!E73</f>
        <v>0</v>
      </c>
      <c r="G2377" s="21" t="n">
        <f aca="false">'📋 Matches'!F73</f>
        <v>0</v>
      </c>
      <c r="H2377" s="24" t="s">
        <v>148</v>
      </c>
      <c r="I2377" s="24" t="s">
        <v>148</v>
      </c>
      <c r="J2377" s="24" t="s">
        <v>148</v>
      </c>
      <c r="K2377" s="24" t="s">
        <v>148</v>
      </c>
      <c r="L2377" s="24" t="s">
        <v>148</v>
      </c>
    </row>
    <row r="2378" customFormat="false" ht="18" hidden="false" customHeight="true" outlineLevel="0" collapsed="false">
      <c r="A2378" s="25" t="s">
        <v>9</v>
      </c>
      <c r="B2378" s="32" t="s">
        <v>181</v>
      </c>
      <c r="C2378" s="27" t="s">
        <v>10</v>
      </c>
      <c r="D2378" s="28" t="n">
        <v>2</v>
      </c>
      <c r="E2378" s="28" t="n">
        <v>0</v>
      </c>
      <c r="F2378" s="29" t="n">
        <f aca="false">'📋 Matches'!E2</f>
        <v>2</v>
      </c>
      <c r="G2378" s="29" t="n">
        <f aca="false">'📋 Matches'!F2</f>
        <v>0</v>
      </c>
      <c r="H2378" s="22" t="n">
        <f aca="false">IF(AND(ISNUMBER(F2378),ISNUMBER(G2378)),IF(SIGN(D2378-E2378)=SIGN(F2378-G2378),48,0),"")</f>
        <v>48</v>
      </c>
      <c r="I2378" s="22" t="n">
        <f aca="false">IF(AND(ISNUMBER(F2378),ISNUMBER(G2378)),IF(D2378=F2378,15,0),"")</f>
        <v>15</v>
      </c>
      <c r="J2378" s="22" t="n">
        <f aca="false">IF(AND(ISNUMBER(F2378),ISNUMBER(G2378)),IF(E2378=G2378,15,0),"")</f>
        <v>15</v>
      </c>
      <c r="K2378" s="22" t="n">
        <f aca="false">IF(AND(ISNUMBER(F2378),ISNUMBER(G2378)),IF(ABS(D2378-E2378)=ABS(F2378-G2378),12,0),"")</f>
        <v>12</v>
      </c>
      <c r="L2378" s="23" t="n">
        <f aca="false">IF(ISNUMBER(H2378),H2378+I2378+J2378+K2378,"")</f>
        <v>90</v>
      </c>
    </row>
    <row r="2379" customFormat="false" ht="18" hidden="false" customHeight="true" outlineLevel="0" collapsed="false">
      <c r="A2379" s="25" t="s">
        <v>9</v>
      </c>
      <c r="B2379" s="32" t="s">
        <v>181</v>
      </c>
      <c r="C2379" s="27" t="s">
        <v>14</v>
      </c>
      <c r="D2379" s="28" t="n">
        <v>2</v>
      </c>
      <c r="E2379" s="28" t="n">
        <v>0</v>
      </c>
      <c r="F2379" s="29" t="n">
        <f aca="false">'📋 Matches'!E3</f>
        <v>2</v>
      </c>
      <c r="G2379" s="29" t="n">
        <f aca="false">'📋 Matches'!F3</f>
        <v>1</v>
      </c>
      <c r="H2379" s="22" t="n">
        <f aca="false">IF(AND(ISNUMBER(F2379),ISNUMBER(G2379)),IF(SIGN(D2379-E2379)=SIGN(F2379-G2379),48,0),"")</f>
        <v>48</v>
      </c>
      <c r="I2379" s="22" t="n">
        <f aca="false">IF(AND(ISNUMBER(F2379),ISNUMBER(G2379)),IF(D2379=F2379,15,0),"")</f>
        <v>15</v>
      </c>
      <c r="J2379" s="22" t="n">
        <f aca="false">IF(AND(ISNUMBER(F2379),ISNUMBER(G2379)),IF(E2379=G2379,15,0),"")</f>
        <v>0</v>
      </c>
      <c r="K2379" s="22" t="n">
        <f aca="false">IF(AND(ISNUMBER(F2379),ISNUMBER(G2379)),IF(ABS(D2379-E2379)=ABS(F2379-G2379),12,0),"")</f>
        <v>0</v>
      </c>
      <c r="L2379" s="23" t="n">
        <f aca="false">IF(ISNUMBER(H2379),H2379+I2379+J2379+K2379,"")</f>
        <v>63</v>
      </c>
    </row>
    <row r="2380" customFormat="false" ht="18" hidden="false" customHeight="true" outlineLevel="0" collapsed="false">
      <c r="A2380" s="25" t="s">
        <v>9</v>
      </c>
      <c r="B2380" s="32" t="s">
        <v>181</v>
      </c>
      <c r="C2380" s="27" t="s">
        <v>17</v>
      </c>
      <c r="D2380" s="28" t="n">
        <v>2</v>
      </c>
      <c r="E2380" s="28" t="n">
        <v>1</v>
      </c>
      <c r="F2380" s="29" t="n">
        <f aca="false">'📋 Matches'!E4</f>
        <v>1</v>
      </c>
      <c r="G2380" s="29" t="n">
        <f aca="false">'📋 Matches'!F4</f>
        <v>1</v>
      </c>
      <c r="H2380" s="22" t="n">
        <f aca="false">IF(AND(ISNUMBER(F2380),ISNUMBER(G2380)),IF(SIGN(D2380-E2380)=SIGN(F2380-G2380),48,0),"")</f>
        <v>0</v>
      </c>
      <c r="I2380" s="22" t="n">
        <f aca="false">IF(AND(ISNUMBER(F2380),ISNUMBER(G2380)),IF(D2380=F2380,15,0),"")</f>
        <v>0</v>
      </c>
      <c r="J2380" s="22" t="n">
        <f aca="false">IF(AND(ISNUMBER(F2380),ISNUMBER(G2380)),IF(E2380=G2380,15,0),"")</f>
        <v>15</v>
      </c>
      <c r="K2380" s="22" t="n">
        <f aca="false">IF(AND(ISNUMBER(F2380),ISNUMBER(G2380)),IF(ABS(D2380-E2380)=ABS(F2380-G2380),12,0),"")</f>
        <v>0</v>
      </c>
      <c r="L2380" s="23" t="n">
        <f aca="false">IF(ISNUMBER(H2380),H2380+I2380+J2380+K2380,"")</f>
        <v>15</v>
      </c>
    </row>
    <row r="2381" customFormat="false" ht="18" hidden="false" customHeight="true" outlineLevel="0" collapsed="false">
      <c r="A2381" s="25" t="s">
        <v>9</v>
      </c>
      <c r="B2381" s="32" t="s">
        <v>181</v>
      </c>
      <c r="C2381" s="27" t="s">
        <v>20</v>
      </c>
      <c r="D2381" s="28" t="n">
        <v>1</v>
      </c>
      <c r="E2381" s="28" t="n">
        <v>0</v>
      </c>
      <c r="F2381" s="29" t="n">
        <f aca="false">'📋 Matches'!E5</f>
        <v>4</v>
      </c>
      <c r="G2381" s="29" t="n">
        <f aca="false">'📋 Matches'!F5</f>
        <v>1</v>
      </c>
      <c r="H2381" s="22" t="n">
        <f aca="false">IF(AND(ISNUMBER(F2381),ISNUMBER(G2381)),IF(SIGN(D2381-E2381)=SIGN(F2381-G2381),48,0),"")</f>
        <v>48</v>
      </c>
      <c r="I2381" s="22" t="n">
        <f aca="false">IF(AND(ISNUMBER(F2381),ISNUMBER(G2381)),IF(D2381=F2381,15,0),"")</f>
        <v>0</v>
      </c>
      <c r="J2381" s="22" t="n">
        <f aca="false">IF(AND(ISNUMBER(F2381),ISNUMBER(G2381)),IF(E2381=G2381,15,0),"")</f>
        <v>0</v>
      </c>
      <c r="K2381" s="22" t="n">
        <f aca="false">IF(AND(ISNUMBER(F2381),ISNUMBER(G2381)),IF(ABS(D2381-E2381)=ABS(F2381-G2381),12,0),"")</f>
        <v>0</v>
      </c>
      <c r="L2381" s="23" t="n">
        <f aca="false">IF(ISNUMBER(H2381),H2381+I2381+J2381+K2381,"")</f>
        <v>48</v>
      </c>
    </row>
    <row r="2382" customFormat="false" ht="18" hidden="false" customHeight="true" outlineLevel="0" collapsed="false">
      <c r="A2382" s="25" t="s">
        <v>9</v>
      </c>
      <c r="B2382" s="32" t="s">
        <v>181</v>
      </c>
      <c r="C2382" s="27" t="s">
        <v>23</v>
      </c>
      <c r="D2382" s="28" t="n">
        <v>0</v>
      </c>
      <c r="E2382" s="28" t="n">
        <v>2</v>
      </c>
      <c r="F2382" s="29" t="n">
        <f aca="false">'📋 Matches'!E6</f>
        <v>0</v>
      </c>
      <c r="G2382" s="29" t="n">
        <f aca="false">'📋 Matches'!F6</f>
        <v>0</v>
      </c>
      <c r="H2382" s="22" t="str">
        <f aca="false">IF(AND(ISNUMBER(F2382),ISNUMBER(G2382)),IF(SIGN(D2382-E2382)=SIGN(F2382-G2382),48,0),"")</f>
        <v/>
      </c>
      <c r="I2382" s="22" t="str">
        <f aca="false">IF(AND(ISNUMBER(F2382),ISNUMBER(G2382)),IF(D2382=F2382,15,0),"")</f>
        <v/>
      </c>
      <c r="J2382" s="22" t="str">
        <f aca="false">IF(AND(ISNUMBER(F2382),ISNUMBER(G2382)),IF(E2382=G2382,15,0),"")</f>
        <v/>
      </c>
      <c r="K2382" s="22" t="str">
        <f aca="false">IF(AND(ISNUMBER(F2382),ISNUMBER(G2382)),IF(ABS(D2382-E2382)=ABS(F2382-G2382),12,0),"")</f>
        <v/>
      </c>
      <c r="L2382" s="23" t="str">
        <f aca="false">IF(ISNUMBER(H2382),H2382+I2382+J2382+K2382,"")</f>
        <v/>
      </c>
    </row>
    <row r="2383" customFormat="false" ht="18" hidden="false" customHeight="true" outlineLevel="0" collapsed="false">
      <c r="A2383" s="25" t="s">
        <v>9</v>
      </c>
      <c r="B2383" s="32" t="s">
        <v>181</v>
      </c>
      <c r="C2383" s="27" t="s">
        <v>27</v>
      </c>
      <c r="D2383" s="28" t="n">
        <v>2</v>
      </c>
      <c r="E2383" s="28" t="n">
        <v>0</v>
      </c>
      <c r="F2383" s="29" t="n">
        <f aca="false">'📋 Matches'!E7</f>
        <v>0</v>
      </c>
      <c r="G2383" s="29" t="n">
        <f aca="false">'📋 Matches'!F7</f>
        <v>0</v>
      </c>
      <c r="H2383" s="22" t="str">
        <f aca="false">IF(AND(ISNUMBER(F2383),ISNUMBER(G2383)),IF(SIGN(D2383-E2383)=SIGN(F2383-G2383),48,0),"")</f>
        <v/>
      </c>
      <c r="I2383" s="22" t="str">
        <f aca="false">IF(AND(ISNUMBER(F2383),ISNUMBER(G2383)),IF(D2383=F2383,15,0),"")</f>
        <v/>
      </c>
      <c r="J2383" s="22" t="str">
        <f aca="false">IF(AND(ISNUMBER(F2383),ISNUMBER(G2383)),IF(E2383=G2383,15,0),"")</f>
        <v/>
      </c>
      <c r="K2383" s="22" t="str">
        <f aca="false">IF(AND(ISNUMBER(F2383),ISNUMBER(G2383)),IF(ABS(D2383-E2383)=ABS(F2383-G2383),12,0),"")</f>
        <v/>
      </c>
      <c r="L2383" s="23" t="str">
        <f aca="false">IF(ISNUMBER(H2383),H2383+I2383+J2383+K2383,"")</f>
        <v/>
      </c>
    </row>
    <row r="2384" customFormat="false" ht="18" hidden="false" customHeight="true" outlineLevel="0" collapsed="false">
      <c r="A2384" s="25" t="s">
        <v>9</v>
      </c>
      <c r="B2384" s="32" t="s">
        <v>181</v>
      </c>
      <c r="C2384" s="27" t="s">
        <v>30</v>
      </c>
      <c r="D2384" s="28" t="n">
        <v>0</v>
      </c>
      <c r="E2384" s="28" t="n">
        <v>1</v>
      </c>
      <c r="F2384" s="29" t="n">
        <f aca="false">'📋 Matches'!E8</f>
        <v>0</v>
      </c>
      <c r="G2384" s="29" t="n">
        <f aca="false">'📋 Matches'!F8</f>
        <v>0</v>
      </c>
      <c r="H2384" s="22" t="str">
        <f aca="false">IF(AND(ISNUMBER(F2384),ISNUMBER(G2384)),IF(SIGN(D2384-E2384)=SIGN(F2384-G2384),48,0),"")</f>
        <v/>
      </c>
      <c r="I2384" s="22" t="str">
        <f aca="false">IF(AND(ISNUMBER(F2384),ISNUMBER(G2384)),IF(D2384=F2384,15,0),"")</f>
        <v/>
      </c>
      <c r="J2384" s="22" t="str">
        <f aca="false">IF(AND(ISNUMBER(F2384),ISNUMBER(G2384)),IF(E2384=G2384,15,0),"")</f>
        <v/>
      </c>
      <c r="K2384" s="22" t="str">
        <f aca="false">IF(AND(ISNUMBER(F2384),ISNUMBER(G2384)),IF(ABS(D2384-E2384)=ABS(F2384-G2384),12,0),"")</f>
        <v/>
      </c>
      <c r="L2384" s="23" t="str">
        <f aca="false">IF(ISNUMBER(H2384),H2384+I2384+J2384+K2384,"")</f>
        <v/>
      </c>
    </row>
    <row r="2385" customFormat="false" ht="18" hidden="false" customHeight="true" outlineLevel="0" collapsed="false">
      <c r="A2385" s="25" t="s">
        <v>9</v>
      </c>
      <c r="B2385" s="32" t="s">
        <v>181</v>
      </c>
      <c r="C2385" s="27" t="s">
        <v>33</v>
      </c>
      <c r="D2385" s="28" t="n">
        <v>2</v>
      </c>
      <c r="E2385" s="28" t="n">
        <v>2</v>
      </c>
      <c r="F2385" s="29" t="n">
        <f aca="false">'📋 Matches'!E9</f>
        <v>0</v>
      </c>
      <c r="G2385" s="29" t="n">
        <f aca="false">'📋 Matches'!F9</f>
        <v>0</v>
      </c>
      <c r="H2385" s="22" t="str">
        <f aca="false">IF(AND(ISNUMBER(F2385),ISNUMBER(G2385)),IF(SIGN(D2385-E2385)=SIGN(F2385-G2385),48,0),"")</f>
        <v/>
      </c>
      <c r="I2385" s="22" t="str">
        <f aca="false">IF(AND(ISNUMBER(F2385),ISNUMBER(G2385)),IF(D2385=F2385,15,0),"")</f>
        <v/>
      </c>
      <c r="J2385" s="22" t="str">
        <f aca="false">IF(AND(ISNUMBER(F2385),ISNUMBER(G2385)),IF(E2385=G2385,15,0),"")</f>
        <v/>
      </c>
      <c r="K2385" s="22" t="str">
        <f aca="false">IF(AND(ISNUMBER(F2385),ISNUMBER(G2385)),IF(ABS(D2385-E2385)=ABS(F2385-G2385),12,0),"")</f>
        <v/>
      </c>
      <c r="L2385" s="23" t="str">
        <f aca="false">IF(ISNUMBER(H2385),H2385+I2385+J2385+K2385,"")</f>
        <v/>
      </c>
    </row>
    <row r="2386" customFormat="false" ht="18" hidden="false" customHeight="true" outlineLevel="0" collapsed="false">
      <c r="A2386" s="25" t="s">
        <v>9</v>
      </c>
      <c r="B2386" s="32" t="s">
        <v>181</v>
      </c>
      <c r="C2386" s="27" t="s">
        <v>36</v>
      </c>
      <c r="D2386" s="28" t="n">
        <v>3</v>
      </c>
      <c r="E2386" s="28" t="n">
        <v>0</v>
      </c>
      <c r="F2386" s="29" t="n">
        <f aca="false">'📋 Matches'!E10</f>
        <v>0</v>
      </c>
      <c r="G2386" s="29" t="n">
        <f aca="false">'📋 Matches'!F10</f>
        <v>0</v>
      </c>
      <c r="H2386" s="22" t="str">
        <f aca="false">IF(AND(ISNUMBER(F2386),ISNUMBER(G2386)),IF(SIGN(D2386-E2386)=SIGN(F2386-G2386),48,0),"")</f>
        <v/>
      </c>
      <c r="I2386" s="22" t="str">
        <f aca="false">IF(AND(ISNUMBER(F2386),ISNUMBER(G2386)),IF(D2386=F2386,15,0),"")</f>
        <v/>
      </c>
      <c r="J2386" s="22" t="str">
        <f aca="false">IF(AND(ISNUMBER(F2386),ISNUMBER(G2386)),IF(E2386=G2386,15,0),"")</f>
        <v/>
      </c>
      <c r="K2386" s="22" t="str">
        <f aca="false">IF(AND(ISNUMBER(F2386),ISNUMBER(G2386)),IF(ABS(D2386-E2386)=ABS(F2386-G2386),12,0),"")</f>
        <v/>
      </c>
      <c r="L2386" s="23" t="str">
        <f aca="false">IF(ISNUMBER(H2386),H2386+I2386+J2386+K2386,"")</f>
        <v/>
      </c>
    </row>
    <row r="2387" customFormat="false" ht="18" hidden="false" customHeight="true" outlineLevel="0" collapsed="false">
      <c r="A2387" s="25" t="s">
        <v>9</v>
      </c>
      <c r="B2387" s="32" t="s">
        <v>181</v>
      </c>
      <c r="C2387" s="27" t="s">
        <v>39</v>
      </c>
      <c r="D2387" s="28" t="n">
        <v>2</v>
      </c>
      <c r="E2387" s="28" t="n">
        <v>1</v>
      </c>
      <c r="F2387" s="29" t="n">
        <f aca="false">'📋 Matches'!E11</f>
        <v>0</v>
      </c>
      <c r="G2387" s="29" t="n">
        <f aca="false">'📋 Matches'!F11</f>
        <v>0</v>
      </c>
      <c r="H2387" s="22" t="str">
        <f aca="false">IF(AND(ISNUMBER(F2387),ISNUMBER(G2387)),IF(SIGN(D2387-E2387)=SIGN(F2387-G2387),48,0),"")</f>
        <v/>
      </c>
      <c r="I2387" s="22" t="str">
        <f aca="false">IF(AND(ISNUMBER(F2387),ISNUMBER(G2387)),IF(D2387=F2387,15,0),"")</f>
        <v/>
      </c>
      <c r="J2387" s="22" t="str">
        <f aca="false">IF(AND(ISNUMBER(F2387),ISNUMBER(G2387)),IF(E2387=G2387,15,0),"")</f>
        <v/>
      </c>
      <c r="K2387" s="22" t="str">
        <f aca="false">IF(AND(ISNUMBER(F2387),ISNUMBER(G2387)),IF(ABS(D2387-E2387)=ABS(F2387-G2387),12,0),"")</f>
        <v/>
      </c>
      <c r="L2387" s="23" t="str">
        <f aca="false">IF(ISNUMBER(H2387),H2387+I2387+J2387+K2387,"")</f>
        <v/>
      </c>
    </row>
    <row r="2388" customFormat="false" ht="18" hidden="false" customHeight="true" outlineLevel="0" collapsed="false">
      <c r="A2388" s="25" t="s">
        <v>9</v>
      </c>
      <c r="B2388" s="32" t="s">
        <v>181</v>
      </c>
      <c r="C2388" s="27" t="s">
        <v>42</v>
      </c>
      <c r="D2388" s="28" t="n">
        <v>0</v>
      </c>
      <c r="E2388" s="28" t="n">
        <v>0</v>
      </c>
      <c r="F2388" s="29" t="n">
        <f aca="false">'📋 Matches'!E12</f>
        <v>0</v>
      </c>
      <c r="G2388" s="29" t="n">
        <f aca="false">'📋 Matches'!F12</f>
        <v>0</v>
      </c>
      <c r="H2388" s="22" t="str">
        <f aca="false">IF(AND(ISNUMBER(F2388),ISNUMBER(G2388)),IF(SIGN(D2388-E2388)=SIGN(F2388-G2388),48,0),"")</f>
        <v/>
      </c>
      <c r="I2388" s="22" t="str">
        <f aca="false">IF(AND(ISNUMBER(F2388),ISNUMBER(G2388)),IF(D2388=F2388,15,0),"")</f>
        <v/>
      </c>
      <c r="J2388" s="22" t="str">
        <f aca="false">IF(AND(ISNUMBER(F2388),ISNUMBER(G2388)),IF(E2388=G2388,15,0),"")</f>
        <v/>
      </c>
      <c r="K2388" s="22" t="str">
        <f aca="false">IF(AND(ISNUMBER(F2388),ISNUMBER(G2388)),IF(ABS(D2388-E2388)=ABS(F2388-G2388),12,0),"")</f>
        <v/>
      </c>
      <c r="L2388" s="23" t="str">
        <f aca="false">IF(ISNUMBER(H2388),H2388+I2388+J2388+K2388,"")</f>
        <v/>
      </c>
    </row>
    <row r="2389" customFormat="false" ht="18" hidden="false" customHeight="true" outlineLevel="0" collapsed="false">
      <c r="A2389" s="25" t="s">
        <v>9</v>
      </c>
      <c r="B2389" s="32" t="s">
        <v>181</v>
      </c>
      <c r="C2389" s="27" t="s">
        <v>45</v>
      </c>
      <c r="D2389" s="28" t="n">
        <v>0</v>
      </c>
      <c r="E2389" s="28" t="n">
        <v>0</v>
      </c>
      <c r="F2389" s="29" t="n">
        <f aca="false">'📋 Matches'!E13</f>
        <v>0</v>
      </c>
      <c r="G2389" s="29" t="n">
        <f aca="false">'📋 Matches'!F13</f>
        <v>0</v>
      </c>
      <c r="H2389" s="22" t="str">
        <f aca="false">IF(AND(ISNUMBER(F2389),ISNUMBER(G2389)),IF(SIGN(D2389-E2389)=SIGN(F2389-G2389),48,0),"")</f>
        <v/>
      </c>
      <c r="I2389" s="22" t="str">
        <f aca="false">IF(AND(ISNUMBER(F2389),ISNUMBER(G2389)),IF(D2389=F2389,15,0),"")</f>
        <v/>
      </c>
      <c r="J2389" s="22" t="str">
        <f aca="false">IF(AND(ISNUMBER(F2389),ISNUMBER(G2389)),IF(E2389=G2389,15,0),"")</f>
        <v/>
      </c>
      <c r="K2389" s="22" t="str">
        <f aca="false">IF(AND(ISNUMBER(F2389),ISNUMBER(G2389)),IF(ABS(D2389-E2389)=ABS(F2389-G2389),12,0),"")</f>
        <v/>
      </c>
      <c r="L2389" s="23" t="str">
        <f aca="false">IF(ISNUMBER(H2389),H2389+I2389+J2389+K2389,"")</f>
        <v/>
      </c>
    </row>
    <row r="2390" customFormat="false" ht="18" hidden="false" customHeight="true" outlineLevel="0" collapsed="false">
      <c r="A2390" s="25" t="s">
        <v>9</v>
      </c>
      <c r="B2390" s="32" t="s">
        <v>181</v>
      </c>
      <c r="C2390" s="27" t="s">
        <v>48</v>
      </c>
      <c r="D2390" s="28" t="n">
        <v>3</v>
      </c>
      <c r="E2390" s="28" t="n">
        <v>0</v>
      </c>
      <c r="F2390" s="29" t="n">
        <f aca="false">'📋 Matches'!E14</f>
        <v>0</v>
      </c>
      <c r="G2390" s="29" t="n">
        <f aca="false">'📋 Matches'!F14</f>
        <v>0</v>
      </c>
      <c r="H2390" s="22" t="str">
        <f aca="false">IF(AND(ISNUMBER(F2390),ISNUMBER(G2390)),IF(SIGN(D2390-E2390)=SIGN(F2390-G2390),48,0),"")</f>
        <v/>
      </c>
      <c r="I2390" s="22" t="str">
        <f aca="false">IF(AND(ISNUMBER(F2390),ISNUMBER(G2390)),IF(D2390=F2390,15,0),"")</f>
        <v/>
      </c>
      <c r="J2390" s="22" t="str">
        <f aca="false">IF(AND(ISNUMBER(F2390),ISNUMBER(G2390)),IF(E2390=G2390,15,0),"")</f>
        <v/>
      </c>
      <c r="K2390" s="22" t="str">
        <f aca="false">IF(AND(ISNUMBER(F2390),ISNUMBER(G2390)),IF(ABS(D2390-E2390)=ABS(F2390-G2390),12,0),"")</f>
        <v/>
      </c>
      <c r="L2390" s="23" t="str">
        <f aca="false">IF(ISNUMBER(H2390),H2390+I2390+J2390+K2390,"")</f>
        <v/>
      </c>
    </row>
    <row r="2391" customFormat="false" ht="18" hidden="false" customHeight="true" outlineLevel="0" collapsed="false">
      <c r="A2391" s="25" t="s">
        <v>9</v>
      </c>
      <c r="B2391" s="32" t="s">
        <v>181</v>
      </c>
      <c r="C2391" s="27" t="s">
        <v>51</v>
      </c>
      <c r="D2391" s="28" t="n">
        <v>1</v>
      </c>
      <c r="E2391" s="28" t="n">
        <v>0</v>
      </c>
      <c r="F2391" s="29" t="n">
        <f aca="false">'📋 Matches'!E15</f>
        <v>0</v>
      </c>
      <c r="G2391" s="29" t="n">
        <f aca="false">'📋 Matches'!F15</f>
        <v>0</v>
      </c>
      <c r="H2391" s="22" t="str">
        <f aca="false">IF(AND(ISNUMBER(F2391),ISNUMBER(G2391)),IF(SIGN(D2391-E2391)=SIGN(F2391-G2391),48,0),"")</f>
        <v/>
      </c>
      <c r="I2391" s="22" t="str">
        <f aca="false">IF(AND(ISNUMBER(F2391),ISNUMBER(G2391)),IF(D2391=F2391,15,0),"")</f>
        <v/>
      </c>
      <c r="J2391" s="22" t="str">
        <f aca="false">IF(AND(ISNUMBER(F2391),ISNUMBER(G2391)),IF(E2391=G2391,15,0),"")</f>
        <v/>
      </c>
      <c r="K2391" s="22" t="str">
        <f aca="false">IF(AND(ISNUMBER(F2391),ISNUMBER(G2391)),IF(ABS(D2391-E2391)=ABS(F2391-G2391),12,0),"")</f>
        <v/>
      </c>
      <c r="L2391" s="23" t="str">
        <f aca="false">IF(ISNUMBER(H2391),H2391+I2391+J2391+K2391,"")</f>
        <v/>
      </c>
    </row>
    <row r="2392" customFormat="false" ht="18" hidden="false" customHeight="true" outlineLevel="0" collapsed="false">
      <c r="A2392" s="25" t="s">
        <v>9</v>
      </c>
      <c r="B2392" s="32" t="s">
        <v>181</v>
      </c>
      <c r="C2392" s="27" t="s">
        <v>54</v>
      </c>
      <c r="D2392" s="28" t="n">
        <v>0</v>
      </c>
      <c r="E2392" s="28" t="n">
        <v>2</v>
      </c>
      <c r="F2392" s="29" t="n">
        <f aca="false">'📋 Matches'!E16</f>
        <v>0</v>
      </c>
      <c r="G2392" s="29" t="n">
        <f aca="false">'📋 Matches'!F16</f>
        <v>0</v>
      </c>
      <c r="H2392" s="22" t="str">
        <f aca="false">IF(AND(ISNUMBER(F2392),ISNUMBER(G2392)),IF(SIGN(D2392-E2392)=SIGN(F2392-G2392),48,0),"")</f>
        <v/>
      </c>
      <c r="I2392" s="22" t="str">
        <f aca="false">IF(AND(ISNUMBER(F2392),ISNUMBER(G2392)),IF(D2392=F2392,15,0),"")</f>
        <v/>
      </c>
      <c r="J2392" s="22" t="str">
        <f aca="false">IF(AND(ISNUMBER(F2392),ISNUMBER(G2392)),IF(E2392=G2392,15,0),"")</f>
        <v/>
      </c>
      <c r="K2392" s="22" t="str">
        <f aca="false">IF(AND(ISNUMBER(F2392),ISNUMBER(G2392)),IF(ABS(D2392-E2392)=ABS(F2392-G2392),12,0),"")</f>
        <v/>
      </c>
      <c r="L2392" s="23" t="str">
        <f aca="false">IF(ISNUMBER(H2392),H2392+I2392+J2392+K2392,"")</f>
        <v/>
      </c>
    </row>
    <row r="2393" customFormat="false" ht="18" hidden="false" customHeight="true" outlineLevel="0" collapsed="false">
      <c r="A2393" s="25" t="s">
        <v>9</v>
      </c>
      <c r="B2393" s="32" t="s">
        <v>181</v>
      </c>
      <c r="C2393" s="27" t="s">
        <v>57</v>
      </c>
      <c r="D2393" s="28" t="n">
        <v>2</v>
      </c>
      <c r="E2393" s="28" t="n">
        <v>0</v>
      </c>
      <c r="F2393" s="29" t="n">
        <f aca="false">'📋 Matches'!E17</f>
        <v>0</v>
      </c>
      <c r="G2393" s="29" t="n">
        <f aca="false">'📋 Matches'!F17</f>
        <v>0</v>
      </c>
      <c r="H2393" s="22" t="str">
        <f aca="false">IF(AND(ISNUMBER(F2393),ISNUMBER(G2393)),IF(SIGN(D2393-E2393)=SIGN(F2393-G2393),48,0),"")</f>
        <v/>
      </c>
      <c r="I2393" s="22" t="str">
        <f aca="false">IF(AND(ISNUMBER(F2393),ISNUMBER(G2393)),IF(D2393=F2393,15,0),"")</f>
        <v/>
      </c>
      <c r="J2393" s="22" t="str">
        <f aca="false">IF(AND(ISNUMBER(F2393),ISNUMBER(G2393)),IF(E2393=G2393,15,0),"")</f>
        <v/>
      </c>
      <c r="K2393" s="22" t="str">
        <f aca="false">IF(AND(ISNUMBER(F2393),ISNUMBER(G2393)),IF(ABS(D2393-E2393)=ABS(F2393-G2393),12,0),"")</f>
        <v/>
      </c>
      <c r="L2393" s="23" t="str">
        <f aca="false">IF(ISNUMBER(H2393),H2393+I2393+J2393+K2393,"")</f>
        <v/>
      </c>
    </row>
    <row r="2394" customFormat="false" ht="18" hidden="false" customHeight="true" outlineLevel="0" collapsed="false">
      <c r="A2394" s="25" t="s">
        <v>9</v>
      </c>
      <c r="B2394" s="32" t="s">
        <v>181</v>
      </c>
      <c r="C2394" s="27" t="s">
        <v>60</v>
      </c>
      <c r="D2394" s="28" t="n">
        <v>2</v>
      </c>
      <c r="E2394" s="28" t="n">
        <v>1</v>
      </c>
      <c r="F2394" s="29" t="n">
        <f aca="false">'📋 Matches'!E18</f>
        <v>0</v>
      </c>
      <c r="G2394" s="29" t="n">
        <f aca="false">'📋 Matches'!F18</f>
        <v>0</v>
      </c>
      <c r="H2394" s="22" t="str">
        <f aca="false">IF(AND(ISNUMBER(F2394),ISNUMBER(G2394)),IF(SIGN(D2394-E2394)=SIGN(F2394-G2394),48,0),"")</f>
        <v/>
      </c>
      <c r="I2394" s="22" t="str">
        <f aca="false">IF(AND(ISNUMBER(F2394),ISNUMBER(G2394)),IF(D2394=F2394,15,0),"")</f>
        <v/>
      </c>
      <c r="J2394" s="22" t="str">
        <f aca="false">IF(AND(ISNUMBER(F2394),ISNUMBER(G2394)),IF(E2394=G2394,15,0),"")</f>
        <v/>
      </c>
      <c r="K2394" s="22" t="str">
        <f aca="false">IF(AND(ISNUMBER(F2394),ISNUMBER(G2394)),IF(ABS(D2394-E2394)=ABS(F2394-G2394),12,0),"")</f>
        <v/>
      </c>
      <c r="L2394" s="23" t="str">
        <f aca="false">IF(ISNUMBER(H2394),H2394+I2394+J2394+K2394,"")</f>
        <v/>
      </c>
    </row>
    <row r="2395" customFormat="false" ht="18" hidden="false" customHeight="true" outlineLevel="0" collapsed="false">
      <c r="A2395" s="25" t="s">
        <v>9</v>
      </c>
      <c r="B2395" s="32" t="s">
        <v>181</v>
      </c>
      <c r="C2395" s="27" t="s">
        <v>63</v>
      </c>
      <c r="D2395" s="28" t="n">
        <v>0</v>
      </c>
      <c r="E2395" s="28" t="n">
        <v>2</v>
      </c>
      <c r="F2395" s="29" t="n">
        <f aca="false">'📋 Matches'!E19</f>
        <v>0</v>
      </c>
      <c r="G2395" s="29" t="n">
        <f aca="false">'📋 Matches'!F19</f>
        <v>0</v>
      </c>
      <c r="H2395" s="22" t="str">
        <f aca="false">IF(AND(ISNUMBER(F2395),ISNUMBER(G2395)),IF(SIGN(D2395-E2395)=SIGN(F2395-G2395),48,0),"")</f>
        <v/>
      </c>
      <c r="I2395" s="22" t="str">
        <f aca="false">IF(AND(ISNUMBER(F2395),ISNUMBER(G2395)),IF(D2395=F2395,15,0),"")</f>
        <v/>
      </c>
      <c r="J2395" s="22" t="str">
        <f aca="false">IF(AND(ISNUMBER(F2395),ISNUMBER(G2395)),IF(E2395=G2395,15,0),"")</f>
        <v/>
      </c>
      <c r="K2395" s="22" t="str">
        <f aca="false">IF(AND(ISNUMBER(F2395),ISNUMBER(G2395)),IF(ABS(D2395-E2395)=ABS(F2395-G2395),12,0),"")</f>
        <v/>
      </c>
      <c r="L2395" s="23" t="str">
        <f aca="false">IF(ISNUMBER(H2395),H2395+I2395+J2395+K2395,"")</f>
        <v/>
      </c>
    </row>
    <row r="2396" customFormat="false" ht="18" hidden="false" customHeight="true" outlineLevel="0" collapsed="false">
      <c r="A2396" s="25" t="s">
        <v>9</v>
      </c>
      <c r="B2396" s="32" t="s">
        <v>181</v>
      </c>
      <c r="C2396" s="27" t="s">
        <v>66</v>
      </c>
      <c r="D2396" s="28" t="n">
        <v>3</v>
      </c>
      <c r="E2396" s="28" t="n">
        <v>0</v>
      </c>
      <c r="F2396" s="29" t="n">
        <f aca="false">'📋 Matches'!E20</f>
        <v>0</v>
      </c>
      <c r="G2396" s="29" t="n">
        <f aca="false">'📋 Matches'!F20</f>
        <v>0</v>
      </c>
      <c r="H2396" s="22" t="str">
        <f aca="false">IF(AND(ISNUMBER(F2396),ISNUMBER(G2396)),IF(SIGN(D2396-E2396)=SIGN(F2396-G2396),48,0),"")</f>
        <v/>
      </c>
      <c r="I2396" s="22" t="str">
        <f aca="false">IF(AND(ISNUMBER(F2396),ISNUMBER(G2396)),IF(D2396=F2396,15,0),"")</f>
        <v/>
      </c>
      <c r="J2396" s="22" t="str">
        <f aca="false">IF(AND(ISNUMBER(F2396),ISNUMBER(G2396)),IF(E2396=G2396,15,0),"")</f>
        <v/>
      </c>
      <c r="K2396" s="22" t="str">
        <f aca="false">IF(AND(ISNUMBER(F2396),ISNUMBER(G2396)),IF(ABS(D2396-E2396)=ABS(F2396-G2396),12,0),"")</f>
        <v/>
      </c>
      <c r="L2396" s="23" t="str">
        <f aca="false">IF(ISNUMBER(H2396),H2396+I2396+J2396+K2396,"")</f>
        <v/>
      </c>
    </row>
    <row r="2397" customFormat="false" ht="18" hidden="false" customHeight="true" outlineLevel="0" collapsed="false">
      <c r="A2397" s="25" t="s">
        <v>9</v>
      </c>
      <c r="B2397" s="32" t="s">
        <v>181</v>
      </c>
      <c r="C2397" s="27" t="s">
        <v>69</v>
      </c>
      <c r="D2397" s="28" t="n">
        <v>1</v>
      </c>
      <c r="E2397" s="28" t="n">
        <v>0</v>
      </c>
      <c r="F2397" s="29" t="n">
        <f aca="false">'📋 Matches'!E21</f>
        <v>0</v>
      </c>
      <c r="G2397" s="29" t="n">
        <f aca="false">'📋 Matches'!F21</f>
        <v>0</v>
      </c>
      <c r="H2397" s="22" t="str">
        <f aca="false">IF(AND(ISNUMBER(F2397),ISNUMBER(G2397)),IF(SIGN(D2397-E2397)=SIGN(F2397-G2397),48,0),"")</f>
        <v/>
      </c>
      <c r="I2397" s="22" t="str">
        <f aca="false">IF(AND(ISNUMBER(F2397),ISNUMBER(G2397)),IF(D2397=F2397,15,0),"")</f>
        <v/>
      </c>
      <c r="J2397" s="22" t="str">
        <f aca="false">IF(AND(ISNUMBER(F2397),ISNUMBER(G2397)),IF(E2397=G2397,15,0),"")</f>
        <v/>
      </c>
      <c r="K2397" s="22" t="str">
        <f aca="false">IF(AND(ISNUMBER(F2397),ISNUMBER(G2397)),IF(ABS(D2397-E2397)=ABS(F2397-G2397),12,0),"")</f>
        <v/>
      </c>
      <c r="L2397" s="23" t="str">
        <f aca="false">IF(ISNUMBER(H2397),H2397+I2397+J2397+K2397,"")</f>
        <v/>
      </c>
    </row>
    <row r="2398" customFormat="false" ht="18" hidden="false" customHeight="true" outlineLevel="0" collapsed="false">
      <c r="A2398" s="25" t="s">
        <v>9</v>
      </c>
      <c r="B2398" s="32" t="s">
        <v>181</v>
      </c>
      <c r="C2398" s="27" t="s">
        <v>72</v>
      </c>
      <c r="D2398" s="28" t="n">
        <v>3</v>
      </c>
      <c r="E2398" s="28" t="n">
        <v>0</v>
      </c>
      <c r="F2398" s="29" t="n">
        <f aca="false">'📋 Matches'!E22</f>
        <v>0</v>
      </c>
      <c r="G2398" s="29" t="n">
        <f aca="false">'📋 Matches'!F22</f>
        <v>0</v>
      </c>
      <c r="H2398" s="22" t="str">
        <f aca="false">IF(AND(ISNUMBER(F2398),ISNUMBER(G2398)),IF(SIGN(D2398-E2398)=SIGN(F2398-G2398),48,0),"")</f>
        <v/>
      </c>
      <c r="I2398" s="22" t="str">
        <f aca="false">IF(AND(ISNUMBER(F2398),ISNUMBER(G2398)),IF(D2398=F2398,15,0),"")</f>
        <v/>
      </c>
      <c r="J2398" s="22" t="str">
        <f aca="false">IF(AND(ISNUMBER(F2398),ISNUMBER(G2398)),IF(E2398=G2398,15,0),"")</f>
        <v/>
      </c>
      <c r="K2398" s="22" t="str">
        <f aca="false">IF(AND(ISNUMBER(F2398),ISNUMBER(G2398)),IF(ABS(D2398-E2398)=ABS(F2398-G2398),12,0),"")</f>
        <v/>
      </c>
      <c r="L2398" s="23" t="str">
        <f aca="false">IF(ISNUMBER(H2398),H2398+I2398+J2398+K2398,"")</f>
        <v/>
      </c>
    </row>
    <row r="2399" customFormat="false" ht="18" hidden="false" customHeight="true" outlineLevel="0" collapsed="false">
      <c r="A2399" s="25" t="s">
        <v>9</v>
      </c>
      <c r="B2399" s="32" t="s">
        <v>181</v>
      </c>
      <c r="C2399" s="27" t="s">
        <v>75</v>
      </c>
      <c r="D2399" s="28" t="n">
        <v>2</v>
      </c>
      <c r="E2399" s="28" t="n">
        <v>1</v>
      </c>
      <c r="F2399" s="29" t="n">
        <f aca="false">'📋 Matches'!E23</f>
        <v>0</v>
      </c>
      <c r="G2399" s="29" t="n">
        <f aca="false">'📋 Matches'!F23</f>
        <v>0</v>
      </c>
      <c r="H2399" s="22" t="str">
        <f aca="false">IF(AND(ISNUMBER(F2399),ISNUMBER(G2399)),IF(SIGN(D2399-E2399)=SIGN(F2399-G2399),48,0),"")</f>
        <v/>
      </c>
      <c r="I2399" s="22" t="str">
        <f aca="false">IF(AND(ISNUMBER(F2399),ISNUMBER(G2399)),IF(D2399=F2399,15,0),"")</f>
        <v/>
      </c>
      <c r="J2399" s="22" t="str">
        <f aca="false">IF(AND(ISNUMBER(F2399),ISNUMBER(G2399)),IF(E2399=G2399,15,0),"")</f>
        <v/>
      </c>
      <c r="K2399" s="22" t="str">
        <f aca="false">IF(AND(ISNUMBER(F2399),ISNUMBER(G2399)),IF(ABS(D2399-E2399)=ABS(F2399-G2399),12,0),"")</f>
        <v/>
      </c>
      <c r="L2399" s="23" t="str">
        <f aca="false">IF(ISNUMBER(H2399),H2399+I2399+J2399+K2399,"")</f>
        <v/>
      </c>
    </row>
    <row r="2400" customFormat="false" ht="18" hidden="false" customHeight="true" outlineLevel="0" collapsed="false">
      <c r="A2400" s="25" t="s">
        <v>9</v>
      </c>
      <c r="B2400" s="32" t="s">
        <v>181</v>
      </c>
      <c r="C2400" s="27" t="s">
        <v>78</v>
      </c>
      <c r="D2400" s="28" t="n">
        <v>1</v>
      </c>
      <c r="E2400" s="28" t="n">
        <v>0</v>
      </c>
      <c r="F2400" s="29" t="n">
        <f aca="false">'📋 Matches'!E24</f>
        <v>0</v>
      </c>
      <c r="G2400" s="29" t="n">
        <f aca="false">'📋 Matches'!F24</f>
        <v>0</v>
      </c>
      <c r="H2400" s="22" t="str">
        <f aca="false">IF(AND(ISNUMBER(F2400),ISNUMBER(G2400)),IF(SIGN(D2400-E2400)=SIGN(F2400-G2400),48,0),"")</f>
        <v/>
      </c>
      <c r="I2400" s="22" t="str">
        <f aca="false">IF(AND(ISNUMBER(F2400),ISNUMBER(G2400)),IF(D2400=F2400,15,0),"")</f>
        <v/>
      </c>
      <c r="J2400" s="22" t="str">
        <f aca="false">IF(AND(ISNUMBER(F2400),ISNUMBER(G2400)),IF(E2400=G2400,15,0),"")</f>
        <v/>
      </c>
      <c r="K2400" s="22" t="str">
        <f aca="false">IF(AND(ISNUMBER(F2400),ISNUMBER(G2400)),IF(ABS(D2400-E2400)=ABS(F2400-G2400),12,0),"")</f>
        <v/>
      </c>
      <c r="L2400" s="23" t="str">
        <f aca="false">IF(ISNUMBER(H2400),H2400+I2400+J2400+K2400,"")</f>
        <v/>
      </c>
    </row>
    <row r="2401" customFormat="false" ht="18" hidden="false" customHeight="true" outlineLevel="0" collapsed="false">
      <c r="A2401" s="25" t="s">
        <v>9</v>
      </c>
      <c r="B2401" s="32" t="s">
        <v>181</v>
      </c>
      <c r="C2401" s="27" t="s">
        <v>81</v>
      </c>
      <c r="D2401" s="28" t="n">
        <v>0</v>
      </c>
      <c r="E2401" s="28" t="n">
        <v>1</v>
      </c>
      <c r="F2401" s="29" t="n">
        <f aca="false">'📋 Matches'!E25</f>
        <v>0</v>
      </c>
      <c r="G2401" s="29" t="n">
        <f aca="false">'📋 Matches'!F25</f>
        <v>0</v>
      </c>
      <c r="H2401" s="22" t="str">
        <f aca="false">IF(AND(ISNUMBER(F2401),ISNUMBER(G2401)),IF(SIGN(D2401-E2401)=SIGN(F2401-G2401),48,0),"")</f>
        <v/>
      </c>
      <c r="I2401" s="22" t="str">
        <f aca="false">IF(AND(ISNUMBER(F2401),ISNUMBER(G2401)),IF(D2401=F2401,15,0),"")</f>
        <v/>
      </c>
      <c r="J2401" s="22" t="str">
        <f aca="false">IF(AND(ISNUMBER(F2401),ISNUMBER(G2401)),IF(E2401=G2401,15,0),"")</f>
        <v/>
      </c>
      <c r="K2401" s="22" t="str">
        <f aca="false">IF(AND(ISNUMBER(F2401),ISNUMBER(G2401)),IF(ABS(D2401-E2401)=ABS(F2401-G2401),12,0),"")</f>
        <v/>
      </c>
      <c r="L2401" s="23" t="str">
        <f aca="false">IF(ISNUMBER(H2401),H2401+I2401+J2401+K2401,"")</f>
        <v/>
      </c>
    </row>
    <row r="2402" customFormat="false" ht="18" hidden="false" customHeight="true" outlineLevel="0" collapsed="false">
      <c r="A2402" s="25" t="s">
        <v>84</v>
      </c>
      <c r="B2402" s="32" t="s">
        <v>181</v>
      </c>
      <c r="C2402" s="27" t="s">
        <v>10</v>
      </c>
      <c r="D2402" s="28"/>
      <c r="E2402" s="28"/>
      <c r="F2402" s="30" t="s">
        <v>182</v>
      </c>
      <c r="G2402" s="30" t="s">
        <v>182</v>
      </c>
      <c r="H2402" s="30" t="s">
        <v>182</v>
      </c>
      <c r="I2402" s="30" t="s">
        <v>182</v>
      </c>
      <c r="J2402" s="30" t="s">
        <v>182</v>
      </c>
      <c r="K2402" s="30" t="s">
        <v>182</v>
      </c>
      <c r="L2402" s="30" t="s">
        <v>182</v>
      </c>
    </row>
    <row r="2403" customFormat="false" ht="18" hidden="false" customHeight="true" outlineLevel="0" collapsed="false">
      <c r="A2403" s="25" t="s">
        <v>84</v>
      </c>
      <c r="B2403" s="32" t="s">
        <v>181</v>
      </c>
      <c r="C2403" s="27" t="s">
        <v>14</v>
      </c>
      <c r="D2403" s="28"/>
      <c r="E2403" s="28"/>
      <c r="F2403" s="30" t="s">
        <v>182</v>
      </c>
      <c r="G2403" s="30" t="s">
        <v>182</v>
      </c>
      <c r="H2403" s="30" t="s">
        <v>182</v>
      </c>
      <c r="I2403" s="30" t="s">
        <v>182</v>
      </c>
      <c r="J2403" s="30" t="s">
        <v>182</v>
      </c>
      <c r="K2403" s="30" t="s">
        <v>182</v>
      </c>
      <c r="L2403" s="30" t="s">
        <v>182</v>
      </c>
    </row>
    <row r="2404" customFormat="false" ht="18" hidden="false" customHeight="true" outlineLevel="0" collapsed="false">
      <c r="A2404" s="25" t="s">
        <v>84</v>
      </c>
      <c r="B2404" s="32" t="s">
        <v>181</v>
      </c>
      <c r="C2404" s="27" t="s">
        <v>17</v>
      </c>
      <c r="D2404" s="28"/>
      <c r="E2404" s="28"/>
      <c r="F2404" s="30" t="s">
        <v>182</v>
      </c>
      <c r="G2404" s="30" t="s">
        <v>182</v>
      </c>
      <c r="H2404" s="30" t="s">
        <v>182</v>
      </c>
      <c r="I2404" s="30" t="s">
        <v>182</v>
      </c>
      <c r="J2404" s="30" t="s">
        <v>182</v>
      </c>
      <c r="K2404" s="30" t="s">
        <v>182</v>
      </c>
      <c r="L2404" s="30" t="s">
        <v>182</v>
      </c>
    </row>
    <row r="2405" customFormat="false" ht="18" hidden="false" customHeight="true" outlineLevel="0" collapsed="false">
      <c r="A2405" s="25" t="s">
        <v>84</v>
      </c>
      <c r="B2405" s="32" t="s">
        <v>181</v>
      </c>
      <c r="C2405" s="27" t="s">
        <v>20</v>
      </c>
      <c r="D2405" s="28"/>
      <c r="E2405" s="28"/>
      <c r="F2405" s="30" t="s">
        <v>182</v>
      </c>
      <c r="G2405" s="30" t="s">
        <v>182</v>
      </c>
      <c r="H2405" s="30" t="s">
        <v>182</v>
      </c>
      <c r="I2405" s="30" t="s">
        <v>182</v>
      </c>
      <c r="J2405" s="30" t="s">
        <v>182</v>
      </c>
      <c r="K2405" s="30" t="s">
        <v>182</v>
      </c>
      <c r="L2405" s="30" t="s">
        <v>182</v>
      </c>
    </row>
    <row r="2406" customFormat="false" ht="18" hidden="false" customHeight="true" outlineLevel="0" collapsed="false">
      <c r="A2406" s="25" t="s">
        <v>84</v>
      </c>
      <c r="B2406" s="32" t="s">
        <v>181</v>
      </c>
      <c r="C2406" s="27" t="s">
        <v>23</v>
      </c>
      <c r="D2406" s="28"/>
      <c r="E2406" s="28"/>
      <c r="F2406" s="30" t="s">
        <v>182</v>
      </c>
      <c r="G2406" s="30" t="s">
        <v>182</v>
      </c>
      <c r="H2406" s="30" t="s">
        <v>182</v>
      </c>
      <c r="I2406" s="30" t="s">
        <v>182</v>
      </c>
      <c r="J2406" s="30" t="s">
        <v>182</v>
      </c>
      <c r="K2406" s="30" t="s">
        <v>182</v>
      </c>
      <c r="L2406" s="30" t="s">
        <v>182</v>
      </c>
    </row>
    <row r="2407" customFormat="false" ht="18" hidden="false" customHeight="true" outlineLevel="0" collapsed="false">
      <c r="A2407" s="25" t="s">
        <v>84</v>
      </c>
      <c r="B2407" s="32" t="s">
        <v>181</v>
      </c>
      <c r="C2407" s="27" t="s">
        <v>27</v>
      </c>
      <c r="D2407" s="28"/>
      <c r="E2407" s="28"/>
      <c r="F2407" s="30" t="s">
        <v>182</v>
      </c>
      <c r="G2407" s="30" t="s">
        <v>182</v>
      </c>
      <c r="H2407" s="30" t="s">
        <v>182</v>
      </c>
      <c r="I2407" s="30" t="s">
        <v>182</v>
      </c>
      <c r="J2407" s="30" t="s">
        <v>182</v>
      </c>
      <c r="K2407" s="30" t="s">
        <v>182</v>
      </c>
      <c r="L2407" s="30" t="s">
        <v>182</v>
      </c>
    </row>
    <row r="2408" customFormat="false" ht="18" hidden="false" customHeight="true" outlineLevel="0" collapsed="false">
      <c r="A2408" s="25" t="s">
        <v>84</v>
      </c>
      <c r="B2408" s="32" t="s">
        <v>181</v>
      </c>
      <c r="C2408" s="27" t="s">
        <v>30</v>
      </c>
      <c r="D2408" s="28"/>
      <c r="E2408" s="28"/>
      <c r="F2408" s="30" t="s">
        <v>182</v>
      </c>
      <c r="G2408" s="30" t="s">
        <v>182</v>
      </c>
      <c r="H2408" s="30" t="s">
        <v>182</v>
      </c>
      <c r="I2408" s="30" t="s">
        <v>182</v>
      </c>
      <c r="J2408" s="30" t="s">
        <v>182</v>
      </c>
      <c r="K2408" s="30" t="s">
        <v>182</v>
      </c>
      <c r="L2408" s="30" t="s">
        <v>182</v>
      </c>
    </row>
    <row r="2409" customFormat="false" ht="18" hidden="false" customHeight="true" outlineLevel="0" collapsed="false">
      <c r="A2409" s="25" t="s">
        <v>84</v>
      </c>
      <c r="B2409" s="32" t="s">
        <v>181</v>
      </c>
      <c r="C2409" s="27" t="s">
        <v>33</v>
      </c>
      <c r="D2409" s="28"/>
      <c r="E2409" s="28"/>
      <c r="F2409" s="30" t="s">
        <v>182</v>
      </c>
      <c r="G2409" s="30" t="s">
        <v>182</v>
      </c>
      <c r="H2409" s="30" t="s">
        <v>182</v>
      </c>
      <c r="I2409" s="30" t="s">
        <v>182</v>
      </c>
      <c r="J2409" s="30" t="s">
        <v>182</v>
      </c>
      <c r="K2409" s="30" t="s">
        <v>182</v>
      </c>
      <c r="L2409" s="30" t="s">
        <v>182</v>
      </c>
    </row>
    <row r="2410" customFormat="false" ht="18" hidden="false" customHeight="true" outlineLevel="0" collapsed="false">
      <c r="A2410" s="25" t="s">
        <v>84</v>
      </c>
      <c r="B2410" s="32" t="s">
        <v>181</v>
      </c>
      <c r="C2410" s="27" t="s">
        <v>36</v>
      </c>
      <c r="D2410" s="28"/>
      <c r="E2410" s="28"/>
      <c r="F2410" s="30" t="s">
        <v>182</v>
      </c>
      <c r="G2410" s="30" t="s">
        <v>182</v>
      </c>
      <c r="H2410" s="30" t="s">
        <v>182</v>
      </c>
      <c r="I2410" s="30" t="s">
        <v>182</v>
      </c>
      <c r="J2410" s="30" t="s">
        <v>182</v>
      </c>
      <c r="K2410" s="30" t="s">
        <v>182</v>
      </c>
      <c r="L2410" s="30" t="s">
        <v>182</v>
      </c>
    </row>
    <row r="2411" customFormat="false" ht="18" hidden="false" customHeight="true" outlineLevel="0" collapsed="false">
      <c r="A2411" s="25" t="s">
        <v>84</v>
      </c>
      <c r="B2411" s="32" t="s">
        <v>181</v>
      </c>
      <c r="C2411" s="27" t="s">
        <v>39</v>
      </c>
      <c r="D2411" s="28"/>
      <c r="E2411" s="28"/>
      <c r="F2411" s="30" t="s">
        <v>182</v>
      </c>
      <c r="G2411" s="30" t="s">
        <v>182</v>
      </c>
      <c r="H2411" s="30" t="s">
        <v>182</v>
      </c>
      <c r="I2411" s="30" t="s">
        <v>182</v>
      </c>
      <c r="J2411" s="30" t="s">
        <v>182</v>
      </c>
      <c r="K2411" s="30" t="s">
        <v>182</v>
      </c>
      <c r="L2411" s="30" t="s">
        <v>182</v>
      </c>
    </row>
    <row r="2412" customFormat="false" ht="18" hidden="false" customHeight="true" outlineLevel="0" collapsed="false">
      <c r="A2412" s="25" t="s">
        <v>84</v>
      </c>
      <c r="B2412" s="32" t="s">
        <v>181</v>
      </c>
      <c r="C2412" s="27" t="s">
        <v>42</v>
      </c>
      <c r="D2412" s="28"/>
      <c r="E2412" s="28"/>
      <c r="F2412" s="30" t="s">
        <v>182</v>
      </c>
      <c r="G2412" s="30" t="s">
        <v>182</v>
      </c>
      <c r="H2412" s="30" t="s">
        <v>182</v>
      </c>
      <c r="I2412" s="30" t="s">
        <v>182</v>
      </c>
      <c r="J2412" s="30" t="s">
        <v>182</v>
      </c>
      <c r="K2412" s="30" t="s">
        <v>182</v>
      </c>
      <c r="L2412" s="30" t="s">
        <v>182</v>
      </c>
    </row>
    <row r="2413" customFormat="false" ht="18" hidden="false" customHeight="true" outlineLevel="0" collapsed="false">
      <c r="A2413" s="25" t="s">
        <v>84</v>
      </c>
      <c r="B2413" s="32" t="s">
        <v>181</v>
      </c>
      <c r="C2413" s="27" t="s">
        <v>45</v>
      </c>
      <c r="D2413" s="28"/>
      <c r="E2413" s="28"/>
      <c r="F2413" s="30" t="s">
        <v>182</v>
      </c>
      <c r="G2413" s="30" t="s">
        <v>182</v>
      </c>
      <c r="H2413" s="30" t="s">
        <v>182</v>
      </c>
      <c r="I2413" s="30" t="s">
        <v>182</v>
      </c>
      <c r="J2413" s="30" t="s">
        <v>182</v>
      </c>
      <c r="K2413" s="30" t="s">
        <v>182</v>
      </c>
      <c r="L2413" s="30" t="s">
        <v>182</v>
      </c>
    </row>
    <row r="2414" customFormat="false" ht="18" hidden="false" customHeight="true" outlineLevel="0" collapsed="false">
      <c r="A2414" s="25" t="s">
        <v>84</v>
      </c>
      <c r="B2414" s="32" t="s">
        <v>181</v>
      </c>
      <c r="C2414" s="27" t="s">
        <v>48</v>
      </c>
      <c r="D2414" s="28"/>
      <c r="E2414" s="28"/>
      <c r="F2414" s="30" t="s">
        <v>182</v>
      </c>
      <c r="G2414" s="30" t="s">
        <v>182</v>
      </c>
      <c r="H2414" s="30" t="s">
        <v>182</v>
      </c>
      <c r="I2414" s="30" t="s">
        <v>182</v>
      </c>
      <c r="J2414" s="30" t="s">
        <v>182</v>
      </c>
      <c r="K2414" s="30" t="s">
        <v>182</v>
      </c>
      <c r="L2414" s="30" t="s">
        <v>182</v>
      </c>
    </row>
    <row r="2415" customFormat="false" ht="18" hidden="false" customHeight="true" outlineLevel="0" collapsed="false">
      <c r="A2415" s="25" t="s">
        <v>84</v>
      </c>
      <c r="B2415" s="32" t="s">
        <v>181</v>
      </c>
      <c r="C2415" s="27" t="s">
        <v>51</v>
      </c>
      <c r="D2415" s="28"/>
      <c r="E2415" s="28"/>
      <c r="F2415" s="30" t="s">
        <v>182</v>
      </c>
      <c r="G2415" s="30" t="s">
        <v>182</v>
      </c>
      <c r="H2415" s="30" t="s">
        <v>182</v>
      </c>
      <c r="I2415" s="30" t="s">
        <v>182</v>
      </c>
      <c r="J2415" s="30" t="s">
        <v>182</v>
      </c>
      <c r="K2415" s="30" t="s">
        <v>182</v>
      </c>
      <c r="L2415" s="30" t="s">
        <v>182</v>
      </c>
    </row>
    <row r="2416" customFormat="false" ht="18" hidden="false" customHeight="true" outlineLevel="0" collapsed="false">
      <c r="A2416" s="25" t="s">
        <v>84</v>
      </c>
      <c r="B2416" s="32" t="s">
        <v>181</v>
      </c>
      <c r="C2416" s="27" t="s">
        <v>54</v>
      </c>
      <c r="D2416" s="28"/>
      <c r="E2416" s="28"/>
      <c r="F2416" s="30" t="s">
        <v>182</v>
      </c>
      <c r="G2416" s="30" t="s">
        <v>182</v>
      </c>
      <c r="H2416" s="30" t="s">
        <v>182</v>
      </c>
      <c r="I2416" s="30" t="s">
        <v>182</v>
      </c>
      <c r="J2416" s="30" t="s">
        <v>182</v>
      </c>
      <c r="K2416" s="30" t="s">
        <v>182</v>
      </c>
      <c r="L2416" s="30" t="s">
        <v>182</v>
      </c>
    </row>
    <row r="2417" customFormat="false" ht="18" hidden="false" customHeight="true" outlineLevel="0" collapsed="false">
      <c r="A2417" s="25" t="s">
        <v>84</v>
      </c>
      <c r="B2417" s="32" t="s">
        <v>181</v>
      </c>
      <c r="C2417" s="27" t="s">
        <v>57</v>
      </c>
      <c r="D2417" s="28"/>
      <c r="E2417" s="28"/>
      <c r="F2417" s="30" t="s">
        <v>182</v>
      </c>
      <c r="G2417" s="30" t="s">
        <v>182</v>
      </c>
      <c r="H2417" s="30" t="s">
        <v>182</v>
      </c>
      <c r="I2417" s="30" t="s">
        <v>182</v>
      </c>
      <c r="J2417" s="30" t="s">
        <v>182</v>
      </c>
      <c r="K2417" s="30" t="s">
        <v>182</v>
      </c>
      <c r="L2417" s="30" t="s">
        <v>182</v>
      </c>
    </row>
    <row r="2418" customFormat="false" ht="18" hidden="false" customHeight="true" outlineLevel="0" collapsed="false">
      <c r="A2418" s="25" t="s">
        <v>84</v>
      </c>
      <c r="B2418" s="32" t="s">
        <v>181</v>
      </c>
      <c r="C2418" s="27" t="s">
        <v>60</v>
      </c>
      <c r="D2418" s="28"/>
      <c r="E2418" s="28"/>
      <c r="F2418" s="30" t="s">
        <v>182</v>
      </c>
      <c r="G2418" s="30" t="s">
        <v>182</v>
      </c>
      <c r="H2418" s="30" t="s">
        <v>182</v>
      </c>
      <c r="I2418" s="30" t="s">
        <v>182</v>
      </c>
      <c r="J2418" s="30" t="s">
        <v>182</v>
      </c>
      <c r="K2418" s="30" t="s">
        <v>182</v>
      </c>
      <c r="L2418" s="30" t="s">
        <v>182</v>
      </c>
    </row>
    <row r="2419" customFormat="false" ht="18" hidden="false" customHeight="true" outlineLevel="0" collapsed="false">
      <c r="A2419" s="25" t="s">
        <v>84</v>
      </c>
      <c r="B2419" s="32" t="s">
        <v>181</v>
      </c>
      <c r="C2419" s="27" t="s">
        <v>63</v>
      </c>
      <c r="D2419" s="28"/>
      <c r="E2419" s="28"/>
      <c r="F2419" s="30" t="s">
        <v>182</v>
      </c>
      <c r="G2419" s="30" t="s">
        <v>182</v>
      </c>
      <c r="H2419" s="30" t="s">
        <v>182</v>
      </c>
      <c r="I2419" s="30" t="s">
        <v>182</v>
      </c>
      <c r="J2419" s="30" t="s">
        <v>182</v>
      </c>
      <c r="K2419" s="30" t="s">
        <v>182</v>
      </c>
      <c r="L2419" s="30" t="s">
        <v>182</v>
      </c>
    </row>
    <row r="2420" customFormat="false" ht="18" hidden="false" customHeight="true" outlineLevel="0" collapsed="false">
      <c r="A2420" s="25" t="s">
        <v>84</v>
      </c>
      <c r="B2420" s="32" t="s">
        <v>181</v>
      </c>
      <c r="C2420" s="27" t="s">
        <v>66</v>
      </c>
      <c r="D2420" s="28"/>
      <c r="E2420" s="28"/>
      <c r="F2420" s="30" t="s">
        <v>182</v>
      </c>
      <c r="G2420" s="30" t="s">
        <v>182</v>
      </c>
      <c r="H2420" s="30" t="s">
        <v>182</v>
      </c>
      <c r="I2420" s="30" t="s">
        <v>182</v>
      </c>
      <c r="J2420" s="30" t="s">
        <v>182</v>
      </c>
      <c r="K2420" s="30" t="s">
        <v>182</v>
      </c>
      <c r="L2420" s="30" t="s">
        <v>182</v>
      </c>
    </row>
    <row r="2421" customFormat="false" ht="18" hidden="false" customHeight="true" outlineLevel="0" collapsed="false">
      <c r="A2421" s="25" t="s">
        <v>84</v>
      </c>
      <c r="B2421" s="32" t="s">
        <v>181</v>
      </c>
      <c r="C2421" s="27" t="s">
        <v>69</v>
      </c>
      <c r="D2421" s="28"/>
      <c r="E2421" s="28"/>
      <c r="F2421" s="30" t="s">
        <v>182</v>
      </c>
      <c r="G2421" s="30" t="s">
        <v>182</v>
      </c>
      <c r="H2421" s="30" t="s">
        <v>182</v>
      </c>
      <c r="I2421" s="30" t="s">
        <v>182</v>
      </c>
      <c r="J2421" s="30" t="s">
        <v>182</v>
      </c>
      <c r="K2421" s="30" t="s">
        <v>182</v>
      </c>
      <c r="L2421" s="30" t="s">
        <v>182</v>
      </c>
    </row>
    <row r="2422" customFormat="false" ht="18" hidden="false" customHeight="true" outlineLevel="0" collapsed="false">
      <c r="A2422" s="25" t="s">
        <v>84</v>
      </c>
      <c r="B2422" s="32" t="s">
        <v>181</v>
      </c>
      <c r="C2422" s="27" t="s">
        <v>72</v>
      </c>
      <c r="D2422" s="28"/>
      <c r="E2422" s="28"/>
      <c r="F2422" s="30" t="s">
        <v>182</v>
      </c>
      <c r="G2422" s="30" t="s">
        <v>182</v>
      </c>
      <c r="H2422" s="30" t="s">
        <v>182</v>
      </c>
      <c r="I2422" s="30" t="s">
        <v>182</v>
      </c>
      <c r="J2422" s="30" t="s">
        <v>182</v>
      </c>
      <c r="K2422" s="30" t="s">
        <v>182</v>
      </c>
      <c r="L2422" s="30" t="s">
        <v>182</v>
      </c>
    </row>
    <row r="2423" customFormat="false" ht="18" hidden="false" customHeight="true" outlineLevel="0" collapsed="false">
      <c r="A2423" s="25" t="s">
        <v>84</v>
      </c>
      <c r="B2423" s="32" t="s">
        <v>181</v>
      </c>
      <c r="C2423" s="27" t="s">
        <v>75</v>
      </c>
      <c r="D2423" s="28"/>
      <c r="E2423" s="28"/>
      <c r="F2423" s="30" t="s">
        <v>182</v>
      </c>
      <c r="G2423" s="30" t="s">
        <v>182</v>
      </c>
      <c r="H2423" s="30" t="s">
        <v>182</v>
      </c>
      <c r="I2423" s="30" t="s">
        <v>182</v>
      </c>
      <c r="J2423" s="30" t="s">
        <v>182</v>
      </c>
      <c r="K2423" s="30" t="s">
        <v>182</v>
      </c>
      <c r="L2423" s="30" t="s">
        <v>182</v>
      </c>
    </row>
    <row r="2424" customFormat="false" ht="18" hidden="false" customHeight="true" outlineLevel="0" collapsed="false">
      <c r="A2424" s="25" t="s">
        <v>84</v>
      </c>
      <c r="B2424" s="32" t="s">
        <v>181</v>
      </c>
      <c r="C2424" s="27" t="s">
        <v>78</v>
      </c>
      <c r="D2424" s="28"/>
      <c r="E2424" s="28"/>
      <c r="F2424" s="30" t="s">
        <v>182</v>
      </c>
      <c r="G2424" s="30" t="s">
        <v>182</v>
      </c>
      <c r="H2424" s="30" t="s">
        <v>182</v>
      </c>
      <c r="I2424" s="30" t="s">
        <v>182</v>
      </c>
      <c r="J2424" s="30" t="s">
        <v>182</v>
      </c>
      <c r="K2424" s="30" t="s">
        <v>182</v>
      </c>
      <c r="L2424" s="30" t="s">
        <v>182</v>
      </c>
    </row>
    <row r="2425" customFormat="false" ht="18" hidden="false" customHeight="true" outlineLevel="0" collapsed="false">
      <c r="A2425" s="25" t="s">
        <v>84</v>
      </c>
      <c r="B2425" s="32" t="s">
        <v>181</v>
      </c>
      <c r="C2425" s="27" t="s">
        <v>81</v>
      </c>
      <c r="D2425" s="28"/>
      <c r="E2425" s="28"/>
      <c r="F2425" s="30" t="s">
        <v>182</v>
      </c>
      <c r="G2425" s="30" t="s">
        <v>182</v>
      </c>
      <c r="H2425" s="30" t="s">
        <v>182</v>
      </c>
      <c r="I2425" s="30" t="s">
        <v>182</v>
      </c>
      <c r="J2425" s="30" t="s">
        <v>182</v>
      </c>
      <c r="K2425" s="30" t="s">
        <v>182</v>
      </c>
      <c r="L2425" s="30" t="s">
        <v>182</v>
      </c>
    </row>
    <row r="2426" customFormat="false" ht="18" hidden="false" customHeight="true" outlineLevel="0" collapsed="false">
      <c r="A2426" s="25" t="s">
        <v>114</v>
      </c>
      <c r="B2426" s="32" t="s">
        <v>181</v>
      </c>
      <c r="C2426" s="27" t="s">
        <v>10</v>
      </c>
      <c r="D2426" s="28"/>
      <c r="E2426" s="28"/>
      <c r="F2426" s="30" t="s">
        <v>182</v>
      </c>
      <c r="G2426" s="30" t="s">
        <v>182</v>
      </c>
      <c r="H2426" s="30" t="s">
        <v>182</v>
      </c>
      <c r="I2426" s="30" t="s">
        <v>182</v>
      </c>
      <c r="J2426" s="30" t="s">
        <v>182</v>
      </c>
      <c r="K2426" s="30" t="s">
        <v>182</v>
      </c>
      <c r="L2426" s="30" t="s">
        <v>182</v>
      </c>
    </row>
    <row r="2427" customFormat="false" ht="18" hidden="false" customHeight="true" outlineLevel="0" collapsed="false">
      <c r="A2427" s="25" t="s">
        <v>114</v>
      </c>
      <c r="B2427" s="32" t="s">
        <v>181</v>
      </c>
      <c r="C2427" s="27" t="s">
        <v>14</v>
      </c>
      <c r="D2427" s="28"/>
      <c r="E2427" s="28"/>
      <c r="F2427" s="30" t="s">
        <v>182</v>
      </c>
      <c r="G2427" s="30" t="s">
        <v>182</v>
      </c>
      <c r="H2427" s="30" t="s">
        <v>182</v>
      </c>
      <c r="I2427" s="30" t="s">
        <v>182</v>
      </c>
      <c r="J2427" s="30" t="s">
        <v>182</v>
      </c>
      <c r="K2427" s="30" t="s">
        <v>182</v>
      </c>
      <c r="L2427" s="30" t="s">
        <v>182</v>
      </c>
    </row>
    <row r="2428" customFormat="false" ht="18" hidden="false" customHeight="true" outlineLevel="0" collapsed="false">
      <c r="A2428" s="25" t="s">
        <v>114</v>
      </c>
      <c r="B2428" s="32" t="s">
        <v>181</v>
      </c>
      <c r="C2428" s="27" t="s">
        <v>17</v>
      </c>
      <c r="D2428" s="28"/>
      <c r="E2428" s="28"/>
      <c r="F2428" s="30" t="s">
        <v>182</v>
      </c>
      <c r="G2428" s="30" t="s">
        <v>182</v>
      </c>
      <c r="H2428" s="30" t="s">
        <v>182</v>
      </c>
      <c r="I2428" s="30" t="s">
        <v>182</v>
      </c>
      <c r="J2428" s="30" t="s">
        <v>182</v>
      </c>
      <c r="K2428" s="30" t="s">
        <v>182</v>
      </c>
      <c r="L2428" s="30" t="s">
        <v>182</v>
      </c>
    </row>
    <row r="2429" customFormat="false" ht="18" hidden="false" customHeight="true" outlineLevel="0" collapsed="false">
      <c r="A2429" s="25" t="s">
        <v>114</v>
      </c>
      <c r="B2429" s="32" t="s">
        <v>181</v>
      </c>
      <c r="C2429" s="27" t="s">
        <v>20</v>
      </c>
      <c r="D2429" s="28"/>
      <c r="E2429" s="28"/>
      <c r="F2429" s="30" t="s">
        <v>182</v>
      </c>
      <c r="G2429" s="30" t="s">
        <v>182</v>
      </c>
      <c r="H2429" s="30" t="s">
        <v>182</v>
      </c>
      <c r="I2429" s="30" t="s">
        <v>182</v>
      </c>
      <c r="J2429" s="30" t="s">
        <v>182</v>
      </c>
      <c r="K2429" s="30" t="s">
        <v>182</v>
      </c>
      <c r="L2429" s="30" t="s">
        <v>182</v>
      </c>
    </row>
    <row r="2430" customFormat="false" ht="18" hidden="false" customHeight="true" outlineLevel="0" collapsed="false">
      <c r="A2430" s="25" t="s">
        <v>114</v>
      </c>
      <c r="B2430" s="32" t="s">
        <v>181</v>
      </c>
      <c r="C2430" s="27" t="s">
        <v>23</v>
      </c>
      <c r="D2430" s="28"/>
      <c r="E2430" s="28"/>
      <c r="F2430" s="30" t="s">
        <v>182</v>
      </c>
      <c r="G2430" s="30" t="s">
        <v>182</v>
      </c>
      <c r="H2430" s="30" t="s">
        <v>182</v>
      </c>
      <c r="I2430" s="30" t="s">
        <v>182</v>
      </c>
      <c r="J2430" s="30" t="s">
        <v>182</v>
      </c>
      <c r="K2430" s="30" t="s">
        <v>182</v>
      </c>
      <c r="L2430" s="30" t="s">
        <v>182</v>
      </c>
    </row>
    <row r="2431" customFormat="false" ht="18" hidden="false" customHeight="true" outlineLevel="0" collapsed="false">
      <c r="A2431" s="25" t="s">
        <v>114</v>
      </c>
      <c r="B2431" s="32" t="s">
        <v>181</v>
      </c>
      <c r="C2431" s="27" t="s">
        <v>27</v>
      </c>
      <c r="D2431" s="28"/>
      <c r="E2431" s="28"/>
      <c r="F2431" s="30" t="s">
        <v>182</v>
      </c>
      <c r="G2431" s="30" t="s">
        <v>182</v>
      </c>
      <c r="H2431" s="30" t="s">
        <v>182</v>
      </c>
      <c r="I2431" s="30" t="s">
        <v>182</v>
      </c>
      <c r="J2431" s="30" t="s">
        <v>182</v>
      </c>
      <c r="K2431" s="30" t="s">
        <v>182</v>
      </c>
      <c r="L2431" s="30" t="s">
        <v>182</v>
      </c>
    </row>
    <row r="2432" customFormat="false" ht="18" hidden="false" customHeight="true" outlineLevel="0" collapsed="false">
      <c r="A2432" s="25" t="s">
        <v>114</v>
      </c>
      <c r="B2432" s="32" t="s">
        <v>181</v>
      </c>
      <c r="C2432" s="27" t="s">
        <v>30</v>
      </c>
      <c r="D2432" s="28"/>
      <c r="E2432" s="28"/>
      <c r="F2432" s="30" t="s">
        <v>182</v>
      </c>
      <c r="G2432" s="30" t="s">
        <v>182</v>
      </c>
      <c r="H2432" s="30" t="s">
        <v>182</v>
      </c>
      <c r="I2432" s="30" t="s">
        <v>182</v>
      </c>
      <c r="J2432" s="30" t="s">
        <v>182</v>
      </c>
      <c r="K2432" s="30" t="s">
        <v>182</v>
      </c>
      <c r="L2432" s="30" t="s">
        <v>182</v>
      </c>
    </row>
    <row r="2433" customFormat="false" ht="18" hidden="false" customHeight="true" outlineLevel="0" collapsed="false">
      <c r="A2433" s="25" t="s">
        <v>114</v>
      </c>
      <c r="B2433" s="32" t="s">
        <v>181</v>
      </c>
      <c r="C2433" s="27" t="s">
        <v>33</v>
      </c>
      <c r="D2433" s="28"/>
      <c r="E2433" s="28"/>
      <c r="F2433" s="30" t="s">
        <v>182</v>
      </c>
      <c r="G2433" s="30" t="s">
        <v>182</v>
      </c>
      <c r="H2433" s="30" t="s">
        <v>182</v>
      </c>
      <c r="I2433" s="30" t="s">
        <v>182</v>
      </c>
      <c r="J2433" s="30" t="s">
        <v>182</v>
      </c>
      <c r="K2433" s="30" t="s">
        <v>182</v>
      </c>
      <c r="L2433" s="30" t="s">
        <v>182</v>
      </c>
    </row>
    <row r="2434" customFormat="false" ht="18" hidden="false" customHeight="true" outlineLevel="0" collapsed="false">
      <c r="A2434" s="25" t="s">
        <v>114</v>
      </c>
      <c r="B2434" s="32" t="s">
        <v>181</v>
      </c>
      <c r="C2434" s="27" t="s">
        <v>36</v>
      </c>
      <c r="D2434" s="28"/>
      <c r="E2434" s="28"/>
      <c r="F2434" s="30" t="s">
        <v>182</v>
      </c>
      <c r="G2434" s="30" t="s">
        <v>182</v>
      </c>
      <c r="H2434" s="30" t="s">
        <v>182</v>
      </c>
      <c r="I2434" s="30" t="s">
        <v>182</v>
      </c>
      <c r="J2434" s="30" t="s">
        <v>182</v>
      </c>
      <c r="K2434" s="30" t="s">
        <v>182</v>
      </c>
      <c r="L2434" s="30" t="s">
        <v>182</v>
      </c>
    </row>
    <row r="2435" customFormat="false" ht="18" hidden="false" customHeight="true" outlineLevel="0" collapsed="false">
      <c r="A2435" s="25" t="s">
        <v>114</v>
      </c>
      <c r="B2435" s="32" t="s">
        <v>181</v>
      </c>
      <c r="C2435" s="27" t="s">
        <v>39</v>
      </c>
      <c r="D2435" s="28"/>
      <c r="E2435" s="28"/>
      <c r="F2435" s="30" t="s">
        <v>182</v>
      </c>
      <c r="G2435" s="30" t="s">
        <v>182</v>
      </c>
      <c r="H2435" s="30" t="s">
        <v>182</v>
      </c>
      <c r="I2435" s="30" t="s">
        <v>182</v>
      </c>
      <c r="J2435" s="30" t="s">
        <v>182</v>
      </c>
      <c r="K2435" s="30" t="s">
        <v>182</v>
      </c>
      <c r="L2435" s="30" t="s">
        <v>182</v>
      </c>
    </row>
    <row r="2436" customFormat="false" ht="18" hidden="false" customHeight="true" outlineLevel="0" collapsed="false">
      <c r="A2436" s="25" t="s">
        <v>114</v>
      </c>
      <c r="B2436" s="32" t="s">
        <v>181</v>
      </c>
      <c r="C2436" s="27" t="s">
        <v>42</v>
      </c>
      <c r="D2436" s="28"/>
      <c r="E2436" s="28"/>
      <c r="F2436" s="30" t="s">
        <v>182</v>
      </c>
      <c r="G2436" s="30" t="s">
        <v>182</v>
      </c>
      <c r="H2436" s="30" t="s">
        <v>182</v>
      </c>
      <c r="I2436" s="30" t="s">
        <v>182</v>
      </c>
      <c r="J2436" s="30" t="s">
        <v>182</v>
      </c>
      <c r="K2436" s="30" t="s">
        <v>182</v>
      </c>
      <c r="L2436" s="30" t="s">
        <v>182</v>
      </c>
    </row>
    <row r="2437" customFormat="false" ht="18" hidden="false" customHeight="true" outlineLevel="0" collapsed="false">
      <c r="A2437" s="25" t="s">
        <v>114</v>
      </c>
      <c r="B2437" s="32" t="s">
        <v>181</v>
      </c>
      <c r="C2437" s="27" t="s">
        <v>45</v>
      </c>
      <c r="D2437" s="28"/>
      <c r="E2437" s="28"/>
      <c r="F2437" s="30" t="s">
        <v>182</v>
      </c>
      <c r="G2437" s="30" t="s">
        <v>182</v>
      </c>
      <c r="H2437" s="30" t="s">
        <v>182</v>
      </c>
      <c r="I2437" s="30" t="s">
        <v>182</v>
      </c>
      <c r="J2437" s="30" t="s">
        <v>182</v>
      </c>
      <c r="K2437" s="30" t="s">
        <v>182</v>
      </c>
      <c r="L2437" s="30" t="s">
        <v>182</v>
      </c>
    </row>
    <row r="2438" customFormat="false" ht="18" hidden="false" customHeight="true" outlineLevel="0" collapsed="false">
      <c r="A2438" s="25" t="s">
        <v>114</v>
      </c>
      <c r="B2438" s="32" t="s">
        <v>181</v>
      </c>
      <c r="C2438" s="27" t="s">
        <v>48</v>
      </c>
      <c r="D2438" s="28"/>
      <c r="E2438" s="28"/>
      <c r="F2438" s="30" t="s">
        <v>182</v>
      </c>
      <c r="G2438" s="30" t="s">
        <v>182</v>
      </c>
      <c r="H2438" s="30" t="s">
        <v>182</v>
      </c>
      <c r="I2438" s="30" t="s">
        <v>182</v>
      </c>
      <c r="J2438" s="30" t="s">
        <v>182</v>
      </c>
      <c r="K2438" s="30" t="s">
        <v>182</v>
      </c>
      <c r="L2438" s="30" t="s">
        <v>182</v>
      </c>
    </row>
    <row r="2439" customFormat="false" ht="18" hidden="false" customHeight="true" outlineLevel="0" collapsed="false">
      <c r="A2439" s="25" t="s">
        <v>114</v>
      </c>
      <c r="B2439" s="32" t="s">
        <v>181</v>
      </c>
      <c r="C2439" s="27" t="s">
        <v>51</v>
      </c>
      <c r="D2439" s="28"/>
      <c r="E2439" s="28"/>
      <c r="F2439" s="30" t="s">
        <v>182</v>
      </c>
      <c r="G2439" s="30" t="s">
        <v>182</v>
      </c>
      <c r="H2439" s="30" t="s">
        <v>182</v>
      </c>
      <c r="I2439" s="30" t="s">
        <v>182</v>
      </c>
      <c r="J2439" s="30" t="s">
        <v>182</v>
      </c>
      <c r="K2439" s="30" t="s">
        <v>182</v>
      </c>
      <c r="L2439" s="30" t="s">
        <v>182</v>
      </c>
    </row>
    <row r="2440" customFormat="false" ht="18" hidden="false" customHeight="true" outlineLevel="0" collapsed="false">
      <c r="A2440" s="25" t="s">
        <v>114</v>
      </c>
      <c r="B2440" s="32" t="s">
        <v>181</v>
      </c>
      <c r="C2440" s="27" t="s">
        <v>54</v>
      </c>
      <c r="D2440" s="28"/>
      <c r="E2440" s="28"/>
      <c r="F2440" s="30" t="s">
        <v>182</v>
      </c>
      <c r="G2440" s="30" t="s">
        <v>182</v>
      </c>
      <c r="H2440" s="30" t="s">
        <v>182</v>
      </c>
      <c r="I2440" s="30" t="s">
        <v>182</v>
      </c>
      <c r="J2440" s="30" t="s">
        <v>182</v>
      </c>
      <c r="K2440" s="30" t="s">
        <v>182</v>
      </c>
      <c r="L2440" s="30" t="s">
        <v>182</v>
      </c>
    </row>
    <row r="2441" customFormat="false" ht="18" hidden="false" customHeight="true" outlineLevel="0" collapsed="false">
      <c r="A2441" s="25" t="s">
        <v>114</v>
      </c>
      <c r="B2441" s="32" t="s">
        <v>181</v>
      </c>
      <c r="C2441" s="27" t="s">
        <v>57</v>
      </c>
      <c r="D2441" s="28"/>
      <c r="E2441" s="28"/>
      <c r="F2441" s="30" t="s">
        <v>182</v>
      </c>
      <c r="G2441" s="30" t="s">
        <v>182</v>
      </c>
      <c r="H2441" s="30" t="s">
        <v>182</v>
      </c>
      <c r="I2441" s="30" t="s">
        <v>182</v>
      </c>
      <c r="J2441" s="30" t="s">
        <v>182</v>
      </c>
      <c r="K2441" s="30" t="s">
        <v>182</v>
      </c>
      <c r="L2441" s="30" t="s">
        <v>182</v>
      </c>
    </row>
    <row r="2442" customFormat="false" ht="18" hidden="false" customHeight="true" outlineLevel="0" collapsed="false">
      <c r="A2442" s="25" t="s">
        <v>114</v>
      </c>
      <c r="B2442" s="32" t="s">
        <v>181</v>
      </c>
      <c r="C2442" s="27" t="s">
        <v>60</v>
      </c>
      <c r="D2442" s="28"/>
      <c r="E2442" s="28"/>
      <c r="F2442" s="30" t="s">
        <v>182</v>
      </c>
      <c r="G2442" s="30" t="s">
        <v>182</v>
      </c>
      <c r="H2442" s="30" t="s">
        <v>182</v>
      </c>
      <c r="I2442" s="30" t="s">
        <v>182</v>
      </c>
      <c r="J2442" s="30" t="s">
        <v>182</v>
      </c>
      <c r="K2442" s="30" t="s">
        <v>182</v>
      </c>
      <c r="L2442" s="30" t="s">
        <v>182</v>
      </c>
    </row>
    <row r="2443" customFormat="false" ht="18" hidden="false" customHeight="true" outlineLevel="0" collapsed="false">
      <c r="A2443" s="25" t="s">
        <v>114</v>
      </c>
      <c r="B2443" s="32" t="s">
        <v>181</v>
      </c>
      <c r="C2443" s="27" t="s">
        <v>63</v>
      </c>
      <c r="D2443" s="28"/>
      <c r="E2443" s="28"/>
      <c r="F2443" s="30" t="s">
        <v>182</v>
      </c>
      <c r="G2443" s="30" t="s">
        <v>182</v>
      </c>
      <c r="H2443" s="30" t="s">
        <v>182</v>
      </c>
      <c r="I2443" s="30" t="s">
        <v>182</v>
      </c>
      <c r="J2443" s="30" t="s">
        <v>182</v>
      </c>
      <c r="K2443" s="30" t="s">
        <v>182</v>
      </c>
      <c r="L2443" s="30" t="s">
        <v>182</v>
      </c>
    </row>
    <row r="2444" customFormat="false" ht="18" hidden="false" customHeight="true" outlineLevel="0" collapsed="false">
      <c r="A2444" s="25" t="s">
        <v>114</v>
      </c>
      <c r="B2444" s="32" t="s">
        <v>181</v>
      </c>
      <c r="C2444" s="27" t="s">
        <v>66</v>
      </c>
      <c r="D2444" s="28"/>
      <c r="E2444" s="28"/>
      <c r="F2444" s="30" t="s">
        <v>182</v>
      </c>
      <c r="G2444" s="30" t="s">
        <v>182</v>
      </c>
      <c r="H2444" s="30" t="s">
        <v>182</v>
      </c>
      <c r="I2444" s="30" t="s">
        <v>182</v>
      </c>
      <c r="J2444" s="30" t="s">
        <v>182</v>
      </c>
      <c r="K2444" s="30" t="s">
        <v>182</v>
      </c>
      <c r="L2444" s="30" t="s">
        <v>182</v>
      </c>
    </row>
    <row r="2445" customFormat="false" ht="18" hidden="false" customHeight="true" outlineLevel="0" collapsed="false">
      <c r="A2445" s="25" t="s">
        <v>114</v>
      </c>
      <c r="B2445" s="32" t="s">
        <v>181</v>
      </c>
      <c r="C2445" s="27" t="s">
        <v>69</v>
      </c>
      <c r="D2445" s="28"/>
      <c r="E2445" s="28"/>
      <c r="F2445" s="30" t="s">
        <v>182</v>
      </c>
      <c r="G2445" s="30" t="s">
        <v>182</v>
      </c>
      <c r="H2445" s="30" t="s">
        <v>182</v>
      </c>
      <c r="I2445" s="30" t="s">
        <v>182</v>
      </c>
      <c r="J2445" s="30" t="s">
        <v>182</v>
      </c>
      <c r="K2445" s="30" t="s">
        <v>182</v>
      </c>
      <c r="L2445" s="30" t="s">
        <v>182</v>
      </c>
    </row>
    <row r="2446" customFormat="false" ht="18" hidden="false" customHeight="true" outlineLevel="0" collapsed="false">
      <c r="A2446" s="25" t="s">
        <v>114</v>
      </c>
      <c r="B2446" s="32" t="s">
        <v>181</v>
      </c>
      <c r="C2446" s="27" t="s">
        <v>72</v>
      </c>
      <c r="D2446" s="28"/>
      <c r="E2446" s="28"/>
      <c r="F2446" s="30" t="s">
        <v>182</v>
      </c>
      <c r="G2446" s="30" t="s">
        <v>182</v>
      </c>
      <c r="H2446" s="30" t="s">
        <v>182</v>
      </c>
      <c r="I2446" s="30" t="s">
        <v>182</v>
      </c>
      <c r="J2446" s="30" t="s">
        <v>182</v>
      </c>
      <c r="K2446" s="30" t="s">
        <v>182</v>
      </c>
      <c r="L2446" s="30" t="s">
        <v>182</v>
      </c>
    </row>
    <row r="2447" customFormat="false" ht="18" hidden="false" customHeight="true" outlineLevel="0" collapsed="false">
      <c r="A2447" s="25" t="s">
        <v>114</v>
      </c>
      <c r="B2447" s="32" t="s">
        <v>181</v>
      </c>
      <c r="C2447" s="27" t="s">
        <v>75</v>
      </c>
      <c r="D2447" s="28"/>
      <c r="E2447" s="28"/>
      <c r="F2447" s="30" t="s">
        <v>182</v>
      </c>
      <c r="G2447" s="30" t="s">
        <v>182</v>
      </c>
      <c r="H2447" s="30" t="s">
        <v>182</v>
      </c>
      <c r="I2447" s="30" t="s">
        <v>182</v>
      </c>
      <c r="J2447" s="30" t="s">
        <v>182</v>
      </c>
      <c r="K2447" s="30" t="s">
        <v>182</v>
      </c>
      <c r="L2447" s="30" t="s">
        <v>182</v>
      </c>
    </row>
    <row r="2448" customFormat="false" ht="18" hidden="false" customHeight="true" outlineLevel="0" collapsed="false">
      <c r="A2448" s="25" t="s">
        <v>114</v>
      </c>
      <c r="B2448" s="32" t="s">
        <v>181</v>
      </c>
      <c r="C2448" s="27" t="s">
        <v>78</v>
      </c>
      <c r="D2448" s="28"/>
      <c r="E2448" s="28"/>
      <c r="F2448" s="30" t="s">
        <v>182</v>
      </c>
      <c r="G2448" s="30" t="s">
        <v>182</v>
      </c>
      <c r="H2448" s="30" t="s">
        <v>182</v>
      </c>
      <c r="I2448" s="30" t="s">
        <v>182</v>
      </c>
      <c r="J2448" s="30" t="s">
        <v>182</v>
      </c>
      <c r="K2448" s="30" t="s">
        <v>182</v>
      </c>
      <c r="L2448" s="30" t="s">
        <v>182</v>
      </c>
    </row>
    <row r="2449" customFormat="false" ht="18" hidden="false" customHeight="true" outlineLevel="0" collapsed="false">
      <c r="A2449" s="25" t="s">
        <v>114</v>
      </c>
      <c r="B2449" s="32" t="s">
        <v>181</v>
      </c>
      <c r="C2449" s="27" t="s">
        <v>81</v>
      </c>
      <c r="D2449" s="28"/>
      <c r="E2449" s="28"/>
      <c r="F2449" s="30" t="s">
        <v>182</v>
      </c>
      <c r="G2449" s="30" t="s">
        <v>182</v>
      </c>
      <c r="H2449" s="30" t="s">
        <v>182</v>
      </c>
      <c r="I2449" s="30" t="s">
        <v>182</v>
      </c>
      <c r="J2449" s="30" t="s">
        <v>182</v>
      </c>
      <c r="K2449" s="30" t="s">
        <v>182</v>
      </c>
      <c r="L2449" s="30" t="s">
        <v>182</v>
      </c>
    </row>
    <row r="2450" customFormat="false" ht="18" hidden="false" customHeight="true" outlineLevel="0" collapsed="false">
      <c r="A2450" s="17" t="s">
        <v>9</v>
      </c>
      <c r="B2450" s="18" t="s">
        <v>183</v>
      </c>
      <c r="C2450" s="19" t="s">
        <v>10</v>
      </c>
      <c r="D2450" s="20" t="n">
        <v>1</v>
      </c>
      <c r="E2450" s="20" t="n">
        <v>0</v>
      </c>
      <c r="F2450" s="21" t="n">
        <f aca="false">'📋 Matches'!E2</f>
        <v>2</v>
      </c>
      <c r="G2450" s="21" t="n">
        <f aca="false">'📋 Matches'!F2</f>
        <v>0</v>
      </c>
      <c r="H2450" s="22" t="n">
        <f aca="false">IF(AND(ISNUMBER(F2450),ISNUMBER(G2450)),IF(SIGN(D2450-E2450)=SIGN(F2450-G2450),48,0),"")</f>
        <v>48</v>
      </c>
      <c r="I2450" s="22" t="n">
        <f aca="false">IF(AND(ISNUMBER(F2450),ISNUMBER(G2450)),IF(D2450=F2450,15,0),"")</f>
        <v>0</v>
      </c>
      <c r="J2450" s="22" t="n">
        <f aca="false">IF(AND(ISNUMBER(F2450),ISNUMBER(G2450)),IF(E2450=G2450,15,0),"")</f>
        <v>15</v>
      </c>
      <c r="K2450" s="22" t="n">
        <f aca="false">IF(AND(ISNUMBER(F2450),ISNUMBER(G2450)),IF(ABS(D2450-E2450)=ABS(F2450-G2450),12,0),"")</f>
        <v>0</v>
      </c>
      <c r="L2450" s="23" t="n">
        <f aca="false">IF(ISNUMBER(H2450),H2450+I2450+J2450+K2450,"")</f>
        <v>63</v>
      </c>
    </row>
    <row r="2451" customFormat="false" ht="18" hidden="false" customHeight="true" outlineLevel="0" collapsed="false">
      <c r="A2451" s="17" t="s">
        <v>9</v>
      </c>
      <c r="B2451" s="18" t="s">
        <v>183</v>
      </c>
      <c r="C2451" s="19" t="s">
        <v>14</v>
      </c>
      <c r="D2451" s="20" t="n">
        <v>2</v>
      </c>
      <c r="E2451" s="20" t="n">
        <v>0</v>
      </c>
      <c r="F2451" s="21" t="n">
        <f aca="false">'📋 Matches'!E3</f>
        <v>2</v>
      </c>
      <c r="G2451" s="21" t="n">
        <f aca="false">'📋 Matches'!F3</f>
        <v>1</v>
      </c>
      <c r="H2451" s="22" t="n">
        <f aca="false">IF(AND(ISNUMBER(F2451),ISNUMBER(G2451)),IF(SIGN(D2451-E2451)=SIGN(F2451-G2451),48,0),"")</f>
        <v>48</v>
      </c>
      <c r="I2451" s="22" t="n">
        <f aca="false">IF(AND(ISNUMBER(F2451),ISNUMBER(G2451)),IF(D2451=F2451,15,0),"")</f>
        <v>15</v>
      </c>
      <c r="J2451" s="22" t="n">
        <f aca="false">IF(AND(ISNUMBER(F2451),ISNUMBER(G2451)),IF(E2451=G2451,15,0),"")</f>
        <v>0</v>
      </c>
      <c r="K2451" s="22" t="n">
        <f aca="false">IF(AND(ISNUMBER(F2451),ISNUMBER(G2451)),IF(ABS(D2451-E2451)=ABS(F2451-G2451),12,0),"")</f>
        <v>0</v>
      </c>
      <c r="L2451" s="23" t="n">
        <f aca="false">IF(ISNUMBER(H2451),H2451+I2451+J2451+K2451,"")</f>
        <v>63</v>
      </c>
    </row>
    <row r="2452" customFormat="false" ht="18" hidden="false" customHeight="true" outlineLevel="0" collapsed="false">
      <c r="A2452" s="17" t="s">
        <v>9</v>
      </c>
      <c r="B2452" s="18" t="s">
        <v>183</v>
      </c>
      <c r="C2452" s="19" t="s">
        <v>17</v>
      </c>
      <c r="D2452" s="20" t="n">
        <v>0</v>
      </c>
      <c r="E2452" s="20" t="n">
        <v>0</v>
      </c>
      <c r="F2452" s="21" t="n">
        <f aca="false">'📋 Matches'!E4</f>
        <v>1</v>
      </c>
      <c r="G2452" s="21" t="n">
        <f aca="false">'📋 Matches'!F4</f>
        <v>1</v>
      </c>
      <c r="H2452" s="22" t="n">
        <f aca="false">IF(AND(ISNUMBER(F2452),ISNUMBER(G2452)),IF(SIGN(D2452-E2452)=SIGN(F2452-G2452),48,0),"")</f>
        <v>48</v>
      </c>
      <c r="I2452" s="22" t="n">
        <f aca="false">IF(AND(ISNUMBER(F2452),ISNUMBER(G2452)),IF(D2452=F2452,15,0),"")</f>
        <v>0</v>
      </c>
      <c r="J2452" s="22" t="n">
        <f aca="false">IF(AND(ISNUMBER(F2452),ISNUMBER(G2452)),IF(E2452=G2452,15,0),"")</f>
        <v>0</v>
      </c>
      <c r="K2452" s="22" t="n">
        <f aca="false">IF(AND(ISNUMBER(F2452),ISNUMBER(G2452)),IF(ABS(D2452-E2452)=ABS(F2452-G2452),12,0),"")</f>
        <v>12</v>
      </c>
      <c r="L2452" s="23" t="n">
        <f aca="false">IF(ISNUMBER(H2452),H2452+I2452+J2452+K2452,"")</f>
        <v>60</v>
      </c>
    </row>
    <row r="2453" customFormat="false" ht="18" hidden="false" customHeight="true" outlineLevel="0" collapsed="false">
      <c r="A2453" s="17" t="s">
        <v>9</v>
      </c>
      <c r="B2453" s="18" t="s">
        <v>183</v>
      </c>
      <c r="C2453" s="19" t="s">
        <v>20</v>
      </c>
      <c r="D2453" s="20" t="n">
        <v>1</v>
      </c>
      <c r="E2453" s="20" t="n">
        <v>0</v>
      </c>
      <c r="F2453" s="21" t="n">
        <f aca="false">'📋 Matches'!E5</f>
        <v>4</v>
      </c>
      <c r="G2453" s="21" t="n">
        <f aca="false">'📋 Matches'!F5</f>
        <v>1</v>
      </c>
      <c r="H2453" s="22" t="n">
        <f aca="false">IF(AND(ISNUMBER(F2453),ISNUMBER(G2453)),IF(SIGN(D2453-E2453)=SIGN(F2453-G2453),48,0),"")</f>
        <v>48</v>
      </c>
      <c r="I2453" s="22" t="n">
        <f aca="false">IF(AND(ISNUMBER(F2453),ISNUMBER(G2453)),IF(D2453=F2453,15,0),"")</f>
        <v>0</v>
      </c>
      <c r="J2453" s="22" t="n">
        <f aca="false">IF(AND(ISNUMBER(F2453),ISNUMBER(G2453)),IF(E2453=G2453,15,0),"")</f>
        <v>0</v>
      </c>
      <c r="K2453" s="22" t="n">
        <f aca="false">IF(AND(ISNUMBER(F2453),ISNUMBER(G2453)),IF(ABS(D2453-E2453)=ABS(F2453-G2453),12,0),"")</f>
        <v>0</v>
      </c>
      <c r="L2453" s="23" t="n">
        <f aca="false">IF(ISNUMBER(H2453),H2453+I2453+J2453+K2453,"")</f>
        <v>48</v>
      </c>
    </row>
    <row r="2454" customFormat="false" ht="18" hidden="false" customHeight="true" outlineLevel="0" collapsed="false">
      <c r="A2454" s="17" t="s">
        <v>9</v>
      </c>
      <c r="B2454" s="18" t="s">
        <v>183</v>
      </c>
      <c r="C2454" s="19" t="s">
        <v>23</v>
      </c>
      <c r="D2454" s="20" t="n">
        <v>0</v>
      </c>
      <c r="E2454" s="20" t="n">
        <v>2</v>
      </c>
      <c r="F2454" s="21" t="n">
        <f aca="false">'📋 Matches'!E6</f>
        <v>0</v>
      </c>
      <c r="G2454" s="21" t="n">
        <f aca="false">'📋 Matches'!F6</f>
        <v>0</v>
      </c>
      <c r="H2454" s="22" t="str">
        <f aca="false">IF(AND(ISNUMBER(F2454),ISNUMBER(G2454)),IF(SIGN(D2454-E2454)=SIGN(F2454-G2454),48,0),"")</f>
        <v/>
      </c>
      <c r="I2454" s="22" t="str">
        <f aca="false">IF(AND(ISNUMBER(F2454),ISNUMBER(G2454)),IF(D2454=F2454,15,0),"")</f>
        <v/>
      </c>
      <c r="J2454" s="22" t="str">
        <f aca="false">IF(AND(ISNUMBER(F2454),ISNUMBER(G2454)),IF(E2454=G2454,15,0),"")</f>
        <v/>
      </c>
      <c r="K2454" s="22" t="str">
        <f aca="false">IF(AND(ISNUMBER(F2454),ISNUMBER(G2454)),IF(ABS(D2454-E2454)=ABS(F2454-G2454),12,0),"")</f>
        <v/>
      </c>
      <c r="L2454" s="23" t="str">
        <f aca="false">IF(ISNUMBER(H2454),H2454+I2454+J2454+K2454,"")</f>
        <v/>
      </c>
    </row>
    <row r="2455" customFormat="false" ht="18" hidden="false" customHeight="true" outlineLevel="0" collapsed="false">
      <c r="A2455" s="17" t="s">
        <v>9</v>
      </c>
      <c r="B2455" s="18" t="s">
        <v>183</v>
      </c>
      <c r="C2455" s="19" t="s">
        <v>27</v>
      </c>
      <c r="D2455" s="20" t="n">
        <v>2</v>
      </c>
      <c r="E2455" s="20" t="n">
        <v>1</v>
      </c>
      <c r="F2455" s="21" t="n">
        <f aca="false">'📋 Matches'!E7</f>
        <v>0</v>
      </c>
      <c r="G2455" s="21" t="n">
        <f aca="false">'📋 Matches'!F7</f>
        <v>0</v>
      </c>
      <c r="H2455" s="22" t="str">
        <f aca="false">IF(AND(ISNUMBER(F2455),ISNUMBER(G2455)),IF(SIGN(D2455-E2455)=SIGN(F2455-G2455),48,0),"")</f>
        <v/>
      </c>
      <c r="I2455" s="22" t="str">
        <f aca="false">IF(AND(ISNUMBER(F2455),ISNUMBER(G2455)),IF(D2455=F2455,15,0),"")</f>
        <v/>
      </c>
      <c r="J2455" s="22" t="str">
        <f aca="false">IF(AND(ISNUMBER(F2455),ISNUMBER(G2455)),IF(E2455=G2455,15,0),"")</f>
        <v/>
      </c>
      <c r="K2455" s="22" t="str">
        <f aca="false">IF(AND(ISNUMBER(F2455),ISNUMBER(G2455)),IF(ABS(D2455-E2455)=ABS(F2455-G2455),12,0),"")</f>
        <v/>
      </c>
      <c r="L2455" s="23" t="str">
        <f aca="false">IF(ISNUMBER(H2455),H2455+I2455+J2455+K2455,"")</f>
        <v/>
      </c>
    </row>
    <row r="2456" customFormat="false" ht="18" hidden="false" customHeight="true" outlineLevel="0" collapsed="false">
      <c r="A2456" s="17" t="s">
        <v>9</v>
      </c>
      <c r="B2456" s="18" t="s">
        <v>183</v>
      </c>
      <c r="C2456" s="19" t="s">
        <v>30</v>
      </c>
      <c r="D2456" s="20" t="n">
        <v>0</v>
      </c>
      <c r="E2456" s="20" t="n">
        <v>2</v>
      </c>
      <c r="F2456" s="21" t="n">
        <f aca="false">'📋 Matches'!E8</f>
        <v>0</v>
      </c>
      <c r="G2456" s="21" t="n">
        <f aca="false">'📋 Matches'!F8</f>
        <v>0</v>
      </c>
      <c r="H2456" s="22" t="str">
        <f aca="false">IF(AND(ISNUMBER(F2456),ISNUMBER(G2456)),IF(SIGN(D2456-E2456)=SIGN(F2456-G2456),48,0),"")</f>
        <v/>
      </c>
      <c r="I2456" s="22" t="str">
        <f aca="false">IF(AND(ISNUMBER(F2456),ISNUMBER(G2456)),IF(D2456=F2456,15,0),"")</f>
        <v/>
      </c>
      <c r="J2456" s="22" t="str">
        <f aca="false">IF(AND(ISNUMBER(F2456),ISNUMBER(G2456)),IF(E2456=G2456,15,0),"")</f>
        <v/>
      </c>
      <c r="K2456" s="22" t="str">
        <f aca="false">IF(AND(ISNUMBER(F2456),ISNUMBER(G2456)),IF(ABS(D2456-E2456)=ABS(F2456-G2456),12,0),"")</f>
        <v/>
      </c>
      <c r="L2456" s="23" t="str">
        <f aca="false">IF(ISNUMBER(H2456),H2456+I2456+J2456+K2456,"")</f>
        <v/>
      </c>
    </row>
    <row r="2457" customFormat="false" ht="18" hidden="false" customHeight="true" outlineLevel="0" collapsed="false">
      <c r="A2457" s="17" t="s">
        <v>9</v>
      </c>
      <c r="B2457" s="18" t="s">
        <v>183</v>
      </c>
      <c r="C2457" s="19" t="s">
        <v>33</v>
      </c>
      <c r="D2457" s="20" t="n">
        <v>0</v>
      </c>
      <c r="E2457" s="20" t="n">
        <v>1</v>
      </c>
      <c r="F2457" s="21" t="n">
        <f aca="false">'📋 Matches'!E9</f>
        <v>0</v>
      </c>
      <c r="G2457" s="21" t="n">
        <f aca="false">'📋 Matches'!F9</f>
        <v>0</v>
      </c>
      <c r="H2457" s="22" t="str">
        <f aca="false">IF(AND(ISNUMBER(F2457),ISNUMBER(G2457)),IF(SIGN(D2457-E2457)=SIGN(F2457-G2457),48,0),"")</f>
        <v/>
      </c>
      <c r="I2457" s="22" t="str">
        <f aca="false">IF(AND(ISNUMBER(F2457),ISNUMBER(G2457)),IF(D2457=F2457,15,0),"")</f>
        <v/>
      </c>
      <c r="J2457" s="22" t="str">
        <f aca="false">IF(AND(ISNUMBER(F2457),ISNUMBER(G2457)),IF(E2457=G2457,15,0),"")</f>
        <v/>
      </c>
      <c r="K2457" s="22" t="str">
        <f aca="false">IF(AND(ISNUMBER(F2457),ISNUMBER(G2457)),IF(ABS(D2457-E2457)=ABS(F2457-G2457),12,0),"")</f>
        <v/>
      </c>
      <c r="L2457" s="23" t="str">
        <f aca="false">IF(ISNUMBER(H2457),H2457+I2457+J2457+K2457,"")</f>
        <v/>
      </c>
    </row>
    <row r="2458" customFormat="false" ht="18" hidden="false" customHeight="true" outlineLevel="0" collapsed="false">
      <c r="A2458" s="17" t="s">
        <v>9</v>
      </c>
      <c r="B2458" s="18" t="s">
        <v>183</v>
      </c>
      <c r="C2458" s="19" t="s">
        <v>36</v>
      </c>
      <c r="D2458" s="20" t="n">
        <v>3</v>
      </c>
      <c r="E2458" s="20" t="n">
        <v>0</v>
      </c>
      <c r="F2458" s="21" t="n">
        <f aca="false">'📋 Matches'!E10</f>
        <v>0</v>
      </c>
      <c r="G2458" s="21" t="n">
        <f aca="false">'📋 Matches'!F10</f>
        <v>0</v>
      </c>
      <c r="H2458" s="22" t="str">
        <f aca="false">IF(AND(ISNUMBER(F2458),ISNUMBER(G2458)),IF(SIGN(D2458-E2458)=SIGN(F2458-G2458),48,0),"")</f>
        <v/>
      </c>
      <c r="I2458" s="22" t="str">
        <f aca="false">IF(AND(ISNUMBER(F2458),ISNUMBER(G2458)),IF(D2458=F2458,15,0),"")</f>
        <v/>
      </c>
      <c r="J2458" s="22" t="str">
        <f aca="false">IF(AND(ISNUMBER(F2458),ISNUMBER(G2458)),IF(E2458=G2458,15,0),"")</f>
        <v/>
      </c>
      <c r="K2458" s="22" t="str">
        <f aca="false">IF(AND(ISNUMBER(F2458),ISNUMBER(G2458)),IF(ABS(D2458-E2458)=ABS(F2458-G2458),12,0),"")</f>
        <v/>
      </c>
      <c r="L2458" s="23" t="str">
        <f aca="false">IF(ISNUMBER(H2458),H2458+I2458+J2458+K2458,"")</f>
        <v/>
      </c>
    </row>
    <row r="2459" customFormat="false" ht="18" hidden="false" customHeight="true" outlineLevel="0" collapsed="false">
      <c r="A2459" s="17" t="s">
        <v>9</v>
      </c>
      <c r="B2459" s="18" t="s">
        <v>183</v>
      </c>
      <c r="C2459" s="19" t="s">
        <v>39</v>
      </c>
      <c r="D2459" s="20" t="n">
        <v>2</v>
      </c>
      <c r="E2459" s="20" t="n">
        <v>1</v>
      </c>
      <c r="F2459" s="21" t="n">
        <f aca="false">'📋 Matches'!E11</f>
        <v>0</v>
      </c>
      <c r="G2459" s="21" t="n">
        <f aca="false">'📋 Matches'!F11</f>
        <v>0</v>
      </c>
      <c r="H2459" s="22" t="str">
        <f aca="false">IF(AND(ISNUMBER(F2459),ISNUMBER(G2459)),IF(SIGN(D2459-E2459)=SIGN(F2459-G2459),48,0),"")</f>
        <v/>
      </c>
      <c r="I2459" s="22" t="str">
        <f aca="false">IF(AND(ISNUMBER(F2459),ISNUMBER(G2459)),IF(D2459=F2459,15,0),"")</f>
        <v/>
      </c>
      <c r="J2459" s="22" t="str">
        <f aca="false">IF(AND(ISNUMBER(F2459),ISNUMBER(G2459)),IF(E2459=G2459,15,0),"")</f>
        <v/>
      </c>
      <c r="K2459" s="22" t="str">
        <f aca="false">IF(AND(ISNUMBER(F2459),ISNUMBER(G2459)),IF(ABS(D2459-E2459)=ABS(F2459-G2459),12,0),"")</f>
        <v/>
      </c>
      <c r="L2459" s="23" t="str">
        <f aca="false">IF(ISNUMBER(H2459),H2459+I2459+J2459+K2459,"")</f>
        <v/>
      </c>
    </row>
    <row r="2460" customFormat="false" ht="18" hidden="false" customHeight="true" outlineLevel="0" collapsed="false">
      <c r="A2460" s="17" t="s">
        <v>9</v>
      </c>
      <c r="B2460" s="18" t="s">
        <v>183</v>
      </c>
      <c r="C2460" s="19" t="s">
        <v>42</v>
      </c>
      <c r="D2460" s="20" t="n">
        <v>0</v>
      </c>
      <c r="E2460" s="20" t="n">
        <v>1</v>
      </c>
      <c r="F2460" s="21" t="n">
        <f aca="false">'📋 Matches'!E12</f>
        <v>0</v>
      </c>
      <c r="G2460" s="21" t="n">
        <f aca="false">'📋 Matches'!F12</f>
        <v>0</v>
      </c>
      <c r="H2460" s="22" t="str">
        <f aca="false">IF(AND(ISNUMBER(F2460),ISNUMBER(G2460)),IF(SIGN(D2460-E2460)=SIGN(F2460-G2460),48,0),"")</f>
        <v/>
      </c>
      <c r="I2460" s="22" t="str">
        <f aca="false">IF(AND(ISNUMBER(F2460),ISNUMBER(G2460)),IF(D2460=F2460,15,0),"")</f>
        <v/>
      </c>
      <c r="J2460" s="22" t="str">
        <f aca="false">IF(AND(ISNUMBER(F2460),ISNUMBER(G2460)),IF(E2460=G2460,15,0),"")</f>
        <v/>
      </c>
      <c r="K2460" s="22" t="str">
        <f aca="false">IF(AND(ISNUMBER(F2460),ISNUMBER(G2460)),IF(ABS(D2460-E2460)=ABS(F2460-G2460),12,0),"")</f>
        <v/>
      </c>
      <c r="L2460" s="23" t="str">
        <f aca="false">IF(ISNUMBER(H2460),H2460+I2460+J2460+K2460,"")</f>
        <v/>
      </c>
    </row>
    <row r="2461" customFormat="false" ht="18" hidden="false" customHeight="true" outlineLevel="0" collapsed="false">
      <c r="A2461" s="17" t="s">
        <v>9</v>
      </c>
      <c r="B2461" s="18" t="s">
        <v>183</v>
      </c>
      <c r="C2461" s="19" t="s">
        <v>45</v>
      </c>
      <c r="D2461" s="20" t="n">
        <v>1</v>
      </c>
      <c r="E2461" s="20" t="n">
        <v>1</v>
      </c>
      <c r="F2461" s="21" t="n">
        <f aca="false">'📋 Matches'!E13</f>
        <v>0</v>
      </c>
      <c r="G2461" s="21" t="n">
        <f aca="false">'📋 Matches'!F13</f>
        <v>0</v>
      </c>
      <c r="H2461" s="22" t="str">
        <f aca="false">IF(AND(ISNUMBER(F2461),ISNUMBER(G2461)),IF(SIGN(D2461-E2461)=SIGN(F2461-G2461),48,0),"")</f>
        <v/>
      </c>
      <c r="I2461" s="22" t="str">
        <f aca="false">IF(AND(ISNUMBER(F2461),ISNUMBER(G2461)),IF(D2461=F2461,15,0),"")</f>
        <v/>
      </c>
      <c r="J2461" s="22" t="str">
        <f aca="false">IF(AND(ISNUMBER(F2461),ISNUMBER(G2461)),IF(E2461=G2461,15,0),"")</f>
        <v/>
      </c>
      <c r="K2461" s="22" t="str">
        <f aca="false">IF(AND(ISNUMBER(F2461),ISNUMBER(G2461)),IF(ABS(D2461-E2461)=ABS(F2461-G2461),12,0),"")</f>
        <v/>
      </c>
      <c r="L2461" s="23" t="str">
        <f aca="false">IF(ISNUMBER(H2461),H2461+I2461+J2461+K2461,"")</f>
        <v/>
      </c>
    </row>
    <row r="2462" customFormat="false" ht="18" hidden="false" customHeight="true" outlineLevel="0" collapsed="false">
      <c r="A2462" s="17" t="s">
        <v>9</v>
      </c>
      <c r="B2462" s="18" t="s">
        <v>183</v>
      </c>
      <c r="C2462" s="19" t="s">
        <v>48</v>
      </c>
      <c r="D2462" s="20" t="n">
        <v>3</v>
      </c>
      <c r="E2462" s="20" t="n">
        <v>0</v>
      </c>
      <c r="F2462" s="21" t="n">
        <f aca="false">'📋 Matches'!E14</f>
        <v>0</v>
      </c>
      <c r="G2462" s="21" t="n">
        <f aca="false">'📋 Matches'!F14</f>
        <v>0</v>
      </c>
      <c r="H2462" s="22" t="str">
        <f aca="false">IF(AND(ISNUMBER(F2462),ISNUMBER(G2462)),IF(SIGN(D2462-E2462)=SIGN(F2462-G2462),48,0),"")</f>
        <v/>
      </c>
      <c r="I2462" s="22" t="str">
        <f aca="false">IF(AND(ISNUMBER(F2462),ISNUMBER(G2462)),IF(D2462=F2462,15,0),"")</f>
        <v/>
      </c>
      <c r="J2462" s="22" t="str">
        <f aca="false">IF(AND(ISNUMBER(F2462),ISNUMBER(G2462)),IF(E2462=G2462,15,0),"")</f>
        <v/>
      </c>
      <c r="K2462" s="22" t="str">
        <f aca="false">IF(AND(ISNUMBER(F2462),ISNUMBER(G2462)),IF(ABS(D2462-E2462)=ABS(F2462-G2462),12,0),"")</f>
        <v/>
      </c>
      <c r="L2462" s="23" t="str">
        <f aca="false">IF(ISNUMBER(H2462),H2462+I2462+J2462+K2462,"")</f>
        <v/>
      </c>
    </row>
    <row r="2463" customFormat="false" ht="18" hidden="false" customHeight="true" outlineLevel="0" collapsed="false">
      <c r="A2463" s="17" t="s">
        <v>9</v>
      </c>
      <c r="B2463" s="18" t="s">
        <v>183</v>
      </c>
      <c r="C2463" s="19" t="s">
        <v>51</v>
      </c>
      <c r="D2463" s="20" t="n">
        <v>2</v>
      </c>
      <c r="E2463" s="20" t="n">
        <v>0</v>
      </c>
      <c r="F2463" s="21" t="n">
        <f aca="false">'📋 Matches'!E15</f>
        <v>0</v>
      </c>
      <c r="G2463" s="21" t="n">
        <f aca="false">'📋 Matches'!F15</f>
        <v>0</v>
      </c>
      <c r="H2463" s="22" t="str">
        <f aca="false">IF(AND(ISNUMBER(F2463),ISNUMBER(G2463)),IF(SIGN(D2463-E2463)=SIGN(F2463-G2463),48,0),"")</f>
        <v/>
      </c>
      <c r="I2463" s="22" t="str">
        <f aca="false">IF(AND(ISNUMBER(F2463),ISNUMBER(G2463)),IF(D2463=F2463,15,0),"")</f>
        <v/>
      </c>
      <c r="J2463" s="22" t="str">
        <f aca="false">IF(AND(ISNUMBER(F2463),ISNUMBER(G2463)),IF(E2463=G2463,15,0),"")</f>
        <v/>
      </c>
      <c r="K2463" s="22" t="str">
        <f aca="false">IF(AND(ISNUMBER(F2463),ISNUMBER(G2463)),IF(ABS(D2463-E2463)=ABS(F2463-G2463),12,0),"")</f>
        <v/>
      </c>
      <c r="L2463" s="23" t="str">
        <f aca="false">IF(ISNUMBER(H2463),H2463+I2463+J2463+K2463,"")</f>
        <v/>
      </c>
    </row>
    <row r="2464" customFormat="false" ht="18" hidden="false" customHeight="true" outlineLevel="0" collapsed="false">
      <c r="A2464" s="17" t="s">
        <v>9</v>
      </c>
      <c r="B2464" s="18" t="s">
        <v>183</v>
      </c>
      <c r="C2464" s="19" t="s">
        <v>54</v>
      </c>
      <c r="D2464" s="20" t="n">
        <v>1</v>
      </c>
      <c r="E2464" s="20" t="n">
        <v>1</v>
      </c>
      <c r="F2464" s="21" t="n">
        <f aca="false">'📋 Matches'!E16</f>
        <v>0</v>
      </c>
      <c r="G2464" s="21" t="n">
        <f aca="false">'📋 Matches'!F16</f>
        <v>0</v>
      </c>
      <c r="H2464" s="22" t="str">
        <f aca="false">IF(AND(ISNUMBER(F2464),ISNUMBER(G2464)),IF(SIGN(D2464-E2464)=SIGN(F2464-G2464),48,0),"")</f>
        <v/>
      </c>
      <c r="I2464" s="22" t="str">
        <f aca="false">IF(AND(ISNUMBER(F2464),ISNUMBER(G2464)),IF(D2464=F2464,15,0),"")</f>
        <v/>
      </c>
      <c r="J2464" s="22" t="str">
        <f aca="false">IF(AND(ISNUMBER(F2464),ISNUMBER(G2464)),IF(E2464=G2464,15,0),"")</f>
        <v/>
      </c>
      <c r="K2464" s="22" t="str">
        <f aca="false">IF(AND(ISNUMBER(F2464),ISNUMBER(G2464)),IF(ABS(D2464-E2464)=ABS(F2464-G2464),12,0),"")</f>
        <v/>
      </c>
      <c r="L2464" s="23" t="str">
        <f aca="false">IF(ISNUMBER(H2464),H2464+I2464+J2464+K2464,"")</f>
        <v/>
      </c>
    </row>
    <row r="2465" customFormat="false" ht="18" hidden="false" customHeight="true" outlineLevel="0" collapsed="false">
      <c r="A2465" s="17" t="s">
        <v>9</v>
      </c>
      <c r="B2465" s="18" t="s">
        <v>183</v>
      </c>
      <c r="C2465" s="19" t="s">
        <v>57</v>
      </c>
      <c r="D2465" s="20" t="n">
        <v>0</v>
      </c>
      <c r="E2465" s="20" t="n">
        <v>0</v>
      </c>
      <c r="F2465" s="21" t="n">
        <f aca="false">'📋 Matches'!E17</f>
        <v>0</v>
      </c>
      <c r="G2465" s="21" t="n">
        <f aca="false">'📋 Matches'!F17</f>
        <v>0</v>
      </c>
      <c r="H2465" s="22" t="str">
        <f aca="false">IF(AND(ISNUMBER(F2465),ISNUMBER(G2465)),IF(SIGN(D2465-E2465)=SIGN(F2465-G2465),48,0),"")</f>
        <v/>
      </c>
      <c r="I2465" s="22" t="str">
        <f aca="false">IF(AND(ISNUMBER(F2465),ISNUMBER(G2465)),IF(D2465=F2465,15,0),"")</f>
        <v/>
      </c>
      <c r="J2465" s="22" t="str">
        <f aca="false">IF(AND(ISNUMBER(F2465),ISNUMBER(G2465)),IF(E2465=G2465,15,0),"")</f>
        <v/>
      </c>
      <c r="K2465" s="22" t="str">
        <f aca="false">IF(AND(ISNUMBER(F2465),ISNUMBER(G2465)),IF(ABS(D2465-E2465)=ABS(F2465-G2465),12,0),"")</f>
        <v/>
      </c>
      <c r="L2465" s="23" t="str">
        <f aca="false">IF(ISNUMBER(H2465),H2465+I2465+J2465+K2465,"")</f>
        <v/>
      </c>
    </row>
    <row r="2466" customFormat="false" ht="18" hidden="false" customHeight="true" outlineLevel="0" collapsed="false">
      <c r="A2466" s="17" t="s">
        <v>9</v>
      </c>
      <c r="B2466" s="18" t="s">
        <v>183</v>
      </c>
      <c r="C2466" s="19" t="s">
        <v>60</v>
      </c>
      <c r="D2466" s="20" t="n">
        <v>2</v>
      </c>
      <c r="E2466" s="20" t="n">
        <v>0</v>
      </c>
      <c r="F2466" s="21" t="n">
        <f aca="false">'📋 Matches'!E18</f>
        <v>0</v>
      </c>
      <c r="G2466" s="21" t="n">
        <f aca="false">'📋 Matches'!F18</f>
        <v>0</v>
      </c>
      <c r="H2466" s="22" t="str">
        <f aca="false">IF(AND(ISNUMBER(F2466),ISNUMBER(G2466)),IF(SIGN(D2466-E2466)=SIGN(F2466-G2466),48,0),"")</f>
        <v/>
      </c>
      <c r="I2466" s="22" t="str">
        <f aca="false">IF(AND(ISNUMBER(F2466),ISNUMBER(G2466)),IF(D2466=F2466,15,0),"")</f>
        <v/>
      </c>
      <c r="J2466" s="22" t="str">
        <f aca="false">IF(AND(ISNUMBER(F2466),ISNUMBER(G2466)),IF(E2466=G2466,15,0),"")</f>
        <v/>
      </c>
      <c r="K2466" s="22" t="str">
        <f aca="false">IF(AND(ISNUMBER(F2466),ISNUMBER(G2466)),IF(ABS(D2466-E2466)=ABS(F2466-G2466),12,0),"")</f>
        <v/>
      </c>
      <c r="L2466" s="23" t="str">
        <f aca="false">IF(ISNUMBER(H2466),H2466+I2466+J2466+K2466,"")</f>
        <v/>
      </c>
    </row>
    <row r="2467" customFormat="false" ht="18" hidden="false" customHeight="true" outlineLevel="0" collapsed="false">
      <c r="A2467" s="17" t="s">
        <v>9</v>
      </c>
      <c r="B2467" s="18" t="s">
        <v>183</v>
      </c>
      <c r="C2467" s="19" t="s">
        <v>63</v>
      </c>
      <c r="D2467" s="20" t="n">
        <v>0</v>
      </c>
      <c r="E2467" s="20" t="n">
        <v>0</v>
      </c>
      <c r="F2467" s="21" t="n">
        <f aca="false">'📋 Matches'!E19</f>
        <v>0</v>
      </c>
      <c r="G2467" s="21" t="n">
        <f aca="false">'📋 Matches'!F19</f>
        <v>0</v>
      </c>
      <c r="H2467" s="22" t="str">
        <f aca="false">IF(AND(ISNUMBER(F2467),ISNUMBER(G2467)),IF(SIGN(D2467-E2467)=SIGN(F2467-G2467),48,0),"")</f>
        <v/>
      </c>
      <c r="I2467" s="22" t="str">
        <f aca="false">IF(AND(ISNUMBER(F2467),ISNUMBER(G2467)),IF(D2467=F2467,15,0),"")</f>
        <v/>
      </c>
      <c r="J2467" s="22" t="str">
        <f aca="false">IF(AND(ISNUMBER(F2467),ISNUMBER(G2467)),IF(E2467=G2467,15,0),"")</f>
        <v/>
      </c>
      <c r="K2467" s="22" t="str">
        <f aca="false">IF(AND(ISNUMBER(F2467),ISNUMBER(G2467)),IF(ABS(D2467-E2467)=ABS(F2467-G2467),12,0),"")</f>
        <v/>
      </c>
      <c r="L2467" s="23" t="str">
        <f aca="false">IF(ISNUMBER(H2467),H2467+I2467+J2467+K2467,"")</f>
        <v/>
      </c>
    </row>
    <row r="2468" customFormat="false" ht="18" hidden="false" customHeight="true" outlineLevel="0" collapsed="false">
      <c r="A2468" s="17" t="s">
        <v>9</v>
      </c>
      <c r="B2468" s="18" t="s">
        <v>183</v>
      </c>
      <c r="C2468" s="19" t="s">
        <v>66</v>
      </c>
      <c r="D2468" s="20" t="n">
        <v>2</v>
      </c>
      <c r="E2468" s="20" t="n">
        <v>0</v>
      </c>
      <c r="F2468" s="21" t="n">
        <f aca="false">'📋 Matches'!E20</f>
        <v>0</v>
      </c>
      <c r="G2468" s="21" t="n">
        <f aca="false">'📋 Matches'!F20</f>
        <v>0</v>
      </c>
      <c r="H2468" s="22" t="str">
        <f aca="false">IF(AND(ISNUMBER(F2468),ISNUMBER(G2468)),IF(SIGN(D2468-E2468)=SIGN(F2468-G2468),48,0),"")</f>
        <v/>
      </c>
      <c r="I2468" s="22" t="str">
        <f aca="false">IF(AND(ISNUMBER(F2468),ISNUMBER(G2468)),IF(D2468=F2468,15,0),"")</f>
        <v/>
      </c>
      <c r="J2468" s="22" t="str">
        <f aca="false">IF(AND(ISNUMBER(F2468),ISNUMBER(G2468)),IF(E2468=G2468,15,0),"")</f>
        <v/>
      </c>
      <c r="K2468" s="22" t="str">
        <f aca="false">IF(AND(ISNUMBER(F2468),ISNUMBER(G2468)),IF(ABS(D2468-E2468)=ABS(F2468-G2468),12,0),"")</f>
        <v/>
      </c>
      <c r="L2468" s="23" t="str">
        <f aca="false">IF(ISNUMBER(H2468),H2468+I2468+J2468+K2468,"")</f>
        <v/>
      </c>
    </row>
    <row r="2469" customFormat="false" ht="18" hidden="false" customHeight="true" outlineLevel="0" collapsed="false">
      <c r="A2469" s="17" t="s">
        <v>9</v>
      </c>
      <c r="B2469" s="18" t="s">
        <v>183</v>
      </c>
      <c r="C2469" s="19" t="s">
        <v>69</v>
      </c>
      <c r="D2469" s="20" t="n">
        <v>2</v>
      </c>
      <c r="E2469" s="20" t="n">
        <v>0</v>
      </c>
      <c r="F2469" s="21" t="n">
        <f aca="false">'📋 Matches'!E21</f>
        <v>0</v>
      </c>
      <c r="G2469" s="21" t="n">
        <f aca="false">'📋 Matches'!F21</f>
        <v>0</v>
      </c>
      <c r="H2469" s="22" t="str">
        <f aca="false">IF(AND(ISNUMBER(F2469),ISNUMBER(G2469)),IF(SIGN(D2469-E2469)=SIGN(F2469-G2469),48,0),"")</f>
        <v/>
      </c>
      <c r="I2469" s="22" t="str">
        <f aca="false">IF(AND(ISNUMBER(F2469),ISNUMBER(G2469)),IF(D2469=F2469,15,0),"")</f>
        <v/>
      </c>
      <c r="J2469" s="22" t="str">
        <f aca="false">IF(AND(ISNUMBER(F2469),ISNUMBER(G2469)),IF(E2469=G2469,15,0),"")</f>
        <v/>
      </c>
      <c r="K2469" s="22" t="str">
        <f aca="false">IF(AND(ISNUMBER(F2469),ISNUMBER(G2469)),IF(ABS(D2469-E2469)=ABS(F2469-G2469),12,0),"")</f>
        <v/>
      </c>
      <c r="L2469" s="23" t="str">
        <f aca="false">IF(ISNUMBER(H2469),H2469+I2469+J2469+K2469,"")</f>
        <v/>
      </c>
    </row>
    <row r="2470" customFormat="false" ht="18" hidden="false" customHeight="true" outlineLevel="0" collapsed="false">
      <c r="A2470" s="17" t="s">
        <v>9</v>
      </c>
      <c r="B2470" s="18" t="s">
        <v>183</v>
      </c>
      <c r="C2470" s="19" t="s">
        <v>72</v>
      </c>
      <c r="D2470" s="20" t="n">
        <v>2</v>
      </c>
      <c r="E2470" s="20" t="n">
        <v>0</v>
      </c>
      <c r="F2470" s="21" t="n">
        <f aca="false">'📋 Matches'!E22</f>
        <v>0</v>
      </c>
      <c r="G2470" s="21" t="n">
        <f aca="false">'📋 Matches'!F22</f>
        <v>0</v>
      </c>
      <c r="H2470" s="22" t="str">
        <f aca="false">IF(AND(ISNUMBER(F2470),ISNUMBER(G2470)),IF(SIGN(D2470-E2470)=SIGN(F2470-G2470),48,0),"")</f>
        <v/>
      </c>
      <c r="I2470" s="22" t="str">
        <f aca="false">IF(AND(ISNUMBER(F2470),ISNUMBER(G2470)),IF(D2470=F2470,15,0),"")</f>
        <v/>
      </c>
      <c r="J2470" s="22" t="str">
        <f aca="false">IF(AND(ISNUMBER(F2470),ISNUMBER(G2470)),IF(E2470=G2470,15,0),"")</f>
        <v/>
      </c>
      <c r="K2470" s="22" t="str">
        <f aca="false">IF(AND(ISNUMBER(F2470),ISNUMBER(G2470)),IF(ABS(D2470-E2470)=ABS(F2470-G2470),12,0),"")</f>
        <v/>
      </c>
      <c r="L2470" s="23" t="str">
        <f aca="false">IF(ISNUMBER(H2470),H2470+I2470+J2470+K2470,"")</f>
        <v/>
      </c>
    </row>
    <row r="2471" customFormat="false" ht="18" hidden="false" customHeight="true" outlineLevel="0" collapsed="false">
      <c r="A2471" s="17" t="s">
        <v>9</v>
      </c>
      <c r="B2471" s="18" t="s">
        <v>183</v>
      </c>
      <c r="C2471" s="19" t="s">
        <v>75</v>
      </c>
      <c r="D2471" s="20" t="n">
        <v>1</v>
      </c>
      <c r="E2471" s="20" t="n">
        <v>0</v>
      </c>
      <c r="F2471" s="21" t="n">
        <f aca="false">'📋 Matches'!E23</f>
        <v>0</v>
      </c>
      <c r="G2471" s="21" t="n">
        <f aca="false">'📋 Matches'!F23</f>
        <v>0</v>
      </c>
      <c r="H2471" s="22" t="str">
        <f aca="false">IF(AND(ISNUMBER(F2471),ISNUMBER(G2471)),IF(SIGN(D2471-E2471)=SIGN(F2471-G2471),48,0),"")</f>
        <v/>
      </c>
      <c r="I2471" s="22" t="str">
        <f aca="false">IF(AND(ISNUMBER(F2471),ISNUMBER(G2471)),IF(D2471=F2471,15,0),"")</f>
        <v/>
      </c>
      <c r="J2471" s="22" t="str">
        <f aca="false">IF(AND(ISNUMBER(F2471),ISNUMBER(G2471)),IF(E2471=G2471,15,0),"")</f>
        <v/>
      </c>
      <c r="K2471" s="22" t="str">
        <f aca="false">IF(AND(ISNUMBER(F2471),ISNUMBER(G2471)),IF(ABS(D2471-E2471)=ABS(F2471-G2471),12,0),"")</f>
        <v/>
      </c>
      <c r="L2471" s="23" t="str">
        <f aca="false">IF(ISNUMBER(H2471),H2471+I2471+J2471+K2471,"")</f>
        <v/>
      </c>
    </row>
    <row r="2472" customFormat="false" ht="18" hidden="false" customHeight="true" outlineLevel="0" collapsed="false">
      <c r="A2472" s="17" t="s">
        <v>9</v>
      </c>
      <c r="B2472" s="18" t="s">
        <v>183</v>
      </c>
      <c r="C2472" s="19" t="s">
        <v>78</v>
      </c>
      <c r="D2472" s="20" t="n">
        <v>0</v>
      </c>
      <c r="E2472" s="20" t="n">
        <v>0</v>
      </c>
      <c r="F2472" s="21" t="n">
        <f aca="false">'📋 Matches'!E24</f>
        <v>0</v>
      </c>
      <c r="G2472" s="21" t="n">
        <f aca="false">'📋 Matches'!F24</f>
        <v>0</v>
      </c>
      <c r="H2472" s="22" t="str">
        <f aca="false">IF(AND(ISNUMBER(F2472),ISNUMBER(G2472)),IF(SIGN(D2472-E2472)=SIGN(F2472-G2472),48,0),"")</f>
        <v/>
      </c>
      <c r="I2472" s="22" t="str">
        <f aca="false">IF(AND(ISNUMBER(F2472),ISNUMBER(G2472)),IF(D2472=F2472,15,0),"")</f>
        <v/>
      </c>
      <c r="J2472" s="22" t="str">
        <f aca="false">IF(AND(ISNUMBER(F2472),ISNUMBER(G2472)),IF(E2472=G2472,15,0),"")</f>
        <v/>
      </c>
      <c r="K2472" s="22" t="str">
        <f aca="false">IF(AND(ISNUMBER(F2472),ISNUMBER(G2472)),IF(ABS(D2472-E2472)=ABS(F2472-G2472),12,0),"")</f>
        <v/>
      </c>
      <c r="L2472" s="23" t="str">
        <f aca="false">IF(ISNUMBER(H2472),H2472+I2472+J2472+K2472,"")</f>
        <v/>
      </c>
    </row>
    <row r="2473" customFormat="false" ht="18" hidden="false" customHeight="true" outlineLevel="0" collapsed="false">
      <c r="A2473" s="17" t="s">
        <v>9</v>
      </c>
      <c r="B2473" s="18" t="s">
        <v>183</v>
      </c>
      <c r="C2473" s="19" t="s">
        <v>81</v>
      </c>
      <c r="D2473" s="20" t="n">
        <v>0</v>
      </c>
      <c r="E2473" s="20" t="n">
        <v>1</v>
      </c>
      <c r="F2473" s="21" t="n">
        <f aca="false">'📋 Matches'!E25</f>
        <v>0</v>
      </c>
      <c r="G2473" s="21" t="n">
        <f aca="false">'📋 Matches'!F25</f>
        <v>0</v>
      </c>
      <c r="H2473" s="22" t="str">
        <f aca="false">IF(AND(ISNUMBER(F2473),ISNUMBER(G2473)),IF(SIGN(D2473-E2473)=SIGN(F2473-G2473),48,0),"")</f>
        <v/>
      </c>
      <c r="I2473" s="22" t="str">
        <f aca="false">IF(AND(ISNUMBER(F2473),ISNUMBER(G2473)),IF(D2473=F2473,15,0),"")</f>
        <v/>
      </c>
      <c r="J2473" s="22" t="str">
        <f aca="false">IF(AND(ISNUMBER(F2473),ISNUMBER(G2473)),IF(E2473=G2473,15,0),"")</f>
        <v/>
      </c>
      <c r="K2473" s="22" t="str">
        <f aca="false">IF(AND(ISNUMBER(F2473),ISNUMBER(G2473)),IF(ABS(D2473-E2473)=ABS(F2473-G2473),12,0),"")</f>
        <v/>
      </c>
      <c r="L2473" s="23" t="str">
        <f aca="false">IF(ISNUMBER(H2473),H2473+I2473+J2473+K2473,"")</f>
        <v/>
      </c>
    </row>
    <row r="2474" customFormat="false" ht="18" hidden="false" customHeight="true" outlineLevel="0" collapsed="false">
      <c r="A2474" s="25" t="s">
        <v>9</v>
      </c>
      <c r="B2474" s="26" t="s">
        <v>184</v>
      </c>
      <c r="C2474" s="27" t="s">
        <v>10</v>
      </c>
      <c r="D2474" s="28" t="n">
        <v>2</v>
      </c>
      <c r="E2474" s="28" t="n">
        <v>0</v>
      </c>
      <c r="F2474" s="29" t="n">
        <f aca="false">'📋 Matches'!E2</f>
        <v>2</v>
      </c>
      <c r="G2474" s="29" t="n">
        <f aca="false">'📋 Matches'!F2</f>
        <v>0</v>
      </c>
      <c r="H2474" s="22" t="n">
        <f aca="false">IF(AND(ISNUMBER(F2474),ISNUMBER(G2474)),IF(SIGN(D2474-E2474)=SIGN(F2474-G2474),48,0),"")</f>
        <v>48</v>
      </c>
      <c r="I2474" s="22" t="n">
        <f aca="false">IF(AND(ISNUMBER(F2474),ISNUMBER(G2474)),IF(D2474=F2474,15,0),"")</f>
        <v>15</v>
      </c>
      <c r="J2474" s="22" t="n">
        <f aca="false">IF(AND(ISNUMBER(F2474),ISNUMBER(G2474)),IF(E2474=G2474,15,0),"")</f>
        <v>15</v>
      </c>
      <c r="K2474" s="22" t="n">
        <f aca="false">IF(AND(ISNUMBER(F2474),ISNUMBER(G2474)),IF(ABS(D2474-E2474)=ABS(F2474-G2474),12,0),"")</f>
        <v>12</v>
      </c>
      <c r="L2474" s="23" t="n">
        <f aca="false">IF(ISNUMBER(H2474),H2474+I2474+J2474+K2474,"")</f>
        <v>90</v>
      </c>
    </row>
    <row r="2475" customFormat="false" ht="18" hidden="false" customHeight="true" outlineLevel="0" collapsed="false">
      <c r="A2475" s="25" t="s">
        <v>9</v>
      </c>
      <c r="B2475" s="26" t="s">
        <v>184</v>
      </c>
      <c r="C2475" s="27" t="s">
        <v>14</v>
      </c>
      <c r="D2475" s="28" t="n">
        <v>2</v>
      </c>
      <c r="E2475" s="28" t="n">
        <v>1</v>
      </c>
      <c r="F2475" s="29" t="n">
        <f aca="false">'📋 Matches'!E3</f>
        <v>2</v>
      </c>
      <c r="G2475" s="29" t="n">
        <f aca="false">'📋 Matches'!F3</f>
        <v>1</v>
      </c>
      <c r="H2475" s="22" t="n">
        <f aca="false">IF(AND(ISNUMBER(F2475),ISNUMBER(G2475)),IF(SIGN(D2475-E2475)=SIGN(F2475-G2475),48,0),"")</f>
        <v>48</v>
      </c>
      <c r="I2475" s="22" t="n">
        <f aca="false">IF(AND(ISNUMBER(F2475),ISNUMBER(G2475)),IF(D2475=F2475,15,0),"")</f>
        <v>15</v>
      </c>
      <c r="J2475" s="22" t="n">
        <f aca="false">IF(AND(ISNUMBER(F2475),ISNUMBER(G2475)),IF(E2475=G2475,15,0),"")</f>
        <v>15</v>
      </c>
      <c r="K2475" s="22" t="n">
        <f aca="false">IF(AND(ISNUMBER(F2475),ISNUMBER(G2475)),IF(ABS(D2475-E2475)=ABS(F2475-G2475),12,0),"")</f>
        <v>12</v>
      </c>
      <c r="L2475" s="23" t="n">
        <f aca="false">IF(ISNUMBER(H2475),H2475+I2475+J2475+K2475,"")</f>
        <v>90</v>
      </c>
    </row>
    <row r="2476" customFormat="false" ht="18" hidden="false" customHeight="true" outlineLevel="0" collapsed="false">
      <c r="A2476" s="25" t="s">
        <v>9</v>
      </c>
      <c r="B2476" s="26" t="s">
        <v>184</v>
      </c>
      <c r="C2476" s="27" t="s">
        <v>17</v>
      </c>
      <c r="D2476" s="28" t="n">
        <v>1</v>
      </c>
      <c r="E2476" s="28" t="n">
        <v>1</v>
      </c>
      <c r="F2476" s="29" t="n">
        <f aca="false">'📋 Matches'!E4</f>
        <v>1</v>
      </c>
      <c r="G2476" s="29" t="n">
        <f aca="false">'📋 Matches'!F4</f>
        <v>1</v>
      </c>
      <c r="H2476" s="22" t="n">
        <f aca="false">IF(AND(ISNUMBER(F2476),ISNUMBER(G2476)),IF(SIGN(D2476-E2476)=SIGN(F2476-G2476),48,0),"")</f>
        <v>48</v>
      </c>
      <c r="I2476" s="22" t="n">
        <f aca="false">IF(AND(ISNUMBER(F2476),ISNUMBER(G2476)),IF(D2476=F2476,15,0),"")</f>
        <v>15</v>
      </c>
      <c r="J2476" s="22" t="n">
        <f aca="false">IF(AND(ISNUMBER(F2476),ISNUMBER(G2476)),IF(E2476=G2476,15,0),"")</f>
        <v>15</v>
      </c>
      <c r="K2476" s="22" t="n">
        <f aca="false">IF(AND(ISNUMBER(F2476),ISNUMBER(G2476)),IF(ABS(D2476-E2476)=ABS(F2476-G2476),12,0),"")</f>
        <v>12</v>
      </c>
      <c r="L2476" s="23" t="n">
        <f aca="false">IF(ISNUMBER(H2476),H2476+I2476+J2476+K2476,"")</f>
        <v>90</v>
      </c>
    </row>
    <row r="2477" customFormat="false" ht="18" hidden="false" customHeight="true" outlineLevel="0" collapsed="false">
      <c r="A2477" s="25" t="s">
        <v>9</v>
      </c>
      <c r="B2477" s="26" t="s">
        <v>184</v>
      </c>
      <c r="C2477" s="27" t="s">
        <v>20</v>
      </c>
      <c r="D2477" s="28" t="n">
        <v>3</v>
      </c>
      <c r="E2477" s="28" t="n">
        <v>1</v>
      </c>
      <c r="F2477" s="29" t="n">
        <f aca="false">'📋 Matches'!E5</f>
        <v>4</v>
      </c>
      <c r="G2477" s="29" t="n">
        <f aca="false">'📋 Matches'!F5</f>
        <v>1</v>
      </c>
      <c r="H2477" s="22" t="n">
        <f aca="false">IF(AND(ISNUMBER(F2477),ISNUMBER(G2477)),IF(SIGN(D2477-E2477)=SIGN(F2477-G2477),48,0),"")</f>
        <v>48</v>
      </c>
      <c r="I2477" s="22" t="n">
        <f aca="false">IF(AND(ISNUMBER(F2477),ISNUMBER(G2477)),IF(D2477=F2477,15,0),"")</f>
        <v>0</v>
      </c>
      <c r="J2477" s="22" t="n">
        <f aca="false">IF(AND(ISNUMBER(F2477),ISNUMBER(G2477)),IF(E2477=G2477,15,0),"")</f>
        <v>15</v>
      </c>
      <c r="K2477" s="22" t="n">
        <f aca="false">IF(AND(ISNUMBER(F2477),ISNUMBER(G2477)),IF(ABS(D2477-E2477)=ABS(F2477-G2477),12,0),"")</f>
        <v>0</v>
      </c>
      <c r="L2477" s="23" t="n">
        <f aca="false">IF(ISNUMBER(H2477),H2477+I2477+J2477+K2477,"")</f>
        <v>63</v>
      </c>
    </row>
    <row r="2478" customFormat="false" ht="18" hidden="false" customHeight="true" outlineLevel="0" collapsed="false">
      <c r="A2478" s="25" t="s">
        <v>9</v>
      </c>
      <c r="B2478" s="26" t="s">
        <v>184</v>
      </c>
      <c r="C2478" s="27" t="s">
        <v>23</v>
      </c>
      <c r="D2478" s="28" t="n">
        <v>0</v>
      </c>
      <c r="E2478" s="28" t="n">
        <v>3</v>
      </c>
      <c r="F2478" s="29" t="n">
        <f aca="false">'📋 Matches'!E6</f>
        <v>0</v>
      </c>
      <c r="G2478" s="29" t="n">
        <f aca="false">'📋 Matches'!F6</f>
        <v>0</v>
      </c>
      <c r="H2478" s="22" t="str">
        <f aca="false">IF(AND(ISNUMBER(F2478),ISNUMBER(G2478)),IF(SIGN(D2478-E2478)=SIGN(F2478-G2478),48,0),"")</f>
        <v/>
      </c>
      <c r="I2478" s="22" t="str">
        <f aca="false">IF(AND(ISNUMBER(F2478),ISNUMBER(G2478)),IF(D2478=F2478,15,0),"")</f>
        <v/>
      </c>
      <c r="J2478" s="22" t="str">
        <f aca="false">IF(AND(ISNUMBER(F2478),ISNUMBER(G2478)),IF(E2478=G2478,15,0),"")</f>
        <v/>
      </c>
      <c r="K2478" s="22" t="str">
        <f aca="false">IF(AND(ISNUMBER(F2478),ISNUMBER(G2478)),IF(ABS(D2478-E2478)=ABS(F2478-G2478),12,0),"")</f>
        <v/>
      </c>
      <c r="L2478" s="23" t="str">
        <f aca="false">IF(ISNUMBER(H2478),H2478+I2478+J2478+K2478,"")</f>
        <v/>
      </c>
    </row>
    <row r="2479" customFormat="false" ht="18" hidden="false" customHeight="true" outlineLevel="0" collapsed="false">
      <c r="A2479" s="25" t="s">
        <v>9</v>
      </c>
      <c r="B2479" s="26" t="s">
        <v>184</v>
      </c>
      <c r="C2479" s="27" t="s">
        <v>27</v>
      </c>
      <c r="D2479" s="28" t="n">
        <v>2</v>
      </c>
      <c r="E2479" s="28" t="n">
        <v>1</v>
      </c>
      <c r="F2479" s="29" t="n">
        <f aca="false">'📋 Matches'!E7</f>
        <v>0</v>
      </c>
      <c r="G2479" s="29" t="n">
        <f aca="false">'📋 Matches'!F7</f>
        <v>0</v>
      </c>
      <c r="H2479" s="22" t="str">
        <f aca="false">IF(AND(ISNUMBER(F2479),ISNUMBER(G2479)),IF(SIGN(D2479-E2479)=SIGN(F2479-G2479),48,0),"")</f>
        <v/>
      </c>
      <c r="I2479" s="22" t="str">
        <f aca="false">IF(AND(ISNUMBER(F2479),ISNUMBER(G2479)),IF(D2479=F2479,15,0),"")</f>
        <v/>
      </c>
      <c r="J2479" s="22" t="str">
        <f aca="false">IF(AND(ISNUMBER(F2479),ISNUMBER(G2479)),IF(E2479=G2479,15,0),"")</f>
        <v/>
      </c>
      <c r="K2479" s="22" t="str">
        <f aca="false">IF(AND(ISNUMBER(F2479),ISNUMBER(G2479)),IF(ABS(D2479-E2479)=ABS(F2479-G2479),12,0),"")</f>
        <v/>
      </c>
      <c r="L2479" s="23" t="str">
        <f aca="false">IF(ISNUMBER(H2479),H2479+I2479+J2479+K2479,"")</f>
        <v/>
      </c>
    </row>
    <row r="2480" customFormat="false" ht="18" hidden="false" customHeight="true" outlineLevel="0" collapsed="false">
      <c r="A2480" s="25" t="s">
        <v>9</v>
      </c>
      <c r="B2480" s="26" t="s">
        <v>184</v>
      </c>
      <c r="C2480" s="27" t="s">
        <v>30</v>
      </c>
      <c r="D2480" s="28" t="n">
        <v>0</v>
      </c>
      <c r="E2480" s="28" t="n">
        <v>3</v>
      </c>
      <c r="F2480" s="29" t="n">
        <f aca="false">'📋 Matches'!E8</f>
        <v>0</v>
      </c>
      <c r="G2480" s="29" t="n">
        <f aca="false">'📋 Matches'!F8</f>
        <v>0</v>
      </c>
      <c r="H2480" s="22" t="str">
        <f aca="false">IF(AND(ISNUMBER(F2480),ISNUMBER(G2480)),IF(SIGN(D2480-E2480)=SIGN(F2480-G2480),48,0),"")</f>
        <v/>
      </c>
      <c r="I2480" s="22" t="str">
        <f aca="false">IF(AND(ISNUMBER(F2480),ISNUMBER(G2480)),IF(D2480=F2480,15,0),"")</f>
        <v/>
      </c>
      <c r="J2480" s="22" t="str">
        <f aca="false">IF(AND(ISNUMBER(F2480),ISNUMBER(G2480)),IF(E2480=G2480,15,0),"")</f>
        <v/>
      </c>
      <c r="K2480" s="22" t="str">
        <f aca="false">IF(AND(ISNUMBER(F2480),ISNUMBER(G2480)),IF(ABS(D2480-E2480)=ABS(F2480-G2480),12,0),"")</f>
        <v/>
      </c>
      <c r="L2480" s="23" t="str">
        <f aca="false">IF(ISNUMBER(H2480),H2480+I2480+J2480+K2480,"")</f>
        <v/>
      </c>
    </row>
    <row r="2481" customFormat="false" ht="18" hidden="false" customHeight="true" outlineLevel="0" collapsed="false">
      <c r="A2481" s="25" t="s">
        <v>9</v>
      </c>
      <c r="B2481" s="26" t="s">
        <v>184</v>
      </c>
      <c r="C2481" s="27" t="s">
        <v>33</v>
      </c>
      <c r="D2481" s="28" t="n">
        <v>2</v>
      </c>
      <c r="E2481" s="28" t="n">
        <v>1</v>
      </c>
      <c r="F2481" s="29" t="n">
        <f aca="false">'📋 Matches'!E9</f>
        <v>0</v>
      </c>
      <c r="G2481" s="29" t="n">
        <f aca="false">'📋 Matches'!F9</f>
        <v>0</v>
      </c>
      <c r="H2481" s="22" t="str">
        <f aca="false">IF(AND(ISNUMBER(F2481),ISNUMBER(G2481)),IF(SIGN(D2481-E2481)=SIGN(F2481-G2481),48,0),"")</f>
        <v/>
      </c>
      <c r="I2481" s="22" t="str">
        <f aca="false">IF(AND(ISNUMBER(F2481),ISNUMBER(G2481)),IF(D2481=F2481,15,0),"")</f>
        <v/>
      </c>
      <c r="J2481" s="22" t="str">
        <f aca="false">IF(AND(ISNUMBER(F2481),ISNUMBER(G2481)),IF(E2481=G2481,15,0),"")</f>
        <v/>
      </c>
      <c r="K2481" s="22" t="str">
        <f aca="false">IF(AND(ISNUMBER(F2481),ISNUMBER(G2481)),IF(ABS(D2481-E2481)=ABS(F2481-G2481),12,0),"")</f>
        <v/>
      </c>
      <c r="L2481" s="23" t="str">
        <f aca="false">IF(ISNUMBER(H2481),H2481+I2481+J2481+K2481,"")</f>
        <v/>
      </c>
    </row>
    <row r="2482" customFormat="false" ht="18" hidden="false" customHeight="true" outlineLevel="0" collapsed="false">
      <c r="A2482" s="25" t="s">
        <v>9</v>
      </c>
      <c r="B2482" s="26" t="s">
        <v>184</v>
      </c>
      <c r="C2482" s="27" t="s">
        <v>36</v>
      </c>
      <c r="D2482" s="28" t="n">
        <v>3</v>
      </c>
      <c r="E2482" s="28" t="n">
        <v>0</v>
      </c>
      <c r="F2482" s="29" t="n">
        <f aca="false">'📋 Matches'!E10</f>
        <v>0</v>
      </c>
      <c r="G2482" s="29" t="n">
        <f aca="false">'📋 Matches'!F10</f>
        <v>0</v>
      </c>
      <c r="H2482" s="22" t="str">
        <f aca="false">IF(AND(ISNUMBER(F2482),ISNUMBER(G2482)),IF(SIGN(D2482-E2482)=SIGN(F2482-G2482),48,0),"")</f>
        <v/>
      </c>
      <c r="I2482" s="22" t="str">
        <f aca="false">IF(AND(ISNUMBER(F2482),ISNUMBER(G2482)),IF(D2482=F2482,15,0),"")</f>
        <v/>
      </c>
      <c r="J2482" s="22" t="str">
        <f aca="false">IF(AND(ISNUMBER(F2482),ISNUMBER(G2482)),IF(E2482=G2482,15,0),"")</f>
        <v/>
      </c>
      <c r="K2482" s="22" t="str">
        <f aca="false">IF(AND(ISNUMBER(F2482),ISNUMBER(G2482)),IF(ABS(D2482-E2482)=ABS(F2482-G2482),12,0),"")</f>
        <v/>
      </c>
      <c r="L2482" s="23" t="str">
        <f aca="false">IF(ISNUMBER(H2482),H2482+I2482+J2482+K2482,"")</f>
        <v/>
      </c>
    </row>
    <row r="2483" customFormat="false" ht="18" hidden="false" customHeight="true" outlineLevel="0" collapsed="false">
      <c r="A2483" s="25" t="s">
        <v>9</v>
      </c>
      <c r="B2483" s="26" t="s">
        <v>184</v>
      </c>
      <c r="C2483" s="27" t="s">
        <v>39</v>
      </c>
      <c r="D2483" s="28" t="n">
        <v>2</v>
      </c>
      <c r="E2483" s="28" t="n">
        <v>1</v>
      </c>
      <c r="F2483" s="29" t="n">
        <f aca="false">'📋 Matches'!E11</f>
        <v>0</v>
      </c>
      <c r="G2483" s="29" t="n">
        <f aca="false">'📋 Matches'!F11</f>
        <v>0</v>
      </c>
      <c r="H2483" s="22" t="str">
        <f aca="false">IF(AND(ISNUMBER(F2483),ISNUMBER(G2483)),IF(SIGN(D2483-E2483)=SIGN(F2483-G2483),48,0),"")</f>
        <v/>
      </c>
      <c r="I2483" s="22" t="str">
        <f aca="false">IF(AND(ISNUMBER(F2483),ISNUMBER(G2483)),IF(D2483=F2483,15,0),"")</f>
        <v/>
      </c>
      <c r="J2483" s="22" t="str">
        <f aca="false">IF(AND(ISNUMBER(F2483),ISNUMBER(G2483)),IF(E2483=G2483,15,0),"")</f>
        <v/>
      </c>
      <c r="K2483" s="22" t="str">
        <f aca="false">IF(AND(ISNUMBER(F2483),ISNUMBER(G2483)),IF(ABS(D2483-E2483)=ABS(F2483-G2483),12,0),"")</f>
        <v/>
      </c>
      <c r="L2483" s="23" t="str">
        <f aca="false">IF(ISNUMBER(H2483),H2483+I2483+J2483+K2483,"")</f>
        <v/>
      </c>
    </row>
    <row r="2484" customFormat="false" ht="18" hidden="false" customHeight="true" outlineLevel="0" collapsed="false">
      <c r="A2484" s="25" t="s">
        <v>9</v>
      </c>
      <c r="B2484" s="26" t="s">
        <v>184</v>
      </c>
      <c r="C2484" s="27" t="s">
        <v>42</v>
      </c>
      <c r="D2484" s="28" t="n">
        <v>1</v>
      </c>
      <c r="E2484" s="28" t="n">
        <v>1</v>
      </c>
      <c r="F2484" s="29" t="n">
        <f aca="false">'📋 Matches'!E12</f>
        <v>0</v>
      </c>
      <c r="G2484" s="29" t="n">
        <f aca="false">'📋 Matches'!F12</f>
        <v>0</v>
      </c>
      <c r="H2484" s="22" t="str">
        <f aca="false">IF(AND(ISNUMBER(F2484),ISNUMBER(G2484)),IF(SIGN(D2484-E2484)=SIGN(F2484-G2484),48,0),"")</f>
        <v/>
      </c>
      <c r="I2484" s="22" t="str">
        <f aca="false">IF(AND(ISNUMBER(F2484),ISNUMBER(G2484)),IF(D2484=F2484,15,0),"")</f>
        <v/>
      </c>
      <c r="J2484" s="22" t="str">
        <f aca="false">IF(AND(ISNUMBER(F2484),ISNUMBER(G2484)),IF(E2484=G2484,15,0),"")</f>
        <v/>
      </c>
      <c r="K2484" s="22" t="str">
        <f aca="false">IF(AND(ISNUMBER(F2484),ISNUMBER(G2484)),IF(ABS(D2484-E2484)=ABS(F2484-G2484),12,0),"")</f>
        <v/>
      </c>
      <c r="L2484" s="23" t="str">
        <f aca="false">IF(ISNUMBER(H2484),H2484+I2484+J2484+K2484,"")</f>
        <v/>
      </c>
    </row>
    <row r="2485" customFormat="false" ht="18" hidden="false" customHeight="true" outlineLevel="0" collapsed="false">
      <c r="A2485" s="25" t="s">
        <v>9</v>
      </c>
      <c r="B2485" s="26" t="s">
        <v>184</v>
      </c>
      <c r="C2485" s="27" t="s">
        <v>45</v>
      </c>
      <c r="D2485" s="28" t="n">
        <v>3</v>
      </c>
      <c r="E2485" s="28" t="n">
        <v>1</v>
      </c>
      <c r="F2485" s="29" t="n">
        <f aca="false">'📋 Matches'!E13</f>
        <v>0</v>
      </c>
      <c r="G2485" s="29" t="n">
        <f aca="false">'📋 Matches'!F13</f>
        <v>0</v>
      </c>
      <c r="H2485" s="22" t="str">
        <f aca="false">IF(AND(ISNUMBER(F2485),ISNUMBER(G2485)),IF(SIGN(D2485-E2485)=SIGN(F2485-G2485),48,0),"")</f>
        <v/>
      </c>
      <c r="I2485" s="22" t="str">
        <f aca="false">IF(AND(ISNUMBER(F2485),ISNUMBER(G2485)),IF(D2485=F2485,15,0),"")</f>
        <v/>
      </c>
      <c r="J2485" s="22" t="str">
        <f aca="false">IF(AND(ISNUMBER(F2485),ISNUMBER(G2485)),IF(E2485=G2485,15,0),"")</f>
        <v/>
      </c>
      <c r="K2485" s="22" t="str">
        <f aca="false">IF(AND(ISNUMBER(F2485),ISNUMBER(G2485)),IF(ABS(D2485-E2485)=ABS(F2485-G2485),12,0),"")</f>
        <v/>
      </c>
      <c r="L2485" s="23" t="str">
        <f aca="false">IF(ISNUMBER(H2485),H2485+I2485+J2485+K2485,"")</f>
        <v/>
      </c>
    </row>
    <row r="2486" customFormat="false" ht="18" hidden="false" customHeight="true" outlineLevel="0" collapsed="false">
      <c r="A2486" s="25" t="s">
        <v>9</v>
      </c>
      <c r="B2486" s="26" t="s">
        <v>184</v>
      </c>
      <c r="C2486" s="27" t="s">
        <v>48</v>
      </c>
      <c r="D2486" s="28" t="n">
        <v>3</v>
      </c>
      <c r="E2486" s="28" t="n">
        <v>0</v>
      </c>
      <c r="F2486" s="29" t="n">
        <f aca="false">'📋 Matches'!E14</f>
        <v>0</v>
      </c>
      <c r="G2486" s="29" t="n">
        <f aca="false">'📋 Matches'!F14</f>
        <v>0</v>
      </c>
      <c r="H2486" s="22" t="str">
        <f aca="false">IF(AND(ISNUMBER(F2486),ISNUMBER(G2486)),IF(SIGN(D2486-E2486)=SIGN(F2486-G2486),48,0),"")</f>
        <v/>
      </c>
      <c r="I2486" s="22" t="str">
        <f aca="false">IF(AND(ISNUMBER(F2486),ISNUMBER(G2486)),IF(D2486=F2486,15,0),"")</f>
        <v/>
      </c>
      <c r="J2486" s="22" t="str">
        <f aca="false">IF(AND(ISNUMBER(F2486),ISNUMBER(G2486)),IF(E2486=G2486,15,0),"")</f>
        <v/>
      </c>
      <c r="K2486" s="22" t="str">
        <f aca="false">IF(AND(ISNUMBER(F2486),ISNUMBER(G2486)),IF(ABS(D2486-E2486)=ABS(F2486-G2486),12,0),"")</f>
        <v/>
      </c>
      <c r="L2486" s="23" t="str">
        <f aca="false">IF(ISNUMBER(H2486),H2486+I2486+J2486+K2486,"")</f>
        <v/>
      </c>
    </row>
    <row r="2487" customFormat="false" ht="18" hidden="false" customHeight="true" outlineLevel="0" collapsed="false">
      <c r="A2487" s="25" t="s">
        <v>9</v>
      </c>
      <c r="B2487" s="26" t="s">
        <v>184</v>
      </c>
      <c r="C2487" s="27" t="s">
        <v>51</v>
      </c>
      <c r="D2487" s="28" t="n">
        <v>2</v>
      </c>
      <c r="E2487" s="28" t="n">
        <v>0</v>
      </c>
      <c r="F2487" s="29" t="n">
        <f aca="false">'📋 Matches'!E15</f>
        <v>0</v>
      </c>
      <c r="G2487" s="29" t="n">
        <f aca="false">'📋 Matches'!F15</f>
        <v>0</v>
      </c>
      <c r="H2487" s="22" t="str">
        <f aca="false">IF(AND(ISNUMBER(F2487),ISNUMBER(G2487)),IF(SIGN(D2487-E2487)=SIGN(F2487-G2487),48,0),"")</f>
        <v/>
      </c>
      <c r="I2487" s="22" t="str">
        <f aca="false">IF(AND(ISNUMBER(F2487),ISNUMBER(G2487)),IF(D2487=F2487,15,0),"")</f>
        <v/>
      </c>
      <c r="J2487" s="22" t="str">
        <f aca="false">IF(AND(ISNUMBER(F2487),ISNUMBER(G2487)),IF(E2487=G2487,15,0),"")</f>
        <v/>
      </c>
      <c r="K2487" s="22" t="str">
        <f aca="false">IF(AND(ISNUMBER(F2487),ISNUMBER(G2487)),IF(ABS(D2487-E2487)=ABS(F2487-G2487),12,0),"")</f>
        <v/>
      </c>
      <c r="L2487" s="23" t="str">
        <f aca="false">IF(ISNUMBER(H2487),H2487+I2487+J2487+K2487,"")</f>
        <v/>
      </c>
    </row>
    <row r="2488" customFormat="false" ht="18" hidden="false" customHeight="true" outlineLevel="0" collapsed="false">
      <c r="A2488" s="25" t="s">
        <v>9</v>
      </c>
      <c r="B2488" s="26" t="s">
        <v>184</v>
      </c>
      <c r="C2488" s="27" t="s">
        <v>54</v>
      </c>
      <c r="D2488" s="28" t="n">
        <v>1</v>
      </c>
      <c r="E2488" s="28" t="n">
        <v>3</v>
      </c>
      <c r="F2488" s="29" t="n">
        <f aca="false">'📋 Matches'!E16</f>
        <v>0</v>
      </c>
      <c r="G2488" s="29" t="n">
        <f aca="false">'📋 Matches'!F16</f>
        <v>0</v>
      </c>
      <c r="H2488" s="22" t="str">
        <f aca="false">IF(AND(ISNUMBER(F2488),ISNUMBER(G2488)),IF(SIGN(D2488-E2488)=SIGN(F2488-G2488),48,0),"")</f>
        <v/>
      </c>
      <c r="I2488" s="22" t="str">
        <f aca="false">IF(AND(ISNUMBER(F2488),ISNUMBER(G2488)),IF(D2488=F2488,15,0),"")</f>
        <v/>
      </c>
      <c r="J2488" s="22" t="str">
        <f aca="false">IF(AND(ISNUMBER(F2488),ISNUMBER(G2488)),IF(E2488=G2488,15,0),"")</f>
        <v/>
      </c>
      <c r="K2488" s="22" t="str">
        <f aca="false">IF(AND(ISNUMBER(F2488),ISNUMBER(G2488)),IF(ABS(D2488-E2488)=ABS(F2488-G2488),12,0),"")</f>
        <v/>
      </c>
      <c r="L2488" s="23" t="str">
        <f aca="false">IF(ISNUMBER(H2488),H2488+I2488+J2488+K2488,"")</f>
        <v/>
      </c>
    </row>
    <row r="2489" customFormat="false" ht="18" hidden="false" customHeight="true" outlineLevel="0" collapsed="false">
      <c r="A2489" s="25" t="s">
        <v>9</v>
      </c>
      <c r="B2489" s="26" t="s">
        <v>184</v>
      </c>
      <c r="C2489" s="27" t="s">
        <v>57</v>
      </c>
      <c r="D2489" s="28" t="n">
        <v>1</v>
      </c>
      <c r="E2489" s="28" t="n">
        <v>1</v>
      </c>
      <c r="F2489" s="29" t="n">
        <f aca="false">'📋 Matches'!E17</f>
        <v>0</v>
      </c>
      <c r="G2489" s="29" t="n">
        <f aca="false">'📋 Matches'!F17</f>
        <v>0</v>
      </c>
      <c r="H2489" s="22" t="str">
        <f aca="false">IF(AND(ISNUMBER(F2489),ISNUMBER(G2489)),IF(SIGN(D2489-E2489)=SIGN(F2489-G2489),48,0),"")</f>
        <v/>
      </c>
      <c r="I2489" s="22" t="str">
        <f aca="false">IF(AND(ISNUMBER(F2489),ISNUMBER(G2489)),IF(D2489=F2489,15,0),"")</f>
        <v/>
      </c>
      <c r="J2489" s="22" t="str">
        <f aca="false">IF(AND(ISNUMBER(F2489),ISNUMBER(G2489)),IF(E2489=G2489,15,0),"")</f>
        <v/>
      </c>
      <c r="K2489" s="22" t="str">
        <f aca="false">IF(AND(ISNUMBER(F2489),ISNUMBER(G2489)),IF(ABS(D2489-E2489)=ABS(F2489-G2489),12,0),"")</f>
        <v/>
      </c>
      <c r="L2489" s="23" t="str">
        <f aca="false">IF(ISNUMBER(H2489),H2489+I2489+J2489+K2489,"")</f>
        <v/>
      </c>
    </row>
    <row r="2490" customFormat="false" ht="18" hidden="false" customHeight="true" outlineLevel="0" collapsed="false">
      <c r="A2490" s="25" t="s">
        <v>9</v>
      </c>
      <c r="B2490" s="26" t="s">
        <v>184</v>
      </c>
      <c r="C2490" s="27" t="s">
        <v>60</v>
      </c>
      <c r="D2490" s="28" t="n">
        <v>3</v>
      </c>
      <c r="E2490" s="28" t="n">
        <v>1</v>
      </c>
      <c r="F2490" s="29" t="n">
        <f aca="false">'📋 Matches'!E18</f>
        <v>0</v>
      </c>
      <c r="G2490" s="29" t="n">
        <f aca="false">'📋 Matches'!F18</f>
        <v>0</v>
      </c>
      <c r="H2490" s="22" t="str">
        <f aca="false">IF(AND(ISNUMBER(F2490),ISNUMBER(G2490)),IF(SIGN(D2490-E2490)=SIGN(F2490-G2490),48,0),"")</f>
        <v/>
      </c>
      <c r="I2490" s="22" t="str">
        <f aca="false">IF(AND(ISNUMBER(F2490),ISNUMBER(G2490)),IF(D2490=F2490,15,0),"")</f>
        <v/>
      </c>
      <c r="J2490" s="22" t="str">
        <f aca="false">IF(AND(ISNUMBER(F2490),ISNUMBER(G2490)),IF(E2490=G2490,15,0),"")</f>
        <v/>
      </c>
      <c r="K2490" s="22" t="str">
        <f aca="false">IF(AND(ISNUMBER(F2490),ISNUMBER(G2490)),IF(ABS(D2490-E2490)=ABS(F2490-G2490),12,0),"")</f>
        <v/>
      </c>
      <c r="L2490" s="23" t="str">
        <f aca="false">IF(ISNUMBER(H2490),H2490+I2490+J2490+K2490,"")</f>
        <v/>
      </c>
    </row>
    <row r="2491" customFormat="false" ht="18" hidden="false" customHeight="true" outlineLevel="0" collapsed="false">
      <c r="A2491" s="25" t="s">
        <v>9</v>
      </c>
      <c r="B2491" s="26" t="s">
        <v>184</v>
      </c>
      <c r="C2491" s="27" t="s">
        <v>63</v>
      </c>
      <c r="D2491" s="28" t="n">
        <v>0</v>
      </c>
      <c r="E2491" s="28" t="n">
        <v>3</v>
      </c>
      <c r="F2491" s="29" t="n">
        <f aca="false">'📋 Matches'!E19</f>
        <v>0</v>
      </c>
      <c r="G2491" s="29" t="n">
        <f aca="false">'📋 Matches'!F19</f>
        <v>0</v>
      </c>
      <c r="H2491" s="22" t="str">
        <f aca="false">IF(AND(ISNUMBER(F2491),ISNUMBER(G2491)),IF(SIGN(D2491-E2491)=SIGN(F2491-G2491),48,0),"")</f>
        <v/>
      </c>
      <c r="I2491" s="22" t="str">
        <f aca="false">IF(AND(ISNUMBER(F2491),ISNUMBER(G2491)),IF(D2491=F2491,15,0),"")</f>
        <v/>
      </c>
      <c r="J2491" s="22" t="str">
        <f aca="false">IF(AND(ISNUMBER(F2491),ISNUMBER(G2491)),IF(E2491=G2491,15,0),"")</f>
        <v/>
      </c>
      <c r="K2491" s="22" t="str">
        <f aca="false">IF(AND(ISNUMBER(F2491),ISNUMBER(G2491)),IF(ABS(D2491-E2491)=ABS(F2491-G2491),12,0),"")</f>
        <v/>
      </c>
      <c r="L2491" s="23" t="str">
        <f aca="false">IF(ISNUMBER(H2491),H2491+I2491+J2491+K2491,"")</f>
        <v/>
      </c>
    </row>
    <row r="2492" customFormat="false" ht="18" hidden="false" customHeight="true" outlineLevel="0" collapsed="false">
      <c r="A2492" s="25" t="s">
        <v>9</v>
      </c>
      <c r="B2492" s="26" t="s">
        <v>184</v>
      </c>
      <c r="C2492" s="27" t="s">
        <v>66</v>
      </c>
      <c r="D2492" s="28" t="n">
        <v>3</v>
      </c>
      <c r="E2492" s="28" t="n">
        <v>1</v>
      </c>
      <c r="F2492" s="29" t="n">
        <f aca="false">'📋 Matches'!E20</f>
        <v>0</v>
      </c>
      <c r="G2492" s="29" t="n">
        <f aca="false">'📋 Matches'!F20</f>
        <v>0</v>
      </c>
      <c r="H2492" s="22" t="str">
        <f aca="false">IF(AND(ISNUMBER(F2492),ISNUMBER(G2492)),IF(SIGN(D2492-E2492)=SIGN(F2492-G2492),48,0),"")</f>
        <v/>
      </c>
      <c r="I2492" s="22" t="str">
        <f aca="false">IF(AND(ISNUMBER(F2492),ISNUMBER(G2492)),IF(D2492=F2492,15,0),"")</f>
        <v/>
      </c>
      <c r="J2492" s="22" t="str">
        <f aca="false">IF(AND(ISNUMBER(F2492),ISNUMBER(G2492)),IF(E2492=G2492,15,0),"")</f>
        <v/>
      </c>
      <c r="K2492" s="22" t="str">
        <f aca="false">IF(AND(ISNUMBER(F2492),ISNUMBER(G2492)),IF(ABS(D2492-E2492)=ABS(F2492-G2492),12,0),"")</f>
        <v/>
      </c>
      <c r="L2492" s="23" t="str">
        <f aca="false">IF(ISNUMBER(H2492),H2492+I2492+J2492+K2492,"")</f>
        <v/>
      </c>
    </row>
    <row r="2493" customFormat="false" ht="18" hidden="false" customHeight="true" outlineLevel="0" collapsed="false">
      <c r="A2493" s="25" t="s">
        <v>9</v>
      </c>
      <c r="B2493" s="26" t="s">
        <v>184</v>
      </c>
      <c r="C2493" s="27" t="s">
        <v>69</v>
      </c>
      <c r="D2493" s="28" t="n">
        <v>4</v>
      </c>
      <c r="E2493" s="28" t="n">
        <v>0</v>
      </c>
      <c r="F2493" s="29" t="n">
        <f aca="false">'📋 Matches'!E21</f>
        <v>0</v>
      </c>
      <c r="G2493" s="29" t="n">
        <f aca="false">'📋 Matches'!F21</f>
        <v>0</v>
      </c>
      <c r="H2493" s="22" t="str">
        <f aca="false">IF(AND(ISNUMBER(F2493),ISNUMBER(G2493)),IF(SIGN(D2493-E2493)=SIGN(F2493-G2493),48,0),"")</f>
        <v/>
      </c>
      <c r="I2493" s="22" t="str">
        <f aca="false">IF(AND(ISNUMBER(F2493),ISNUMBER(G2493)),IF(D2493=F2493,15,0),"")</f>
        <v/>
      </c>
      <c r="J2493" s="22" t="str">
        <f aca="false">IF(AND(ISNUMBER(F2493),ISNUMBER(G2493)),IF(E2493=G2493,15,0),"")</f>
        <v/>
      </c>
      <c r="K2493" s="22" t="str">
        <f aca="false">IF(AND(ISNUMBER(F2493),ISNUMBER(G2493)),IF(ABS(D2493-E2493)=ABS(F2493-G2493),12,0),"")</f>
        <v/>
      </c>
      <c r="L2493" s="23" t="str">
        <f aca="false">IF(ISNUMBER(H2493),H2493+I2493+J2493+K2493,"")</f>
        <v/>
      </c>
    </row>
    <row r="2494" customFormat="false" ht="18" hidden="false" customHeight="true" outlineLevel="0" collapsed="false">
      <c r="A2494" s="25" t="s">
        <v>9</v>
      </c>
      <c r="B2494" s="26" t="s">
        <v>184</v>
      </c>
      <c r="C2494" s="27" t="s">
        <v>72</v>
      </c>
      <c r="D2494" s="28" t="n">
        <v>3</v>
      </c>
      <c r="E2494" s="28" t="n">
        <v>1</v>
      </c>
      <c r="F2494" s="29" t="n">
        <f aca="false">'📋 Matches'!E22</f>
        <v>0</v>
      </c>
      <c r="G2494" s="29" t="n">
        <f aca="false">'📋 Matches'!F22</f>
        <v>0</v>
      </c>
      <c r="H2494" s="22" t="str">
        <f aca="false">IF(AND(ISNUMBER(F2494),ISNUMBER(G2494)),IF(SIGN(D2494-E2494)=SIGN(F2494-G2494),48,0),"")</f>
        <v/>
      </c>
      <c r="I2494" s="22" t="str">
        <f aca="false">IF(AND(ISNUMBER(F2494),ISNUMBER(G2494)),IF(D2494=F2494,15,0),"")</f>
        <v/>
      </c>
      <c r="J2494" s="22" t="str">
        <f aca="false">IF(AND(ISNUMBER(F2494),ISNUMBER(G2494)),IF(E2494=G2494,15,0),"")</f>
        <v/>
      </c>
      <c r="K2494" s="22" t="str">
        <f aca="false">IF(AND(ISNUMBER(F2494),ISNUMBER(G2494)),IF(ABS(D2494-E2494)=ABS(F2494-G2494),12,0),"")</f>
        <v/>
      </c>
      <c r="L2494" s="23" t="str">
        <f aca="false">IF(ISNUMBER(H2494),H2494+I2494+J2494+K2494,"")</f>
        <v/>
      </c>
    </row>
    <row r="2495" customFormat="false" ht="18" hidden="false" customHeight="true" outlineLevel="0" collapsed="false">
      <c r="A2495" s="25" t="s">
        <v>9</v>
      </c>
      <c r="B2495" s="26" t="s">
        <v>184</v>
      </c>
      <c r="C2495" s="27" t="s">
        <v>75</v>
      </c>
      <c r="D2495" s="28" t="n">
        <v>2</v>
      </c>
      <c r="E2495" s="28" t="n">
        <v>1</v>
      </c>
      <c r="F2495" s="29" t="n">
        <f aca="false">'📋 Matches'!E23</f>
        <v>0</v>
      </c>
      <c r="G2495" s="29" t="n">
        <f aca="false">'📋 Matches'!F23</f>
        <v>0</v>
      </c>
      <c r="H2495" s="22" t="str">
        <f aca="false">IF(AND(ISNUMBER(F2495),ISNUMBER(G2495)),IF(SIGN(D2495-E2495)=SIGN(F2495-G2495),48,0),"")</f>
        <v/>
      </c>
      <c r="I2495" s="22" t="str">
        <f aca="false">IF(AND(ISNUMBER(F2495),ISNUMBER(G2495)),IF(D2495=F2495,15,0),"")</f>
        <v/>
      </c>
      <c r="J2495" s="22" t="str">
        <f aca="false">IF(AND(ISNUMBER(F2495),ISNUMBER(G2495)),IF(E2495=G2495,15,0),"")</f>
        <v/>
      </c>
      <c r="K2495" s="22" t="str">
        <f aca="false">IF(AND(ISNUMBER(F2495),ISNUMBER(G2495)),IF(ABS(D2495-E2495)=ABS(F2495-G2495),12,0),"")</f>
        <v/>
      </c>
      <c r="L2495" s="23" t="str">
        <f aca="false">IF(ISNUMBER(H2495),H2495+I2495+J2495+K2495,"")</f>
        <v/>
      </c>
    </row>
    <row r="2496" customFormat="false" ht="18" hidden="false" customHeight="true" outlineLevel="0" collapsed="false">
      <c r="A2496" s="25" t="s">
        <v>9</v>
      </c>
      <c r="B2496" s="26" t="s">
        <v>184</v>
      </c>
      <c r="C2496" s="27" t="s">
        <v>78</v>
      </c>
      <c r="D2496" s="28" t="n">
        <v>1</v>
      </c>
      <c r="E2496" s="28" t="n">
        <v>1</v>
      </c>
      <c r="F2496" s="29" t="n">
        <f aca="false">'📋 Matches'!E24</f>
        <v>0</v>
      </c>
      <c r="G2496" s="29" t="n">
        <f aca="false">'📋 Matches'!F24</f>
        <v>0</v>
      </c>
      <c r="H2496" s="22" t="str">
        <f aca="false">IF(AND(ISNUMBER(F2496),ISNUMBER(G2496)),IF(SIGN(D2496-E2496)=SIGN(F2496-G2496),48,0),"")</f>
        <v/>
      </c>
      <c r="I2496" s="22" t="str">
        <f aca="false">IF(AND(ISNUMBER(F2496),ISNUMBER(G2496)),IF(D2496=F2496,15,0),"")</f>
        <v/>
      </c>
      <c r="J2496" s="22" t="str">
        <f aca="false">IF(AND(ISNUMBER(F2496),ISNUMBER(G2496)),IF(E2496=G2496,15,0),"")</f>
        <v/>
      </c>
      <c r="K2496" s="22" t="str">
        <f aca="false">IF(AND(ISNUMBER(F2496),ISNUMBER(G2496)),IF(ABS(D2496-E2496)=ABS(F2496-G2496),12,0),"")</f>
        <v/>
      </c>
      <c r="L2496" s="23" t="str">
        <f aca="false">IF(ISNUMBER(H2496),H2496+I2496+J2496+K2496,"")</f>
        <v/>
      </c>
    </row>
    <row r="2497" customFormat="false" ht="18" hidden="false" customHeight="true" outlineLevel="0" collapsed="false">
      <c r="A2497" s="25" t="s">
        <v>9</v>
      </c>
      <c r="B2497" s="26" t="s">
        <v>184</v>
      </c>
      <c r="C2497" s="27" t="s">
        <v>81</v>
      </c>
      <c r="D2497" s="28" t="n">
        <v>1</v>
      </c>
      <c r="E2497" s="28" t="n">
        <v>2</v>
      </c>
      <c r="F2497" s="29" t="n">
        <f aca="false">'📋 Matches'!E25</f>
        <v>0</v>
      </c>
      <c r="G2497" s="29" t="n">
        <f aca="false">'📋 Matches'!F25</f>
        <v>0</v>
      </c>
      <c r="H2497" s="22" t="str">
        <f aca="false">IF(AND(ISNUMBER(F2497),ISNUMBER(G2497)),IF(SIGN(D2497-E2497)=SIGN(F2497-G2497),48,0),"")</f>
        <v/>
      </c>
      <c r="I2497" s="22" t="str">
        <f aca="false">IF(AND(ISNUMBER(F2497),ISNUMBER(G2497)),IF(D2497=F2497,15,0),"")</f>
        <v/>
      </c>
      <c r="J2497" s="22" t="str">
        <f aca="false">IF(AND(ISNUMBER(F2497),ISNUMBER(G2497)),IF(E2497=G2497,15,0),"")</f>
        <v/>
      </c>
      <c r="K2497" s="22" t="str">
        <f aca="false">IF(AND(ISNUMBER(F2497),ISNUMBER(G2497)),IF(ABS(D2497-E2497)=ABS(F2497-G2497),12,0),"")</f>
        <v/>
      </c>
      <c r="L2497" s="23" t="str">
        <f aca="false">IF(ISNUMBER(H2497),H2497+I2497+J2497+K2497,"")</f>
        <v/>
      </c>
    </row>
    <row r="2498" customFormat="false" ht="18" hidden="false" customHeight="true" outlineLevel="0" collapsed="false">
      <c r="A2498" s="17" t="s">
        <v>9</v>
      </c>
      <c r="B2498" s="18" t="s">
        <v>185</v>
      </c>
      <c r="C2498" s="19" t="s">
        <v>10</v>
      </c>
      <c r="D2498" s="20" t="n">
        <v>1</v>
      </c>
      <c r="E2498" s="20" t="n">
        <v>3</v>
      </c>
      <c r="F2498" s="21" t="n">
        <f aca="false">'📋 Matches'!E2</f>
        <v>2</v>
      </c>
      <c r="G2498" s="21" t="n">
        <f aca="false">'📋 Matches'!F2</f>
        <v>0</v>
      </c>
      <c r="H2498" s="22" t="n">
        <f aca="false">IF(AND(ISNUMBER(F2498),ISNUMBER(G2498)),IF(SIGN(D2498-E2498)=SIGN(F2498-G2498),48,0),"")</f>
        <v>0</v>
      </c>
      <c r="I2498" s="22" t="n">
        <f aca="false">IF(AND(ISNUMBER(F2498),ISNUMBER(G2498)),IF(D2498=F2498,15,0),"")</f>
        <v>0</v>
      </c>
      <c r="J2498" s="22" t="n">
        <f aca="false">IF(AND(ISNUMBER(F2498),ISNUMBER(G2498)),IF(E2498=G2498,15,0),"")</f>
        <v>0</v>
      </c>
      <c r="K2498" s="22" t="n">
        <f aca="false">IF(AND(ISNUMBER(F2498),ISNUMBER(G2498)),IF(ABS(D2498-E2498)=ABS(F2498-G2498),12,0),"")</f>
        <v>12</v>
      </c>
      <c r="L2498" s="23" t="n">
        <f aca="false">IF(ISNUMBER(H2498),H2498+I2498+J2498+K2498,"")</f>
        <v>12</v>
      </c>
    </row>
    <row r="2499" customFormat="false" ht="18" hidden="false" customHeight="true" outlineLevel="0" collapsed="false">
      <c r="A2499" s="17" t="s">
        <v>9</v>
      </c>
      <c r="B2499" s="18" t="s">
        <v>185</v>
      </c>
      <c r="C2499" s="19" t="s">
        <v>14</v>
      </c>
      <c r="D2499" s="20" t="n">
        <v>2</v>
      </c>
      <c r="E2499" s="20" t="n">
        <v>0</v>
      </c>
      <c r="F2499" s="21" t="n">
        <f aca="false">'📋 Matches'!E3</f>
        <v>2</v>
      </c>
      <c r="G2499" s="21" t="n">
        <f aca="false">'📋 Matches'!F3</f>
        <v>1</v>
      </c>
      <c r="H2499" s="22" t="n">
        <f aca="false">IF(AND(ISNUMBER(F2499),ISNUMBER(G2499)),IF(SIGN(D2499-E2499)=SIGN(F2499-G2499),48,0),"")</f>
        <v>48</v>
      </c>
      <c r="I2499" s="22" t="n">
        <f aca="false">IF(AND(ISNUMBER(F2499),ISNUMBER(G2499)),IF(D2499=F2499,15,0),"")</f>
        <v>15</v>
      </c>
      <c r="J2499" s="22" t="n">
        <f aca="false">IF(AND(ISNUMBER(F2499),ISNUMBER(G2499)),IF(E2499=G2499,15,0),"")</f>
        <v>0</v>
      </c>
      <c r="K2499" s="22" t="n">
        <f aca="false">IF(AND(ISNUMBER(F2499),ISNUMBER(G2499)),IF(ABS(D2499-E2499)=ABS(F2499-G2499),12,0),"")</f>
        <v>0</v>
      </c>
      <c r="L2499" s="23" t="n">
        <f aca="false">IF(ISNUMBER(H2499),H2499+I2499+J2499+K2499,"")</f>
        <v>63</v>
      </c>
    </row>
    <row r="2500" customFormat="false" ht="18" hidden="false" customHeight="true" outlineLevel="0" collapsed="false">
      <c r="A2500" s="17" t="s">
        <v>9</v>
      </c>
      <c r="B2500" s="18" t="s">
        <v>185</v>
      </c>
      <c r="C2500" s="19" t="s">
        <v>17</v>
      </c>
      <c r="D2500" s="20" t="n">
        <v>1</v>
      </c>
      <c r="E2500" s="20" t="n">
        <v>1</v>
      </c>
      <c r="F2500" s="21" t="n">
        <f aca="false">'📋 Matches'!E4</f>
        <v>1</v>
      </c>
      <c r="G2500" s="21" t="n">
        <f aca="false">'📋 Matches'!F4</f>
        <v>1</v>
      </c>
      <c r="H2500" s="22" t="n">
        <f aca="false">IF(AND(ISNUMBER(F2500),ISNUMBER(G2500)),IF(SIGN(D2500-E2500)=SIGN(F2500-G2500),48,0),"")</f>
        <v>48</v>
      </c>
      <c r="I2500" s="22" t="n">
        <f aca="false">IF(AND(ISNUMBER(F2500),ISNUMBER(G2500)),IF(D2500=F2500,15,0),"")</f>
        <v>15</v>
      </c>
      <c r="J2500" s="22" t="n">
        <f aca="false">IF(AND(ISNUMBER(F2500),ISNUMBER(G2500)),IF(E2500=G2500,15,0),"")</f>
        <v>15</v>
      </c>
      <c r="K2500" s="22" t="n">
        <f aca="false">IF(AND(ISNUMBER(F2500),ISNUMBER(G2500)),IF(ABS(D2500-E2500)=ABS(F2500-G2500),12,0),"")</f>
        <v>12</v>
      </c>
      <c r="L2500" s="23" t="n">
        <f aca="false">IF(ISNUMBER(H2500),H2500+I2500+J2500+K2500,"")</f>
        <v>90</v>
      </c>
    </row>
    <row r="2501" customFormat="false" ht="18" hidden="false" customHeight="true" outlineLevel="0" collapsed="false">
      <c r="A2501" s="17" t="s">
        <v>9</v>
      </c>
      <c r="B2501" s="18" t="s">
        <v>185</v>
      </c>
      <c r="C2501" s="19" t="s">
        <v>20</v>
      </c>
      <c r="D2501" s="20" t="n">
        <v>1</v>
      </c>
      <c r="E2501" s="20" t="n">
        <v>3</v>
      </c>
      <c r="F2501" s="21" t="n">
        <f aca="false">'📋 Matches'!E5</f>
        <v>4</v>
      </c>
      <c r="G2501" s="21" t="n">
        <f aca="false">'📋 Matches'!F5</f>
        <v>1</v>
      </c>
      <c r="H2501" s="22" t="n">
        <f aca="false">IF(AND(ISNUMBER(F2501),ISNUMBER(G2501)),IF(SIGN(D2501-E2501)=SIGN(F2501-G2501),48,0),"")</f>
        <v>0</v>
      </c>
      <c r="I2501" s="22" t="n">
        <f aca="false">IF(AND(ISNUMBER(F2501),ISNUMBER(G2501)),IF(D2501=F2501,15,0),"")</f>
        <v>0</v>
      </c>
      <c r="J2501" s="22" t="n">
        <f aca="false">IF(AND(ISNUMBER(F2501),ISNUMBER(G2501)),IF(E2501=G2501,15,0),"")</f>
        <v>0</v>
      </c>
      <c r="K2501" s="22" t="n">
        <f aca="false">IF(AND(ISNUMBER(F2501),ISNUMBER(G2501)),IF(ABS(D2501-E2501)=ABS(F2501-G2501),12,0),"")</f>
        <v>0</v>
      </c>
      <c r="L2501" s="23" t="n">
        <f aca="false">IF(ISNUMBER(H2501),H2501+I2501+J2501+K2501,"")</f>
        <v>0</v>
      </c>
    </row>
    <row r="2502" customFormat="false" ht="18" hidden="false" customHeight="true" outlineLevel="0" collapsed="false">
      <c r="A2502" s="17" t="s">
        <v>9</v>
      </c>
      <c r="B2502" s="18" t="s">
        <v>185</v>
      </c>
      <c r="C2502" s="19" t="s">
        <v>23</v>
      </c>
      <c r="D2502" s="20" t="n">
        <v>2</v>
      </c>
      <c r="E2502" s="20" t="n">
        <v>0</v>
      </c>
      <c r="F2502" s="21" t="n">
        <f aca="false">'📋 Matches'!E6</f>
        <v>0</v>
      </c>
      <c r="G2502" s="21" t="n">
        <f aca="false">'📋 Matches'!F6</f>
        <v>0</v>
      </c>
      <c r="H2502" s="22" t="str">
        <f aca="false">IF(AND(ISNUMBER(F2502),ISNUMBER(G2502)),IF(SIGN(D2502-E2502)=SIGN(F2502-G2502),48,0),"")</f>
        <v/>
      </c>
      <c r="I2502" s="22" t="str">
        <f aca="false">IF(AND(ISNUMBER(F2502),ISNUMBER(G2502)),IF(D2502=F2502,15,0),"")</f>
        <v/>
      </c>
      <c r="J2502" s="22" t="str">
        <f aca="false">IF(AND(ISNUMBER(F2502),ISNUMBER(G2502)),IF(E2502=G2502,15,0),"")</f>
        <v/>
      </c>
      <c r="K2502" s="22" t="str">
        <f aca="false">IF(AND(ISNUMBER(F2502),ISNUMBER(G2502)),IF(ABS(D2502-E2502)=ABS(F2502-G2502),12,0),"")</f>
        <v/>
      </c>
      <c r="L2502" s="23" t="str">
        <f aca="false">IF(ISNUMBER(H2502),H2502+I2502+J2502+K2502,"")</f>
        <v/>
      </c>
    </row>
    <row r="2503" customFormat="false" ht="18" hidden="false" customHeight="true" outlineLevel="0" collapsed="false">
      <c r="A2503" s="17" t="s">
        <v>9</v>
      </c>
      <c r="B2503" s="18" t="s">
        <v>185</v>
      </c>
      <c r="C2503" s="19" t="s">
        <v>27</v>
      </c>
      <c r="D2503" s="20" t="n">
        <v>2</v>
      </c>
      <c r="E2503" s="20" t="n">
        <v>3</v>
      </c>
      <c r="F2503" s="21" t="n">
        <f aca="false">'📋 Matches'!E7</f>
        <v>0</v>
      </c>
      <c r="G2503" s="21" t="n">
        <f aca="false">'📋 Matches'!F7</f>
        <v>0</v>
      </c>
      <c r="H2503" s="22" t="str">
        <f aca="false">IF(AND(ISNUMBER(F2503),ISNUMBER(G2503)),IF(SIGN(D2503-E2503)=SIGN(F2503-G2503),48,0),"")</f>
        <v/>
      </c>
      <c r="I2503" s="22" t="str">
        <f aca="false">IF(AND(ISNUMBER(F2503),ISNUMBER(G2503)),IF(D2503=F2503,15,0),"")</f>
        <v/>
      </c>
      <c r="J2503" s="22" t="str">
        <f aca="false">IF(AND(ISNUMBER(F2503),ISNUMBER(G2503)),IF(E2503=G2503,15,0),"")</f>
        <v/>
      </c>
      <c r="K2503" s="22" t="str">
        <f aca="false">IF(AND(ISNUMBER(F2503),ISNUMBER(G2503)),IF(ABS(D2503-E2503)=ABS(F2503-G2503),12,0),"")</f>
        <v/>
      </c>
      <c r="L2503" s="23" t="str">
        <f aca="false">IF(ISNUMBER(H2503),H2503+I2503+J2503+K2503,"")</f>
        <v/>
      </c>
    </row>
    <row r="2504" customFormat="false" ht="18" hidden="false" customHeight="true" outlineLevel="0" collapsed="false">
      <c r="A2504" s="17" t="s">
        <v>9</v>
      </c>
      <c r="B2504" s="18" t="s">
        <v>185</v>
      </c>
      <c r="C2504" s="19" t="s">
        <v>30</v>
      </c>
      <c r="D2504" s="20" t="n">
        <v>0</v>
      </c>
      <c r="E2504" s="20" t="n">
        <v>2</v>
      </c>
      <c r="F2504" s="21" t="n">
        <f aca="false">'📋 Matches'!E8</f>
        <v>0</v>
      </c>
      <c r="G2504" s="21" t="n">
        <f aca="false">'📋 Matches'!F8</f>
        <v>0</v>
      </c>
      <c r="H2504" s="22" t="str">
        <f aca="false">IF(AND(ISNUMBER(F2504),ISNUMBER(G2504)),IF(SIGN(D2504-E2504)=SIGN(F2504-G2504),48,0),"")</f>
        <v/>
      </c>
      <c r="I2504" s="22" t="str">
        <f aca="false">IF(AND(ISNUMBER(F2504),ISNUMBER(G2504)),IF(D2504=F2504,15,0),"")</f>
        <v/>
      </c>
      <c r="J2504" s="22" t="str">
        <f aca="false">IF(AND(ISNUMBER(F2504),ISNUMBER(G2504)),IF(E2504=G2504,15,0),"")</f>
        <v/>
      </c>
      <c r="K2504" s="22" t="str">
        <f aca="false">IF(AND(ISNUMBER(F2504),ISNUMBER(G2504)),IF(ABS(D2504-E2504)=ABS(F2504-G2504),12,0),"")</f>
        <v/>
      </c>
      <c r="L2504" s="23" t="str">
        <f aca="false">IF(ISNUMBER(H2504),H2504+I2504+J2504+K2504,"")</f>
        <v/>
      </c>
    </row>
    <row r="2505" customFormat="false" ht="18" hidden="false" customHeight="true" outlineLevel="0" collapsed="false">
      <c r="A2505" s="17" t="s">
        <v>9</v>
      </c>
      <c r="B2505" s="18" t="s">
        <v>185</v>
      </c>
      <c r="C2505" s="19" t="s">
        <v>33</v>
      </c>
      <c r="D2505" s="20" t="n">
        <v>1</v>
      </c>
      <c r="E2505" s="20" t="n">
        <v>0</v>
      </c>
      <c r="F2505" s="21" t="n">
        <f aca="false">'📋 Matches'!E9</f>
        <v>0</v>
      </c>
      <c r="G2505" s="21" t="n">
        <f aca="false">'📋 Matches'!F9</f>
        <v>0</v>
      </c>
      <c r="H2505" s="22" t="str">
        <f aca="false">IF(AND(ISNUMBER(F2505),ISNUMBER(G2505)),IF(SIGN(D2505-E2505)=SIGN(F2505-G2505),48,0),"")</f>
        <v/>
      </c>
      <c r="I2505" s="22" t="str">
        <f aca="false">IF(AND(ISNUMBER(F2505),ISNUMBER(G2505)),IF(D2505=F2505,15,0),"")</f>
        <v/>
      </c>
      <c r="J2505" s="22" t="str">
        <f aca="false">IF(AND(ISNUMBER(F2505),ISNUMBER(G2505)),IF(E2505=G2505,15,0),"")</f>
        <v/>
      </c>
      <c r="K2505" s="22" t="str">
        <f aca="false">IF(AND(ISNUMBER(F2505),ISNUMBER(G2505)),IF(ABS(D2505-E2505)=ABS(F2505-G2505),12,0),"")</f>
        <v/>
      </c>
      <c r="L2505" s="23" t="str">
        <f aca="false">IF(ISNUMBER(H2505),H2505+I2505+J2505+K2505,"")</f>
        <v/>
      </c>
    </row>
    <row r="2506" customFormat="false" ht="18" hidden="false" customHeight="true" outlineLevel="0" collapsed="false">
      <c r="A2506" s="17" t="s">
        <v>9</v>
      </c>
      <c r="B2506" s="18" t="s">
        <v>185</v>
      </c>
      <c r="C2506" s="19" t="s">
        <v>36</v>
      </c>
      <c r="D2506" s="20" t="n">
        <v>3</v>
      </c>
      <c r="E2506" s="20" t="n">
        <v>1</v>
      </c>
      <c r="F2506" s="21" t="n">
        <f aca="false">'📋 Matches'!E10</f>
        <v>0</v>
      </c>
      <c r="G2506" s="21" t="n">
        <f aca="false">'📋 Matches'!F10</f>
        <v>0</v>
      </c>
      <c r="H2506" s="22" t="str">
        <f aca="false">IF(AND(ISNUMBER(F2506),ISNUMBER(G2506)),IF(SIGN(D2506-E2506)=SIGN(F2506-G2506),48,0),"")</f>
        <v/>
      </c>
      <c r="I2506" s="22" t="str">
        <f aca="false">IF(AND(ISNUMBER(F2506),ISNUMBER(G2506)),IF(D2506=F2506,15,0),"")</f>
        <v/>
      </c>
      <c r="J2506" s="22" t="str">
        <f aca="false">IF(AND(ISNUMBER(F2506),ISNUMBER(G2506)),IF(E2506=G2506,15,0),"")</f>
        <v/>
      </c>
      <c r="K2506" s="22" t="str">
        <f aca="false">IF(AND(ISNUMBER(F2506),ISNUMBER(G2506)),IF(ABS(D2506-E2506)=ABS(F2506-G2506),12,0),"")</f>
        <v/>
      </c>
      <c r="L2506" s="23" t="str">
        <f aca="false">IF(ISNUMBER(H2506),H2506+I2506+J2506+K2506,"")</f>
        <v/>
      </c>
    </row>
    <row r="2507" customFormat="false" ht="18" hidden="false" customHeight="true" outlineLevel="0" collapsed="false">
      <c r="A2507" s="17" t="s">
        <v>9</v>
      </c>
      <c r="B2507" s="18" t="s">
        <v>185</v>
      </c>
      <c r="C2507" s="19" t="s">
        <v>39</v>
      </c>
      <c r="D2507" s="20" t="n">
        <v>2</v>
      </c>
      <c r="E2507" s="20" t="n">
        <v>2</v>
      </c>
      <c r="F2507" s="21" t="n">
        <f aca="false">'📋 Matches'!E11</f>
        <v>0</v>
      </c>
      <c r="G2507" s="21" t="n">
        <f aca="false">'📋 Matches'!F11</f>
        <v>0</v>
      </c>
      <c r="H2507" s="22" t="str">
        <f aca="false">IF(AND(ISNUMBER(F2507),ISNUMBER(G2507)),IF(SIGN(D2507-E2507)=SIGN(F2507-G2507),48,0),"")</f>
        <v/>
      </c>
      <c r="I2507" s="22" t="str">
        <f aca="false">IF(AND(ISNUMBER(F2507),ISNUMBER(G2507)),IF(D2507=F2507,15,0),"")</f>
        <v/>
      </c>
      <c r="J2507" s="22" t="str">
        <f aca="false">IF(AND(ISNUMBER(F2507),ISNUMBER(G2507)),IF(E2507=G2507,15,0),"")</f>
        <v/>
      </c>
      <c r="K2507" s="22" t="str">
        <f aca="false">IF(AND(ISNUMBER(F2507),ISNUMBER(G2507)),IF(ABS(D2507-E2507)=ABS(F2507-G2507),12,0),"")</f>
        <v/>
      </c>
      <c r="L2507" s="23" t="str">
        <f aca="false">IF(ISNUMBER(H2507),H2507+I2507+J2507+K2507,"")</f>
        <v/>
      </c>
    </row>
    <row r="2508" customFormat="false" ht="18" hidden="false" customHeight="true" outlineLevel="0" collapsed="false">
      <c r="A2508" s="17" t="s">
        <v>9</v>
      </c>
      <c r="B2508" s="18" t="s">
        <v>185</v>
      </c>
      <c r="C2508" s="19" t="s">
        <v>42</v>
      </c>
      <c r="D2508" s="20" t="n">
        <v>0</v>
      </c>
      <c r="E2508" s="20" t="n">
        <v>0</v>
      </c>
      <c r="F2508" s="21" t="n">
        <f aca="false">'📋 Matches'!E12</f>
        <v>0</v>
      </c>
      <c r="G2508" s="21" t="n">
        <f aca="false">'📋 Matches'!F12</f>
        <v>0</v>
      </c>
      <c r="H2508" s="22" t="str">
        <f aca="false">IF(AND(ISNUMBER(F2508),ISNUMBER(G2508)),IF(SIGN(D2508-E2508)=SIGN(F2508-G2508),48,0),"")</f>
        <v/>
      </c>
      <c r="I2508" s="22" t="str">
        <f aca="false">IF(AND(ISNUMBER(F2508),ISNUMBER(G2508)),IF(D2508=F2508,15,0),"")</f>
        <v/>
      </c>
      <c r="J2508" s="22" t="str">
        <f aca="false">IF(AND(ISNUMBER(F2508),ISNUMBER(G2508)),IF(E2508=G2508,15,0),"")</f>
        <v/>
      </c>
      <c r="K2508" s="22" t="str">
        <f aca="false">IF(AND(ISNUMBER(F2508),ISNUMBER(G2508)),IF(ABS(D2508-E2508)=ABS(F2508-G2508),12,0),"")</f>
        <v/>
      </c>
      <c r="L2508" s="23" t="str">
        <f aca="false">IF(ISNUMBER(H2508),H2508+I2508+J2508+K2508,"")</f>
        <v/>
      </c>
    </row>
    <row r="2509" customFormat="false" ht="18" hidden="false" customHeight="true" outlineLevel="0" collapsed="false">
      <c r="A2509" s="17" t="s">
        <v>9</v>
      </c>
      <c r="B2509" s="18" t="s">
        <v>185</v>
      </c>
      <c r="C2509" s="19" t="s">
        <v>45</v>
      </c>
      <c r="D2509" s="20" t="n">
        <v>0</v>
      </c>
      <c r="E2509" s="20" t="n">
        <v>1</v>
      </c>
      <c r="F2509" s="21" t="n">
        <f aca="false">'📋 Matches'!E13</f>
        <v>0</v>
      </c>
      <c r="G2509" s="21" t="n">
        <f aca="false">'📋 Matches'!F13</f>
        <v>0</v>
      </c>
      <c r="H2509" s="22" t="str">
        <f aca="false">IF(AND(ISNUMBER(F2509),ISNUMBER(G2509)),IF(SIGN(D2509-E2509)=SIGN(F2509-G2509),48,0),"")</f>
        <v/>
      </c>
      <c r="I2509" s="22" t="str">
        <f aca="false">IF(AND(ISNUMBER(F2509),ISNUMBER(G2509)),IF(D2509=F2509,15,0),"")</f>
        <v/>
      </c>
      <c r="J2509" s="22" t="str">
        <f aca="false">IF(AND(ISNUMBER(F2509),ISNUMBER(G2509)),IF(E2509=G2509,15,0),"")</f>
        <v/>
      </c>
      <c r="K2509" s="22" t="str">
        <f aca="false">IF(AND(ISNUMBER(F2509),ISNUMBER(G2509)),IF(ABS(D2509-E2509)=ABS(F2509-G2509),12,0),"")</f>
        <v/>
      </c>
      <c r="L2509" s="23" t="str">
        <f aca="false">IF(ISNUMBER(H2509),H2509+I2509+J2509+K2509,"")</f>
        <v/>
      </c>
    </row>
    <row r="2510" customFormat="false" ht="18" hidden="false" customHeight="true" outlineLevel="0" collapsed="false">
      <c r="A2510" s="17" t="s">
        <v>9</v>
      </c>
      <c r="B2510" s="18" t="s">
        <v>185</v>
      </c>
      <c r="C2510" s="19" t="s">
        <v>48</v>
      </c>
      <c r="D2510" s="20" t="n">
        <v>2</v>
      </c>
      <c r="E2510" s="20" t="n">
        <v>0</v>
      </c>
      <c r="F2510" s="21" t="n">
        <f aca="false">'📋 Matches'!E14</f>
        <v>0</v>
      </c>
      <c r="G2510" s="21" t="n">
        <f aca="false">'📋 Matches'!F14</f>
        <v>0</v>
      </c>
      <c r="H2510" s="22" t="str">
        <f aca="false">IF(AND(ISNUMBER(F2510),ISNUMBER(G2510)),IF(SIGN(D2510-E2510)=SIGN(F2510-G2510),48,0),"")</f>
        <v/>
      </c>
      <c r="I2510" s="22" t="str">
        <f aca="false">IF(AND(ISNUMBER(F2510),ISNUMBER(G2510)),IF(D2510=F2510,15,0),"")</f>
        <v/>
      </c>
      <c r="J2510" s="22" t="str">
        <f aca="false">IF(AND(ISNUMBER(F2510),ISNUMBER(G2510)),IF(E2510=G2510,15,0),"")</f>
        <v/>
      </c>
      <c r="K2510" s="22" t="str">
        <f aca="false">IF(AND(ISNUMBER(F2510),ISNUMBER(G2510)),IF(ABS(D2510-E2510)=ABS(F2510-G2510),12,0),"")</f>
        <v/>
      </c>
      <c r="L2510" s="23" t="str">
        <f aca="false">IF(ISNUMBER(H2510),H2510+I2510+J2510+K2510,"")</f>
        <v/>
      </c>
    </row>
    <row r="2511" customFormat="false" ht="18" hidden="false" customHeight="true" outlineLevel="0" collapsed="false">
      <c r="A2511" s="17" t="s">
        <v>9</v>
      </c>
      <c r="B2511" s="18" t="s">
        <v>185</v>
      </c>
      <c r="C2511" s="19" t="s">
        <v>51</v>
      </c>
      <c r="D2511" s="20" t="n">
        <v>1</v>
      </c>
      <c r="E2511" s="20" t="n">
        <v>0</v>
      </c>
      <c r="F2511" s="21" t="n">
        <f aca="false">'📋 Matches'!E15</f>
        <v>0</v>
      </c>
      <c r="G2511" s="21" t="n">
        <f aca="false">'📋 Matches'!F15</f>
        <v>0</v>
      </c>
      <c r="H2511" s="22" t="str">
        <f aca="false">IF(AND(ISNUMBER(F2511),ISNUMBER(G2511)),IF(SIGN(D2511-E2511)=SIGN(F2511-G2511),48,0),"")</f>
        <v/>
      </c>
      <c r="I2511" s="22" t="str">
        <f aca="false">IF(AND(ISNUMBER(F2511),ISNUMBER(G2511)),IF(D2511=F2511,15,0),"")</f>
        <v/>
      </c>
      <c r="J2511" s="22" t="str">
        <f aca="false">IF(AND(ISNUMBER(F2511),ISNUMBER(G2511)),IF(E2511=G2511,15,0),"")</f>
        <v/>
      </c>
      <c r="K2511" s="22" t="str">
        <f aca="false">IF(AND(ISNUMBER(F2511),ISNUMBER(G2511)),IF(ABS(D2511-E2511)=ABS(F2511-G2511),12,0),"")</f>
        <v/>
      </c>
      <c r="L2511" s="23" t="str">
        <f aca="false">IF(ISNUMBER(H2511),H2511+I2511+J2511+K2511,"")</f>
        <v/>
      </c>
    </row>
    <row r="2512" customFormat="false" ht="18" hidden="false" customHeight="true" outlineLevel="0" collapsed="false">
      <c r="A2512" s="17" t="s">
        <v>9</v>
      </c>
      <c r="B2512" s="18" t="s">
        <v>185</v>
      </c>
      <c r="C2512" s="19" t="s">
        <v>54</v>
      </c>
      <c r="D2512" s="20" t="n">
        <v>3</v>
      </c>
      <c r="E2512" s="20" t="n">
        <v>1</v>
      </c>
      <c r="F2512" s="21" t="n">
        <f aca="false">'📋 Matches'!E16</f>
        <v>0</v>
      </c>
      <c r="G2512" s="21" t="n">
        <f aca="false">'📋 Matches'!F16</f>
        <v>0</v>
      </c>
      <c r="H2512" s="22" t="str">
        <f aca="false">IF(AND(ISNUMBER(F2512),ISNUMBER(G2512)),IF(SIGN(D2512-E2512)=SIGN(F2512-G2512),48,0),"")</f>
        <v/>
      </c>
      <c r="I2512" s="22" t="str">
        <f aca="false">IF(AND(ISNUMBER(F2512),ISNUMBER(G2512)),IF(D2512=F2512,15,0),"")</f>
        <v/>
      </c>
      <c r="J2512" s="22" t="str">
        <f aca="false">IF(AND(ISNUMBER(F2512),ISNUMBER(G2512)),IF(E2512=G2512,15,0),"")</f>
        <v/>
      </c>
      <c r="K2512" s="22" t="str">
        <f aca="false">IF(AND(ISNUMBER(F2512),ISNUMBER(G2512)),IF(ABS(D2512-E2512)=ABS(F2512-G2512),12,0),"")</f>
        <v/>
      </c>
      <c r="L2512" s="23" t="str">
        <f aca="false">IF(ISNUMBER(H2512),H2512+I2512+J2512+K2512,"")</f>
        <v/>
      </c>
    </row>
    <row r="2513" customFormat="false" ht="18" hidden="false" customHeight="true" outlineLevel="0" collapsed="false">
      <c r="A2513" s="17" t="s">
        <v>9</v>
      </c>
      <c r="B2513" s="18" t="s">
        <v>185</v>
      </c>
      <c r="C2513" s="19" t="s">
        <v>57</v>
      </c>
      <c r="D2513" s="20" t="n">
        <v>0</v>
      </c>
      <c r="E2513" s="20" t="n">
        <v>4</v>
      </c>
      <c r="F2513" s="21" t="n">
        <f aca="false">'📋 Matches'!E17</f>
        <v>0</v>
      </c>
      <c r="G2513" s="21" t="n">
        <f aca="false">'📋 Matches'!F17</f>
        <v>0</v>
      </c>
      <c r="H2513" s="22" t="str">
        <f aca="false">IF(AND(ISNUMBER(F2513),ISNUMBER(G2513)),IF(SIGN(D2513-E2513)=SIGN(F2513-G2513),48,0),"")</f>
        <v/>
      </c>
      <c r="I2513" s="22" t="str">
        <f aca="false">IF(AND(ISNUMBER(F2513),ISNUMBER(G2513)),IF(D2513=F2513,15,0),"")</f>
        <v/>
      </c>
      <c r="J2513" s="22" t="str">
        <f aca="false">IF(AND(ISNUMBER(F2513),ISNUMBER(G2513)),IF(E2513=G2513,15,0),"")</f>
        <v/>
      </c>
      <c r="K2513" s="22" t="str">
        <f aca="false">IF(AND(ISNUMBER(F2513),ISNUMBER(G2513)),IF(ABS(D2513-E2513)=ABS(F2513-G2513),12,0),"")</f>
        <v/>
      </c>
      <c r="L2513" s="23" t="str">
        <f aca="false">IF(ISNUMBER(H2513),H2513+I2513+J2513+K2513,"")</f>
        <v/>
      </c>
    </row>
    <row r="2514" customFormat="false" ht="18" hidden="false" customHeight="true" outlineLevel="0" collapsed="false">
      <c r="A2514" s="17" t="s">
        <v>9</v>
      </c>
      <c r="B2514" s="18" t="s">
        <v>185</v>
      </c>
      <c r="C2514" s="19" t="s">
        <v>60</v>
      </c>
      <c r="D2514" s="20" t="n">
        <v>2</v>
      </c>
      <c r="E2514" s="20" t="n">
        <v>0</v>
      </c>
      <c r="F2514" s="21" t="n">
        <f aca="false">'📋 Matches'!E18</f>
        <v>0</v>
      </c>
      <c r="G2514" s="21" t="n">
        <f aca="false">'📋 Matches'!F18</f>
        <v>0</v>
      </c>
      <c r="H2514" s="22" t="str">
        <f aca="false">IF(AND(ISNUMBER(F2514),ISNUMBER(G2514)),IF(SIGN(D2514-E2514)=SIGN(F2514-G2514),48,0),"")</f>
        <v/>
      </c>
      <c r="I2514" s="22" t="str">
        <f aca="false">IF(AND(ISNUMBER(F2514),ISNUMBER(G2514)),IF(D2514=F2514,15,0),"")</f>
        <v/>
      </c>
      <c r="J2514" s="22" t="str">
        <f aca="false">IF(AND(ISNUMBER(F2514),ISNUMBER(G2514)),IF(E2514=G2514,15,0),"")</f>
        <v/>
      </c>
      <c r="K2514" s="22" t="str">
        <f aca="false">IF(AND(ISNUMBER(F2514),ISNUMBER(G2514)),IF(ABS(D2514-E2514)=ABS(F2514-G2514),12,0),"")</f>
        <v/>
      </c>
      <c r="L2514" s="23" t="str">
        <f aca="false">IF(ISNUMBER(H2514),H2514+I2514+J2514+K2514,"")</f>
        <v/>
      </c>
    </row>
    <row r="2515" customFormat="false" ht="18" hidden="false" customHeight="true" outlineLevel="0" collapsed="false">
      <c r="A2515" s="17" t="s">
        <v>9</v>
      </c>
      <c r="B2515" s="18" t="s">
        <v>185</v>
      </c>
      <c r="C2515" s="19" t="s">
        <v>63</v>
      </c>
      <c r="D2515" s="20" t="n">
        <v>1</v>
      </c>
      <c r="E2515" s="20" t="n">
        <v>4</v>
      </c>
      <c r="F2515" s="21" t="n">
        <f aca="false">'📋 Matches'!E19</f>
        <v>0</v>
      </c>
      <c r="G2515" s="21" t="n">
        <f aca="false">'📋 Matches'!F19</f>
        <v>0</v>
      </c>
      <c r="H2515" s="22" t="str">
        <f aca="false">IF(AND(ISNUMBER(F2515),ISNUMBER(G2515)),IF(SIGN(D2515-E2515)=SIGN(F2515-G2515),48,0),"")</f>
        <v/>
      </c>
      <c r="I2515" s="22" t="str">
        <f aca="false">IF(AND(ISNUMBER(F2515),ISNUMBER(G2515)),IF(D2515=F2515,15,0),"")</f>
        <v/>
      </c>
      <c r="J2515" s="22" t="str">
        <f aca="false">IF(AND(ISNUMBER(F2515),ISNUMBER(G2515)),IF(E2515=G2515,15,0),"")</f>
        <v/>
      </c>
      <c r="K2515" s="22" t="str">
        <f aca="false">IF(AND(ISNUMBER(F2515),ISNUMBER(G2515)),IF(ABS(D2515-E2515)=ABS(F2515-G2515),12,0),"")</f>
        <v/>
      </c>
      <c r="L2515" s="23" t="str">
        <f aca="false">IF(ISNUMBER(H2515),H2515+I2515+J2515+K2515,"")</f>
        <v/>
      </c>
    </row>
    <row r="2516" customFormat="false" ht="18" hidden="false" customHeight="true" outlineLevel="0" collapsed="false">
      <c r="A2516" s="17" t="s">
        <v>9</v>
      </c>
      <c r="B2516" s="18" t="s">
        <v>185</v>
      </c>
      <c r="C2516" s="19" t="s">
        <v>66</v>
      </c>
      <c r="D2516" s="20" t="n">
        <v>2</v>
      </c>
      <c r="E2516" s="20" t="n">
        <v>0</v>
      </c>
      <c r="F2516" s="21" t="n">
        <f aca="false">'📋 Matches'!E20</f>
        <v>0</v>
      </c>
      <c r="G2516" s="21" t="n">
        <f aca="false">'📋 Matches'!F20</f>
        <v>0</v>
      </c>
      <c r="H2516" s="22" t="str">
        <f aca="false">IF(AND(ISNUMBER(F2516),ISNUMBER(G2516)),IF(SIGN(D2516-E2516)=SIGN(F2516-G2516),48,0),"")</f>
        <v/>
      </c>
      <c r="I2516" s="22" t="str">
        <f aca="false">IF(AND(ISNUMBER(F2516),ISNUMBER(G2516)),IF(D2516=F2516,15,0),"")</f>
        <v/>
      </c>
      <c r="J2516" s="22" t="str">
        <f aca="false">IF(AND(ISNUMBER(F2516),ISNUMBER(G2516)),IF(E2516=G2516,15,0),"")</f>
        <v/>
      </c>
      <c r="K2516" s="22" t="str">
        <f aca="false">IF(AND(ISNUMBER(F2516),ISNUMBER(G2516)),IF(ABS(D2516-E2516)=ABS(F2516-G2516),12,0),"")</f>
        <v/>
      </c>
      <c r="L2516" s="23" t="str">
        <f aca="false">IF(ISNUMBER(H2516),H2516+I2516+J2516+K2516,"")</f>
        <v/>
      </c>
    </row>
    <row r="2517" customFormat="false" ht="18" hidden="false" customHeight="true" outlineLevel="0" collapsed="false">
      <c r="A2517" s="17" t="s">
        <v>9</v>
      </c>
      <c r="B2517" s="18" t="s">
        <v>185</v>
      </c>
      <c r="C2517" s="19" t="s">
        <v>69</v>
      </c>
      <c r="D2517" s="20" t="n">
        <v>1</v>
      </c>
      <c r="E2517" s="20" t="n">
        <v>1</v>
      </c>
      <c r="F2517" s="21" t="n">
        <f aca="false">'📋 Matches'!E21</f>
        <v>0</v>
      </c>
      <c r="G2517" s="21" t="n">
        <f aca="false">'📋 Matches'!F21</f>
        <v>0</v>
      </c>
      <c r="H2517" s="22" t="str">
        <f aca="false">IF(AND(ISNUMBER(F2517),ISNUMBER(G2517)),IF(SIGN(D2517-E2517)=SIGN(F2517-G2517),48,0),"")</f>
        <v/>
      </c>
      <c r="I2517" s="22" t="str">
        <f aca="false">IF(AND(ISNUMBER(F2517),ISNUMBER(G2517)),IF(D2517=F2517,15,0),"")</f>
        <v/>
      </c>
      <c r="J2517" s="22" t="str">
        <f aca="false">IF(AND(ISNUMBER(F2517),ISNUMBER(G2517)),IF(E2517=G2517,15,0),"")</f>
        <v/>
      </c>
      <c r="K2517" s="22" t="str">
        <f aca="false">IF(AND(ISNUMBER(F2517),ISNUMBER(G2517)),IF(ABS(D2517-E2517)=ABS(F2517-G2517),12,0),"")</f>
        <v/>
      </c>
      <c r="L2517" s="23" t="str">
        <f aca="false">IF(ISNUMBER(H2517),H2517+I2517+J2517+K2517,"")</f>
        <v/>
      </c>
    </row>
    <row r="2518" customFormat="false" ht="18" hidden="false" customHeight="true" outlineLevel="0" collapsed="false">
      <c r="A2518" s="17" t="s">
        <v>9</v>
      </c>
      <c r="B2518" s="18" t="s">
        <v>185</v>
      </c>
      <c r="C2518" s="19" t="s">
        <v>72</v>
      </c>
      <c r="D2518" s="20" t="n">
        <v>2</v>
      </c>
      <c r="E2518" s="20" t="n">
        <v>0</v>
      </c>
      <c r="F2518" s="21" t="n">
        <f aca="false">'📋 Matches'!E22</f>
        <v>0</v>
      </c>
      <c r="G2518" s="21" t="n">
        <f aca="false">'📋 Matches'!F22</f>
        <v>0</v>
      </c>
      <c r="H2518" s="22" t="str">
        <f aca="false">IF(AND(ISNUMBER(F2518),ISNUMBER(G2518)),IF(SIGN(D2518-E2518)=SIGN(F2518-G2518),48,0),"")</f>
        <v/>
      </c>
      <c r="I2518" s="22" t="str">
        <f aca="false">IF(AND(ISNUMBER(F2518),ISNUMBER(G2518)),IF(D2518=F2518,15,0),"")</f>
        <v/>
      </c>
      <c r="J2518" s="22" t="str">
        <f aca="false">IF(AND(ISNUMBER(F2518),ISNUMBER(G2518)),IF(E2518=G2518,15,0),"")</f>
        <v/>
      </c>
      <c r="K2518" s="22" t="str">
        <f aca="false">IF(AND(ISNUMBER(F2518),ISNUMBER(G2518)),IF(ABS(D2518-E2518)=ABS(F2518-G2518),12,0),"")</f>
        <v/>
      </c>
      <c r="L2518" s="23" t="str">
        <f aca="false">IF(ISNUMBER(H2518),H2518+I2518+J2518+K2518,"")</f>
        <v/>
      </c>
    </row>
    <row r="2519" customFormat="false" ht="18" hidden="false" customHeight="true" outlineLevel="0" collapsed="false">
      <c r="A2519" s="17" t="s">
        <v>9</v>
      </c>
      <c r="B2519" s="18" t="s">
        <v>185</v>
      </c>
      <c r="C2519" s="19" t="s">
        <v>75</v>
      </c>
      <c r="D2519" s="20" t="n">
        <v>2</v>
      </c>
      <c r="E2519" s="20" t="n">
        <v>2</v>
      </c>
      <c r="F2519" s="21" t="n">
        <f aca="false">'📋 Matches'!E23</f>
        <v>0</v>
      </c>
      <c r="G2519" s="21" t="n">
        <f aca="false">'📋 Matches'!F23</f>
        <v>0</v>
      </c>
      <c r="H2519" s="22" t="str">
        <f aca="false">IF(AND(ISNUMBER(F2519),ISNUMBER(G2519)),IF(SIGN(D2519-E2519)=SIGN(F2519-G2519),48,0),"")</f>
        <v/>
      </c>
      <c r="I2519" s="22" t="str">
        <f aca="false">IF(AND(ISNUMBER(F2519),ISNUMBER(G2519)),IF(D2519=F2519,15,0),"")</f>
        <v/>
      </c>
      <c r="J2519" s="22" t="str">
        <f aca="false">IF(AND(ISNUMBER(F2519),ISNUMBER(G2519)),IF(E2519=G2519,15,0),"")</f>
        <v/>
      </c>
      <c r="K2519" s="22" t="str">
        <f aca="false">IF(AND(ISNUMBER(F2519),ISNUMBER(G2519)),IF(ABS(D2519-E2519)=ABS(F2519-G2519),12,0),"")</f>
        <v/>
      </c>
      <c r="L2519" s="23" t="str">
        <f aca="false">IF(ISNUMBER(H2519),H2519+I2519+J2519+K2519,"")</f>
        <v/>
      </c>
    </row>
    <row r="2520" customFormat="false" ht="18" hidden="false" customHeight="true" outlineLevel="0" collapsed="false">
      <c r="A2520" s="17" t="s">
        <v>9</v>
      </c>
      <c r="B2520" s="18" t="s">
        <v>185</v>
      </c>
      <c r="C2520" s="19" t="s">
        <v>78</v>
      </c>
      <c r="D2520" s="20" t="n">
        <v>1</v>
      </c>
      <c r="E2520" s="20" t="n">
        <v>1</v>
      </c>
      <c r="F2520" s="21" t="n">
        <f aca="false">'📋 Matches'!E24</f>
        <v>0</v>
      </c>
      <c r="G2520" s="21" t="n">
        <f aca="false">'📋 Matches'!F24</f>
        <v>0</v>
      </c>
      <c r="H2520" s="22" t="str">
        <f aca="false">IF(AND(ISNUMBER(F2520),ISNUMBER(G2520)),IF(SIGN(D2520-E2520)=SIGN(F2520-G2520),48,0),"")</f>
        <v/>
      </c>
      <c r="I2520" s="22" t="str">
        <f aca="false">IF(AND(ISNUMBER(F2520),ISNUMBER(G2520)),IF(D2520=F2520,15,0),"")</f>
        <v/>
      </c>
      <c r="J2520" s="22" t="str">
        <f aca="false">IF(AND(ISNUMBER(F2520),ISNUMBER(G2520)),IF(E2520=G2520,15,0),"")</f>
        <v/>
      </c>
      <c r="K2520" s="22" t="str">
        <f aca="false">IF(AND(ISNUMBER(F2520),ISNUMBER(G2520)),IF(ABS(D2520-E2520)=ABS(F2520-G2520),12,0),"")</f>
        <v/>
      </c>
      <c r="L2520" s="23" t="str">
        <f aca="false">IF(ISNUMBER(H2520),H2520+I2520+J2520+K2520,"")</f>
        <v/>
      </c>
    </row>
    <row r="2521" customFormat="false" ht="18" hidden="false" customHeight="true" outlineLevel="0" collapsed="false">
      <c r="A2521" s="17" t="s">
        <v>9</v>
      </c>
      <c r="B2521" s="18" t="s">
        <v>185</v>
      </c>
      <c r="C2521" s="19" t="s">
        <v>81</v>
      </c>
      <c r="D2521" s="20" t="n">
        <v>2</v>
      </c>
      <c r="E2521" s="20" t="n">
        <v>1</v>
      </c>
      <c r="F2521" s="21" t="n">
        <f aca="false">'📋 Matches'!E25</f>
        <v>0</v>
      </c>
      <c r="G2521" s="21" t="n">
        <f aca="false">'📋 Matches'!F25</f>
        <v>0</v>
      </c>
      <c r="H2521" s="22" t="str">
        <f aca="false">IF(AND(ISNUMBER(F2521),ISNUMBER(G2521)),IF(SIGN(D2521-E2521)=SIGN(F2521-G2521),48,0),"")</f>
        <v/>
      </c>
      <c r="I2521" s="22" t="str">
        <f aca="false">IF(AND(ISNUMBER(F2521),ISNUMBER(G2521)),IF(D2521=F2521,15,0),"")</f>
        <v/>
      </c>
      <c r="J2521" s="22" t="str">
        <f aca="false">IF(AND(ISNUMBER(F2521),ISNUMBER(G2521)),IF(E2521=G2521,15,0),"")</f>
        <v/>
      </c>
      <c r="K2521" s="22" t="str">
        <f aca="false">IF(AND(ISNUMBER(F2521),ISNUMBER(G2521)),IF(ABS(D2521-E2521)=ABS(F2521-G2521),12,0),"")</f>
        <v/>
      </c>
      <c r="L2521" s="23" t="str">
        <f aca="false">IF(ISNUMBER(H2521),H2521+I2521+J2521+K2521,"")</f>
        <v/>
      </c>
    </row>
    <row r="2522" customFormat="false" ht="18" hidden="false" customHeight="true" outlineLevel="0" collapsed="false">
      <c r="A2522" s="25" t="s">
        <v>9</v>
      </c>
      <c r="B2522" s="32" t="s">
        <v>186</v>
      </c>
      <c r="C2522" s="27" t="s">
        <v>10</v>
      </c>
      <c r="D2522" s="28" t="n">
        <v>2</v>
      </c>
      <c r="E2522" s="28" t="n">
        <v>1</v>
      </c>
      <c r="F2522" s="29" t="n">
        <f aca="false">'📋 Matches'!E2</f>
        <v>2</v>
      </c>
      <c r="G2522" s="29" t="n">
        <f aca="false">'📋 Matches'!F2</f>
        <v>0</v>
      </c>
      <c r="H2522" s="22" t="n">
        <f aca="false">IF(AND(ISNUMBER(F2522),ISNUMBER(G2522)),IF(SIGN(D2522-E2522)=SIGN(F2522-G2522),48,0),"")</f>
        <v>48</v>
      </c>
      <c r="I2522" s="22" t="n">
        <f aca="false">IF(AND(ISNUMBER(F2522),ISNUMBER(G2522)),IF(D2522=F2522,15,0),"")</f>
        <v>15</v>
      </c>
      <c r="J2522" s="22" t="n">
        <f aca="false">IF(AND(ISNUMBER(F2522),ISNUMBER(G2522)),IF(E2522=G2522,15,0),"")</f>
        <v>0</v>
      </c>
      <c r="K2522" s="22" t="n">
        <f aca="false">IF(AND(ISNUMBER(F2522),ISNUMBER(G2522)),IF(ABS(D2522-E2522)=ABS(F2522-G2522),12,0),"")</f>
        <v>0</v>
      </c>
      <c r="L2522" s="23" t="n">
        <f aca="false">IF(ISNUMBER(H2522),H2522+I2522+J2522+K2522,"")</f>
        <v>63</v>
      </c>
    </row>
    <row r="2523" customFormat="false" ht="18" hidden="false" customHeight="true" outlineLevel="0" collapsed="false">
      <c r="A2523" s="25" t="s">
        <v>9</v>
      </c>
      <c r="B2523" s="32" t="s">
        <v>186</v>
      </c>
      <c r="C2523" s="27" t="s">
        <v>14</v>
      </c>
      <c r="D2523" s="28" t="n">
        <v>1</v>
      </c>
      <c r="E2523" s="28" t="n">
        <v>1</v>
      </c>
      <c r="F2523" s="29" t="n">
        <f aca="false">'📋 Matches'!E3</f>
        <v>2</v>
      </c>
      <c r="G2523" s="29" t="n">
        <f aca="false">'📋 Matches'!F3</f>
        <v>1</v>
      </c>
      <c r="H2523" s="22" t="n">
        <f aca="false">IF(AND(ISNUMBER(F2523),ISNUMBER(G2523)),IF(SIGN(D2523-E2523)=SIGN(F2523-G2523),48,0),"")</f>
        <v>0</v>
      </c>
      <c r="I2523" s="22" t="n">
        <f aca="false">IF(AND(ISNUMBER(F2523),ISNUMBER(G2523)),IF(D2523=F2523,15,0),"")</f>
        <v>0</v>
      </c>
      <c r="J2523" s="22" t="n">
        <f aca="false">IF(AND(ISNUMBER(F2523),ISNUMBER(G2523)),IF(E2523=G2523,15,0),"")</f>
        <v>15</v>
      </c>
      <c r="K2523" s="22" t="n">
        <f aca="false">IF(AND(ISNUMBER(F2523),ISNUMBER(G2523)),IF(ABS(D2523-E2523)=ABS(F2523-G2523),12,0),"")</f>
        <v>0</v>
      </c>
      <c r="L2523" s="23" t="n">
        <f aca="false">IF(ISNUMBER(H2523),H2523+I2523+J2523+K2523,"")</f>
        <v>15</v>
      </c>
    </row>
    <row r="2524" customFormat="false" ht="18" hidden="false" customHeight="true" outlineLevel="0" collapsed="false">
      <c r="A2524" s="25" t="s">
        <v>9</v>
      </c>
      <c r="B2524" s="32" t="s">
        <v>186</v>
      </c>
      <c r="C2524" s="27" t="s">
        <v>17</v>
      </c>
      <c r="D2524" s="28" t="n">
        <v>2</v>
      </c>
      <c r="E2524" s="28" t="n">
        <v>0</v>
      </c>
      <c r="F2524" s="29" t="n">
        <f aca="false">'📋 Matches'!E4</f>
        <v>1</v>
      </c>
      <c r="G2524" s="29" t="n">
        <f aca="false">'📋 Matches'!F4</f>
        <v>1</v>
      </c>
      <c r="H2524" s="22" t="n">
        <f aca="false">IF(AND(ISNUMBER(F2524),ISNUMBER(G2524)),IF(SIGN(D2524-E2524)=SIGN(F2524-G2524),48,0),"")</f>
        <v>0</v>
      </c>
      <c r="I2524" s="22" t="n">
        <f aca="false">IF(AND(ISNUMBER(F2524),ISNUMBER(G2524)),IF(D2524=F2524,15,0),"")</f>
        <v>0</v>
      </c>
      <c r="J2524" s="22" t="n">
        <f aca="false">IF(AND(ISNUMBER(F2524),ISNUMBER(G2524)),IF(E2524=G2524,15,0),"")</f>
        <v>0</v>
      </c>
      <c r="K2524" s="22" t="n">
        <f aca="false">IF(AND(ISNUMBER(F2524),ISNUMBER(G2524)),IF(ABS(D2524-E2524)=ABS(F2524-G2524),12,0),"")</f>
        <v>0</v>
      </c>
      <c r="L2524" s="23" t="n">
        <f aca="false">IF(ISNUMBER(H2524),H2524+I2524+J2524+K2524,"")</f>
        <v>0</v>
      </c>
    </row>
    <row r="2525" customFormat="false" ht="18" hidden="false" customHeight="true" outlineLevel="0" collapsed="false">
      <c r="A2525" s="25" t="s">
        <v>9</v>
      </c>
      <c r="B2525" s="32" t="s">
        <v>186</v>
      </c>
      <c r="C2525" s="27" t="s">
        <v>20</v>
      </c>
      <c r="D2525" s="28" t="n">
        <v>0</v>
      </c>
      <c r="E2525" s="28" t="n">
        <v>1</v>
      </c>
      <c r="F2525" s="29" t="n">
        <f aca="false">'📋 Matches'!E5</f>
        <v>4</v>
      </c>
      <c r="G2525" s="29" t="n">
        <f aca="false">'📋 Matches'!F5</f>
        <v>1</v>
      </c>
      <c r="H2525" s="22" t="n">
        <f aca="false">IF(AND(ISNUMBER(F2525),ISNUMBER(G2525)),IF(SIGN(D2525-E2525)=SIGN(F2525-G2525),48,0),"")</f>
        <v>0</v>
      </c>
      <c r="I2525" s="22" t="n">
        <f aca="false">IF(AND(ISNUMBER(F2525),ISNUMBER(G2525)),IF(D2525=F2525,15,0),"")</f>
        <v>0</v>
      </c>
      <c r="J2525" s="22" t="n">
        <f aca="false">IF(AND(ISNUMBER(F2525),ISNUMBER(G2525)),IF(E2525=G2525,15,0),"")</f>
        <v>15</v>
      </c>
      <c r="K2525" s="22" t="n">
        <f aca="false">IF(AND(ISNUMBER(F2525),ISNUMBER(G2525)),IF(ABS(D2525-E2525)=ABS(F2525-G2525),12,0),"")</f>
        <v>0</v>
      </c>
      <c r="L2525" s="23" t="n">
        <f aca="false">IF(ISNUMBER(H2525),H2525+I2525+J2525+K2525,"")</f>
        <v>15</v>
      </c>
    </row>
    <row r="2526" customFormat="false" ht="18" hidden="false" customHeight="true" outlineLevel="0" collapsed="false">
      <c r="A2526" s="25" t="s">
        <v>9</v>
      </c>
      <c r="B2526" s="32" t="s">
        <v>186</v>
      </c>
      <c r="C2526" s="27" t="s">
        <v>23</v>
      </c>
      <c r="D2526" s="28" t="n">
        <v>0</v>
      </c>
      <c r="E2526" s="28" t="n">
        <v>2</v>
      </c>
      <c r="F2526" s="29" t="n">
        <f aca="false">'📋 Matches'!E6</f>
        <v>0</v>
      </c>
      <c r="G2526" s="29" t="n">
        <f aca="false">'📋 Matches'!F6</f>
        <v>0</v>
      </c>
      <c r="H2526" s="22" t="str">
        <f aca="false">IF(AND(ISNUMBER(F2526),ISNUMBER(G2526)),IF(SIGN(D2526-E2526)=SIGN(F2526-G2526),48,0),"")</f>
        <v/>
      </c>
      <c r="I2526" s="22" t="str">
        <f aca="false">IF(AND(ISNUMBER(F2526),ISNUMBER(G2526)),IF(D2526=F2526,15,0),"")</f>
        <v/>
      </c>
      <c r="J2526" s="22" t="str">
        <f aca="false">IF(AND(ISNUMBER(F2526),ISNUMBER(G2526)),IF(E2526=G2526,15,0),"")</f>
        <v/>
      </c>
      <c r="K2526" s="22" t="str">
        <f aca="false">IF(AND(ISNUMBER(F2526),ISNUMBER(G2526)),IF(ABS(D2526-E2526)=ABS(F2526-G2526),12,0),"")</f>
        <v/>
      </c>
      <c r="L2526" s="23" t="str">
        <f aca="false">IF(ISNUMBER(H2526),H2526+I2526+J2526+K2526,"")</f>
        <v/>
      </c>
    </row>
    <row r="2527" customFormat="false" ht="18" hidden="false" customHeight="true" outlineLevel="0" collapsed="false">
      <c r="A2527" s="25" t="s">
        <v>9</v>
      </c>
      <c r="B2527" s="32" t="s">
        <v>186</v>
      </c>
      <c r="C2527" s="27" t="s">
        <v>27</v>
      </c>
      <c r="D2527" s="28" t="n">
        <v>1</v>
      </c>
      <c r="E2527" s="28" t="n">
        <v>1</v>
      </c>
      <c r="F2527" s="29" t="n">
        <f aca="false">'📋 Matches'!E7</f>
        <v>0</v>
      </c>
      <c r="G2527" s="29" t="n">
        <f aca="false">'📋 Matches'!F7</f>
        <v>0</v>
      </c>
      <c r="H2527" s="22" t="str">
        <f aca="false">IF(AND(ISNUMBER(F2527),ISNUMBER(G2527)),IF(SIGN(D2527-E2527)=SIGN(F2527-G2527),48,0),"")</f>
        <v/>
      </c>
      <c r="I2527" s="22" t="str">
        <f aca="false">IF(AND(ISNUMBER(F2527),ISNUMBER(G2527)),IF(D2527=F2527,15,0),"")</f>
        <v/>
      </c>
      <c r="J2527" s="22" t="str">
        <f aca="false">IF(AND(ISNUMBER(F2527),ISNUMBER(G2527)),IF(E2527=G2527,15,0),"")</f>
        <v/>
      </c>
      <c r="K2527" s="22" t="str">
        <f aca="false">IF(AND(ISNUMBER(F2527),ISNUMBER(G2527)),IF(ABS(D2527-E2527)=ABS(F2527-G2527),12,0),"")</f>
        <v/>
      </c>
      <c r="L2527" s="23" t="str">
        <f aca="false">IF(ISNUMBER(H2527),H2527+I2527+J2527+K2527,"")</f>
        <v/>
      </c>
    </row>
    <row r="2528" customFormat="false" ht="18" hidden="false" customHeight="true" outlineLevel="0" collapsed="false">
      <c r="A2528" s="25" t="s">
        <v>9</v>
      </c>
      <c r="B2528" s="32" t="s">
        <v>186</v>
      </c>
      <c r="C2528" s="27" t="s">
        <v>30</v>
      </c>
      <c r="D2528" s="28" t="n">
        <v>0</v>
      </c>
      <c r="E2528" s="28" t="n">
        <v>2</v>
      </c>
      <c r="F2528" s="29" t="n">
        <f aca="false">'📋 Matches'!E8</f>
        <v>0</v>
      </c>
      <c r="G2528" s="29" t="n">
        <f aca="false">'📋 Matches'!F8</f>
        <v>0</v>
      </c>
      <c r="H2528" s="22" t="str">
        <f aca="false">IF(AND(ISNUMBER(F2528),ISNUMBER(G2528)),IF(SIGN(D2528-E2528)=SIGN(F2528-G2528),48,0),"")</f>
        <v/>
      </c>
      <c r="I2528" s="22" t="str">
        <f aca="false">IF(AND(ISNUMBER(F2528),ISNUMBER(G2528)),IF(D2528=F2528,15,0),"")</f>
        <v/>
      </c>
      <c r="J2528" s="22" t="str">
        <f aca="false">IF(AND(ISNUMBER(F2528),ISNUMBER(G2528)),IF(E2528=G2528,15,0),"")</f>
        <v/>
      </c>
      <c r="K2528" s="22" t="str">
        <f aca="false">IF(AND(ISNUMBER(F2528),ISNUMBER(G2528)),IF(ABS(D2528-E2528)=ABS(F2528-G2528),12,0),"")</f>
        <v/>
      </c>
      <c r="L2528" s="23" t="str">
        <f aca="false">IF(ISNUMBER(H2528),H2528+I2528+J2528+K2528,"")</f>
        <v/>
      </c>
    </row>
    <row r="2529" customFormat="false" ht="18" hidden="false" customHeight="true" outlineLevel="0" collapsed="false">
      <c r="A2529" s="25" t="s">
        <v>9</v>
      </c>
      <c r="B2529" s="32" t="s">
        <v>186</v>
      </c>
      <c r="C2529" s="27" t="s">
        <v>33</v>
      </c>
      <c r="D2529" s="28" t="n">
        <v>0</v>
      </c>
      <c r="E2529" s="28" t="n">
        <v>3</v>
      </c>
      <c r="F2529" s="29" t="n">
        <f aca="false">'📋 Matches'!E9</f>
        <v>0</v>
      </c>
      <c r="G2529" s="29" t="n">
        <f aca="false">'📋 Matches'!F9</f>
        <v>0</v>
      </c>
      <c r="H2529" s="22" t="str">
        <f aca="false">IF(AND(ISNUMBER(F2529),ISNUMBER(G2529)),IF(SIGN(D2529-E2529)=SIGN(F2529-G2529),48,0),"")</f>
        <v/>
      </c>
      <c r="I2529" s="22" t="str">
        <f aca="false">IF(AND(ISNUMBER(F2529),ISNUMBER(G2529)),IF(D2529=F2529,15,0),"")</f>
        <v/>
      </c>
      <c r="J2529" s="22" t="str">
        <f aca="false">IF(AND(ISNUMBER(F2529),ISNUMBER(G2529)),IF(E2529=G2529,15,0),"")</f>
        <v/>
      </c>
      <c r="K2529" s="22" t="str">
        <f aca="false">IF(AND(ISNUMBER(F2529),ISNUMBER(G2529)),IF(ABS(D2529-E2529)=ABS(F2529-G2529),12,0),"")</f>
        <v/>
      </c>
      <c r="L2529" s="23" t="str">
        <f aca="false">IF(ISNUMBER(H2529),H2529+I2529+J2529+K2529,"")</f>
        <v/>
      </c>
    </row>
    <row r="2530" customFormat="false" ht="18" hidden="false" customHeight="true" outlineLevel="0" collapsed="false">
      <c r="A2530" s="25" t="s">
        <v>9</v>
      </c>
      <c r="B2530" s="32" t="s">
        <v>186</v>
      </c>
      <c r="C2530" s="27" t="s">
        <v>36</v>
      </c>
      <c r="D2530" s="28" t="n">
        <v>4</v>
      </c>
      <c r="E2530" s="28" t="n">
        <v>0</v>
      </c>
      <c r="F2530" s="29" t="n">
        <f aca="false">'📋 Matches'!E10</f>
        <v>0</v>
      </c>
      <c r="G2530" s="29" t="n">
        <f aca="false">'📋 Matches'!F10</f>
        <v>0</v>
      </c>
      <c r="H2530" s="22" t="str">
        <f aca="false">IF(AND(ISNUMBER(F2530),ISNUMBER(G2530)),IF(SIGN(D2530-E2530)=SIGN(F2530-G2530),48,0),"")</f>
        <v/>
      </c>
      <c r="I2530" s="22" t="str">
        <f aca="false">IF(AND(ISNUMBER(F2530),ISNUMBER(G2530)),IF(D2530=F2530,15,0),"")</f>
        <v/>
      </c>
      <c r="J2530" s="22" t="str">
        <f aca="false">IF(AND(ISNUMBER(F2530),ISNUMBER(G2530)),IF(E2530=G2530,15,0),"")</f>
        <v/>
      </c>
      <c r="K2530" s="22" t="str">
        <f aca="false">IF(AND(ISNUMBER(F2530),ISNUMBER(G2530)),IF(ABS(D2530-E2530)=ABS(F2530-G2530),12,0),"")</f>
        <v/>
      </c>
      <c r="L2530" s="23" t="str">
        <f aca="false">IF(ISNUMBER(H2530),H2530+I2530+J2530+K2530,"")</f>
        <v/>
      </c>
    </row>
    <row r="2531" customFormat="false" ht="18" hidden="false" customHeight="true" outlineLevel="0" collapsed="false">
      <c r="A2531" s="25" t="s">
        <v>9</v>
      </c>
      <c r="B2531" s="32" t="s">
        <v>186</v>
      </c>
      <c r="C2531" s="27" t="s">
        <v>39</v>
      </c>
      <c r="D2531" s="28" t="n">
        <v>3</v>
      </c>
      <c r="E2531" s="28" t="n">
        <v>1</v>
      </c>
      <c r="F2531" s="29" t="n">
        <f aca="false">'📋 Matches'!E11</f>
        <v>0</v>
      </c>
      <c r="G2531" s="29" t="n">
        <f aca="false">'📋 Matches'!F11</f>
        <v>0</v>
      </c>
      <c r="H2531" s="22" t="str">
        <f aca="false">IF(AND(ISNUMBER(F2531),ISNUMBER(G2531)),IF(SIGN(D2531-E2531)=SIGN(F2531-G2531),48,0),"")</f>
        <v/>
      </c>
      <c r="I2531" s="22" t="str">
        <f aca="false">IF(AND(ISNUMBER(F2531),ISNUMBER(G2531)),IF(D2531=F2531,15,0),"")</f>
        <v/>
      </c>
      <c r="J2531" s="22" t="str">
        <f aca="false">IF(AND(ISNUMBER(F2531),ISNUMBER(G2531)),IF(E2531=G2531,15,0),"")</f>
        <v/>
      </c>
      <c r="K2531" s="22" t="str">
        <f aca="false">IF(AND(ISNUMBER(F2531),ISNUMBER(G2531)),IF(ABS(D2531-E2531)=ABS(F2531-G2531),12,0),"")</f>
        <v/>
      </c>
      <c r="L2531" s="23" t="str">
        <f aca="false">IF(ISNUMBER(H2531),H2531+I2531+J2531+K2531,"")</f>
        <v/>
      </c>
    </row>
    <row r="2532" customFormat="false" ht="18" hidden="false" customHeight="true" outlineLevel="0" collapsed="false">
      <c r="A2532" s="25" t="s">
        <v>9</v>
      </c>
      <c r="B2532" s="32" t="s">
        <v>186</v>
      </c>
      <c r="C2532" s="27" t="s">
        <v>42</v>
      </c>
      <c r="D2532" s="28" t="n">
        <v>0</v>
      </c>
      <c r="E2532" s="28" t="n">
        <v>2</v>
      </c>
      <c r="F2532" s="29" t="n">
        <f aca="false">'📋 Matches'!E12</f>
        <v>0</v>
      </c>
      <c r="G2532" s="29" t="n">
        <f aca="false">'📋 Matches'!F12</f>
        <v>0</v>
      </c>
      <c r="H2532" s="22" t="str">
        <f aca="false">IF(AND(ISNUMBER(F2532),ISNUMBER(G2532)),IF(SIGN(D2532-E2532)=SIGN(F2532-G2532),48,0),"")</f>
        <v/>
      </c>
      <c r="I2532" s="22" t="str">
        <f aca="false">IF(AND(ISNUMBER(F2532),ISNUMBER(G2532)),IF(D2532=F2532,15,0),"")</f>
        <v/>
      </c>
      <c r="J2532" s="22" t="str">
        <f aca="false">IF(AND(ISNUMBER(F2532),ISNUMBER(G2532)),IF(E2532=G2532,15,0),"")</f>
        <v/>
      </c>
      <c r="K2532" s="22" t="str">
        <f aca="false">IF(AND(ISNUMBER(F2532),ISNUMBER(G2532)),IF(ABS(D2532-E2532)=ABS(F2532-G2532),12,0),"")</f>
        <v/>
      </c>
      <c r="L2532" s="23" t="str">
        <f aca="false">IF(ISNUMBER(H2532),H2532+I2532+J2532+K2532,"")</f>
        <v/>
      </c>
    </row>
    <row r="2533" customFormat="false" ht="18" hidden="false" customHeight="true" outlineLevel="0" collapsed="false">
      <c r="A2533" s="25" t="s">
        <v>9</v>
      </c>
      <c r="B2533" s="32" t="s">
        <v>186</v>
      </c>
      <c r="C2533" s="27" t="s">
        <v>45</v>
      </c>
      <c r="D2533" s="28" t="n">
        <v>1</v>
      </c>
      <c r="E2533" s="28" t="n">
        <v>1</v>
      </c>
      <c r="F2533" s="29" t="n">
        <f aca="false">'📋 Matches'!E13</f>
        <v>0</v>
      </c>
      <c r="G2533" s="29" t="n">
        <f aca="false">'📋 Matches'!F13</f>
        <v>0</v>
      </c>
      <c r="H2533" s="22" t="str">
        <f aca="false">IF(AND(ISNUMBER(F2533),ISNUMBER(G2533)),IF(SIGN(D2533-E2533)=SIGN(F2533-G2533),48,0),"")</f>
        <v/>
      </c>
      <c r="I2533" s="22" t="str">
        <f aca="false">IF(AND(ISNUMBER(F2533),ISNUMBER(G2533)),IF(D2533=F2533,15,0),"")</f>
        <v/>
      </c>
      <c r="J2533" s="22" t="str">
        <f aca="false">IF(AND(ISNUMBER(F2533),ISNUMBER(G2533)),IF(E2533=G2533,15,0),"")</f>
        <v/>
      </c>
      <c r="K2533" s="22" t="str">
        <f aca="false">IF(AND(ISNUMBER(F2533),ISNUMBER(G2533)),IF(ABS(D2533-E2533)=ABS(F2533-G2533),12,0),"")</f>
        <v/>
      </c>
      <c r="L2533" s="23" t="str">
        <f aca="false">IF(ISNUMBER(H2533),H2533+I2533+J2533+K2533,"")</f>
        <v/>
      </c>
    </row>
    <row r="2534" customFormat="false" ht="18" hidden="false" customHeight="true" outlineLevel="0" collapsed="false">
      <c r="A2534" s="25" t="s">
        <v>9</v>
      </c>
      <c r="B2534" s="32" t="s">
        <v>186</v>
      </c>
      <c r="C2534" s="27" t="s">
        <v>48</v>
      </c>
      <c r="D2534" s="28" t="n">
        <v>4</v>
      </c>
      <c r="E2534" s="28" t="n">
        <v>0</v>
      </c>
      <c r="F2534" s="29" t="n">
        <f aca="false">'📋 Matches'!E14</f>
        <v>0</v>
      </c>
      <c r="G2534" s="29" t="n">
        <f aca="false">'📋 Matches'!F14</f>
        <v>0</v>
      </c>
      <c r="H2534" s="22" t="str">
        <f aca="false">IF(AND(ISNUMBER(F2534),ISNUMBER(G2534)),IF(SIGN(D2534-E2534)=SIGN(F2534-G2534),48,0),"")</f>
        <v/>
      </c>
      <c r="I2534" s="22" t="str">
        <f aca="false">IF(AND(ISNUMBER(F2534),ISNUMBER(G2534)),IF(D2534=F2534,15,0),"")</f>
        <v/>
      </c>
      <c r="J2534" s="22" t="str">
        <f aca="false">IF(AND(ISNUMBER(F2534),ISNUMBER(G2534)),IF(E2534=G2534,15,0),"")</f>
        <v/>
      </c>
      <c r="K2534" s="22" t="str">
        <f aca="false">IF(AND(ISNUMBER(F2534),ISNUMBER(G2534)),IF(ABS(D2534-E2534)=ABS(F2534-G2534),12,0),"")</f>
        <v/>
      </c>
      <c r="L2534" s="23" t="str">
        <f aca="false">IF(ISNUMBER(H2534),H2534+I2534+J2534+K2534,"")</f>
        <v/>
      </c>
    </row>
    <row r="2535" customFormat="false" ht="18" hidden="false" customHeight="true" outlineLevel="0" collapsed="false">
      <c r="A2535" s="25" t="s">
        <v>9</v>
      </c>
      <c r="B2535" s="32" t="s">
        <v>186</v>
      </c>
      <c r="C2535" s="27" t="s">
        <v>51</v>
      </c>
      <c r="D2535" s="28" t="n">
        <v>2</v>
      </c>
      <c r="E2535" s="28" t="n">
        <v>0</v>
      </c>
      <c r="F2535" s="29" t="n">
        <f aca="false">'📋 Matches'!E15</f>
        <v>0</v>
      </c>
      <c r="G2535" s="29" t="n">
        <f aca="false">'📋 Matches'!F15</f>
        <v>0</v>
      </c>
      <c r="H2535" s="22" t="str">
        <f aca="false">IF(AND(ISNUMBER(F2535),ISNUMBER(G2535)),IF(SIGN(D2535-E2535)=SIGN(F2535-G2535),48,0),"")</f>
        <v/>
      </c>
      <c r="I2535" s="22" t="str">
        <f aca="false">IF(AND(ISNUMBER(F2535),ISNUMBER(G2535)),IF(D2535=F2535,15,0),"")</f>
        <v/>
      </c>
      <c r="J2535" s="22" t="str">
        <f aca="false">IF(AND(ISNUMBER(F2535),ISNUMBER(G2535)),IF(E2535=G2535,15,0),"")</f>
        <v/>
      </c>
      <c r="K2535" s="22" t="str">
        <f aca="false">IF(AND(ISNUMBER(F2535),ISNUMBER(G2535)),IF(ABS(D2535-E2535)=ABS(F2535-G2535),12,0),"")</f>
        <v/>
      </c>
      <c r="L2535" s="23" t="str">
        <f aca="false">IF(ISNUMBER(H2535),H2535+I2535+J2535+K2535,"")</f>
        <v/>
      </c>
    </row>
    <row r="2536" customFormat="false" ht="18" hidden="false" customHeight="true" outlineLevel="0" collapsed="false">
      <c r="A2536" s="25" t="s">
        <v>9</v>
      </c>
      <c r="B2536" s="32" t="s">
        <v>186</v>
      </c>
      <c r="C2536" s="27" t="s">
        <v>54</v>
      </c>
      <c r="D2536" s="28" t="n">
        <v>1</v>
      </c>
      <c r="E2536" s="28" t="n">
        <v>2</v>
      </c>
      <c r="F2536" s="29" t="n">
        <f aca="false">'📋 Matches'!E16</f>
        <v>0</v>
      </c>
      <c r="G2536" s="29" t="n">
        <f aca="false">'📋 Matches'!F16</f>
        <v>0</v>
      </c>
      <c r="H2536" s="22" t="str">
        <f aca="false">IF(AND(ISNUMBER(F2536),ISNUMBER(G2536)),IF(SIGN(D2536-E2536)=SIGN(F2536-G2536),48,0),"")</f>
        <v/>
      </c>
      <c r="I2536" s="22" t="str">
        <f aca="false">IF(AND(ISNUMBER(F2536),ISNUMBER(G2536)),IF(D2536=F2536,15,0),"")</f>
        <v/>
      </c>
      <c r="J2536" s="22" t="str">
        <f aca="false">IF(AND(ISNUMBER(F2536),ISNUMBER(G2536)),IF(E2536=G2536,15,0),"")</f>
        <v/>
      </c>
      <c r="K2536" s="22" t="str">
        <f aca="false">IF(AND(ISNUMBER(F2536),ISNUMBER(G2536)),IF(ABS(D2536-E2536)=ABS(F2536-G2536),12,0),"")</f>
        <v/>
      </c>
      <c r="L2536" s="23" t="str">
        <f aca="false">IF(ISNUMBER(H2536),H2536+I2536+J2536+K2536,"")</f>
        <v/>
      </c>
    </row>
    <row r="2537" customFormat="false" ht="18" hidden="false" customHeight="true" outlineLevel="0" collapsed="false">
      <c r="A2537" s="25" t="s">
        <v>9</v>
      </c>
      <c r="B2537" s="32" t="s">
        <v>186</v>
      </c>
      <c r="C2537" s="27" t="s">
        <v>57</v>
      </c>
      <c r="D2537" s="28" t="n">
        <v>2</v>
      </c>
      <c r="E2537" s="28" t="n">
        <v>0</v>
      </c>
      <c r="F2537" s="29" t="n">
        <f aca="false">'📋 Matches'!E17</f>
        <v>0</v>
      </c>
      <c r="G2537" s="29" t="n">
        <f aca="false">'📋 Matches'!F17</f>
        <v>0</v>
      </c>
      <c r="H2537" s="22" t="str">
        <f aca="false">IF(AND(ISNUMBER(F2537),ISNUMBER(G2537)),IF(SIGN(D2537-E2537)=SIGN(F2537-G2537),48,0),"")</f>
        <v/>
      </c>
      <c r="I2537" s="22" t="str">
        <f aca="false">IF(AND(ISNUMBER(F2537),ISNUMBER(G2537)),IF(D2537=F2537,15,0),"")</f>
        <v/>
      </c>
      <c r="J2537" s="22" t="str">
        <f aca="false">IF(AND(ISNUMBER(F2537),ISNUMBER(G2537)),IF(E2537=G2537,15,0),"")</f>
        <v/>
      </c>
      <c r="K2537" s="22" t="str">
        <f aca="false">IF(AND(ISNUMBER(F2537),ISNUMBER(G2537)),IF(ABS(D2537-E2537)=ABS(F2537-G2537),12,0),"")</f>
        <v/>
      </c>
      <c r="L2537" s="23" t="str">
        <f aca="false">IF(ISNUMBER(H2537),H2537+I2537+J2537+K2537,"")</f>
        <v/>
      </c>
    </row>
    <row r="2538" customFormat="false" ht="18" hidden="false" customHeight="true" outlineLevel="0" collapsed="false">
      <c r="A2538" s="25" t="s">
        <v>9</v>
      </c>
      <c r="B2538" s="32" t="s">
        <v>186</v>
      </c>
      <c r="C2538" s="27" t="s">
        <v>60</v>
      </c>
      <c r="D2538" s="28" t="n">
        <v>3</v>
      </c>
      <c r="E2538" s="28" t="n">
        <v>1</v>
      </c>
      <c r="F2538" s="29" t="n">
        <f aca="false">'📋 Matches'!E18</f>
        <v>0</v>
      </c>
      <c r="G2538" s="29" t="n">
        <f aca="false">'📋 Matches'!F18</f>
        <v>0</v>
      </c>
      <c r="H2538" s="22" t="str">
        <f aca="false">IF(AND(ISNUMBER(F2538),ISNUMBER(G2538)),IF(SIGN(D2538-E2538)=SIGN(F2538-G2538),48,0),"")</f>
        <v/>
      </c>
      <c r="I2538" s="22" t="str">
        <f aca="false">IF(AND(ISNUMBER(F2538),ISNUMBER(G2538)),IF(D2538=F2538,15,0),"")</f>
        <v/>
      </c>
      <c r="J2538" s="22" t="str">
        <f aca="false">IF(AND(ISNUMBER(F2538),ISNUMBER(G2538)),IF(E2538=G2538,15,0),"")</f>
        <v/>
      </c>
      <c r="K2538" s="22" t="str">
        <f aca="false">IF(AND(ISNUMBER(F2538),ISNUMBER(G2538)),IF(ABS(D2538-E2538)=ABS(F2538-G2538),12,0),"")</f>
        <v/>
      </c>
      <c r="L2538" s="23" t="str">
        <f aca="false">IF(ISNUMBER(H2538),H2538+I2538+J2538+K2538,"")</f>
        <v/>
      </c>
    </row>
    <row r="2539" customFormat="false" ht="18" hidden="false" customHeight="true" outlineLevel="0" collapsed="false">
      <c r="A2539" s="25" t="s">
        <v>9</v>
      </c>
      <c r="B2539" s="32" t="s">
        <v>186</v>
      </c>
      <c r="C2539" s="27" t="s">
        <v>63</v>
      </c>
      <c r="D2539" s="28" t="n">
        <v>0</v>
      </c>
      <c r="E2539" s="28" t="n">
        <v>1</v>
      </c>
      <c r="F2539" s="29" t="n">
        <f aca="false">'📋 Matches'!E19</f>
        <v>0</v>
      </c>
      <c r="G2539" s="29" t="n">
        <f aca="false">'📋 Matches'!F19</f>
        <v>0</v>
      </c>
      <c r="H2539" s="22" t="str">
        <f aca="false">IF(AND(ISNUMBER(F2539),ISNUMBER(G2539)),IF(SIGN(D2539-E2539)=SIGN(F2539-G2539),48,0),"")</f>
        <v/>
      </c>
      <c r="I2539" s="22" t="str">
        <f aca="false">IF(AND(ISNUMBER(F2539),ISNUMBER(G2539)),IF(D2539=F2539,15,0),"")</f>
        <v/>
      </c>
      <c r="J2539" s="22" t="str">
        <f aca="false">IF(AND(ISNUMBER(F2539),ISNUMBER(G2539)),IF(E2539=G2539,15,0),"")</f>
        <v/>
      </c>
      <c r="K2539" s="22" t="str">
        <f aca="false">IF(AND(ISNUMBER(F2539),ISNUMBER(G2539)),IF(ABS(D2539-E2539)=ABS(F2539-G2539),12,0),"")</f>
        <v/>
      </c>
      <c r="L2539" s="23" t="str">
        <f aca="false">IF(ISNUMBER(H2539),H2539+I2539+J2539+K2539,"")</f>
        <v/>
      </c>
    </row>
    <row r="2540" customFormat="false" ht="18" hidden="false" customHeight="true" outlineLevel="0" collapsed="false">
      <c r="A2540" s="25" t="s">
        <v>9</v>
      </c>
      <c r="B2540" s="32" t="s">
        <v>186</v>
      </c>
      <c r="C2540" s="27" t="s">
        <v>66</v>
      </c>
      <c r="D2540" s="28" t="n">
        <v>4</v>
      </c>
      <c r="E2540" s="28" t="n">
        <v>0</v>
      </c>
      <c r="F2540" s="29" t="n">
        <f aca="false">'📋 Matches'!E20</f>
        <v>0</v>
      </c>
      <c r="G2540" s="29" t="n">
        <f aca="false">'📋 Matches'!F20</f>
        <v>0</v>
      </c>
      <c r="H2540" s="22" t="str">
        <f aca="false">IF(AND(ISNUMBER(F2540),ISNUMBER(G2540)),IF(SIGN(D2540-E2540)=SIGN(F2540-G2540),48,0),"")</f>
        <v/>
      </c>
      <c r="I2540" s="22" t="str">
        <f aca="false">IF(AND(ISNUMBER(F2540),ISNUMBER(G2540)),IF(D2540=F2540,15,0),"")</f>
        <v/>
      </c>
      <c r="J2540" s="22" t="str">
        <f aca="false">IF(AND(ISNUMBER(F2540),ISNUMBER(G2540)),IF(E2540=G2540,15,0),"")</f>
        <v/>
      </c>
      <c r="K2540" s="22" t="str">
        <f aca="false">IF(AND(ISNUMBER(F2540),ISNUMBER(G2540)),IF(ABS(D2540-E2540)=ABS(F2540-G2540),12,0),"")</f>
        <v/>
      </c>
      <c r="L2540" s="23" t="str">
        <f aca="false">IF(ISNUMBER(H2540),H2540+I2540+J2540+K2540,"")</f>
        <v/>
      </c>
    </row>
    <row r="2541" customFormat="false" ht="18" hidden="false" customHeight="true" outlineLevel="0" collapsed="false">
      <c r="A2541" s="25" t="s">
        <v>9</v>
      </c>
      <c r="B2541" s="32" t="s">
        <v>186</v>
      </c>
      <c r="C2541" s="27" t="s">
        <v>69</v>
      </c>
      <c r="D2541" s="28" t="n">
        <v>0</v>
      </c>
      <c r="E2541" s="28" t="n">
        <v>1</v>
      </c>
      <c r="F2541" s="29" t="n">
        <f aca="false">'📋 Matches'!E21</f>
        <v>0</v>
      </c>
      <c r="G2541" s="29" t="n">
        <f aca="false">'📋 Matches'!F21</f>
        <v>0</v>
      </c>
      <c r="H2541" s="22" t="str">
        <f aca="false">IF(AND(ISNUMBER(F2541),ISNUMBER(G2541)),IF(SIGN(D2541-E2541)=SIGN(F2541-G2541),48,0),"")</f>
        <v/>
      </c>
      <c r="I2541" s="22" t="str">
        <f aca="false">IF(AND(ISNUMBER(F2541),ISNUMBER(G2541)),IF(D2541=F2541,15,0),"")</f>
        <v/>
      </c>
      <c r="J2541" s="22" t="str">
        <f aca="false">IF(AND(ISNUMBER(F2541),ISNUMBER(G2541)),IF(E2541=G2541,15,0),"")</f>
        <v/>
      </c>
      <c r="K2541" s="22" t="str">
        <f aca="false">IF(AND(ISNUMBER(F2541),ISNUMBER(G2541)),IF(ABS(D2541-E2541)=ABS(F2541-G2541),12,0),"")</f>
        <v/>
      </c>
      <c r="L2541" s="23" t="str">
        <f aca="false">IF(ISNUMBER(H2541),H2541+I2541+J2541+K2541,"")</f>
        <v/>
      </c>
    </row>
    <row r="2542" customFormat="false" ht="18" hidden="false" customHeight="true" outlineLevel="0" collapsed="false">
      <c r="A2542" s="25" t="s">
        <v>9</v>
      </c>
      <c r="B2542" s="32" t="s">
        <v>186</v>
      </c>
      <c r="C2542" s="27" t="s">
        <v>72</v>
      </c>
      <c r="D2542" s="28" t="n">
        <v>3</v>
      </c>
      <c r="E2542" s="28" t="n">
        <v>0</v>
      </c>
      <c r="F2542" s="29" t="n">
        <f aca="false">'📋 Matches'!E22</f>
        <v>0</v>
      </c>
      <c r="G2542" s="29" t="n">
        <f aca="false">'📋 Matches'!F22</f>
        <v>0</v>
      </c>
      <c r="H2542" s="22" t="str">
        <f aca="false">IF(AND(ISNUMBER(F2542),ISNUMBER(G2542)),IF(SIGN(D2542-E2542)=SIGN(F2542-G2542),48,0),"")</f>
        <v/>
      </c>
      <c r="I2542" s="22" t="str">
        <f aca="false">IF(AND(ISNUMBER(F2542),ISNUMBER(G2542)),IF(D2542=F2542,15,0),"")</f>
        <v/>
      </c>
      <c r="J2542" s="22" t="str">
        <f aca="false">IF(AND(ISNUMBER(F2542),ISNUMBER(G2542)),IF(E2542=G2542,15,0),"")</f>
        <v/>
      </c>
      <c r="K2542" s="22" t="str">
        <f aca="false">IF(AND(ISNUMBER(F2542),ISNUMBER(G2542)),IF(ABS(D2542-E2542)=ABS(F2542-G2542),12,0),"")</f>
        <v/>
      </c>
      <c r="L2542" s="23" t="str">
        <f aca="false">IF(ISNUMBER(H2542),H2542+I2542+J2542+K2542,"")</f>
        <v/>
      </c>
    </row>
    <row r="2543" customFormat="false" ht="18" hidden="false" customHeight="true" outlineLevel="0" collapsed="false">
      <c r="A2543" s="25" t="s">
        <v>9</v>
      </c>
      <c r="B2543" s="32" t="s">
        <v>186</v>
      </c>
      <c r="C2543" s="27" t="s">
        <v>75</v>
      </c>
      <c r="D2543" s="28" t="n">
        <v>2</v>
      </c>
      <c r="E2543" s="28" t="n">
        <v>1</v>
      </c>
      <c r="F2543" s="29" t="n">
        <f aca="false">'📋 Matches'!E23</f>
        <v>0</v>
      </c>
      <c r="G2543" s="29" t="n">
        <f aca="false">'📋 Matches'!F23</f>
        <v>0</v>
      </c>
      <c r="H2543" s="22" t="str">
        <f aca="false">IF(AND(ISNUMBER(F2543),ISNUMBER(G2543)),IF(SIGN(D2543-E2543)=SIGN(F2543-G2543),48,0),"")</f>
        <v/>
      </c>
      <c r="I2543" s="22" t="str">
        <f aca="false">IF(AND(ISNUMBER(F2543),ISNUMBER(G2543)),IF(D2543=F2543,15,0),"")</f>
        <v/>
      </c>
      <c r="J2543" s="22" t="str">
        <f aca="false">IF(AND(ISNUMBER(F2543),ISNUMBER(G2543)),IF(E2543=G2543,15,0),"")</f>
        <v/>
      </c>
      <c r="K2543" s="22" t="str">
        <f aca="false">IF(AND(ISNUMBER(F2543),ISNUMBER(G2543)),IF(ABS(D2543-E2543)=ABS(F2543-G2543),12,0),"")</f>
        <v/>
      </c>
      <c r="L2543" s="23" t="str">
        <f aca="false">IF(ISNUMBER(H2543),H2543+I2543+J2543+K2543,"")</f>
        <v/>
      </c>
    </row>
    <row r="2544" customFormat="false" ht="18" hidden="false" customHeight="true" outlineLevel="0" collapsed="false">
      <c r="A2544" s="25" t="s">
        <v>9</v>
      </c>
      <c r="B2544" s="32" t="s">
        <v>186</v>
      </c>
      <c r="C2544" s="27" t="s">
        <v>78</v>
      </c>
      <c r="D2544" s="28" t="n">
        <v>2</v>
      </c>
      <c r="E2544" s="28" t="n">
        <v>0</v>
      </c>
      <c r="F2544" s="29" t="n">
        <f aca="false">'📋 Matches'!E24</f>
        <v>0</v>
      </c>
      <c r="G2544" s="29" t="n">
        <f aca="false">'📋 Matches'!F24</f>
        <v>0</v>
      </c>
      <c r="H2544" s="22" t="str">
        <f aca="false">IF(AND(ISNUMBER(F2544),ISNUMBER(G2544)),IF(SIGN(D2544-E2544)=SIGN(F2544-G2544),48,0),"")</f>
        <v/>
      </c>
      <c r="I2544" s="22" t="str">
        <f aca="false">IF(AND(ISNUMBER(F2544),ISNUMBER(G2544)),IF(D2544=F2544,15,0),"")</f>
        <v/>
      </c>
      <c r="J2544" s="22" t="str">
        <f aca="false">IF(AND(ISNUMBER(F2544),ISNUMBER(G2544)),IF(E2544=G2544,15,0),"")</f>
        <v/>
      </c>
      <c r="K2544" s="22" t="str">
        <f aca="false">IF(AND(ISNUMBER(F2544),ISNUMBER(G2544)),IF(ABS(D2544-E2544)=ABS(F2544-G2544),12,0),"")</f>
        <v/>
      </c>
      <c r="L2544" s="23" t="str">
        <f aca="false">IF(ISNUMBER(H2544),H2544+I2544+J2544+K2544,"")</f>
        <v/>
      </c>
    </row>
    <row r="2545" customFormat="false" ht="18" hidden="false" customHeight="true" outlineLevel="0" collapsed="false">
      <c r="A2545" s="25" t="s">
        <v>9</v>
      </c>
      <c r="B2545" s="32" t="s">
        <v>186</v>
      </c>
      <c r="C2545" s="27" t="s">
        <v>81</v>
      </c>
      <c r="D2545" s="28" t="n">
        <v>0</v>
      </c>
      <c r="E2545" s="28" t="n">
        <v>1</v>
      </c>
      <c r="F2545" s="29" t="n">
        <f aca="false">'📋 Matches'!E25</f>
        <v>0</v>
      </c>
      <c r="G2545" s="29" t="n">
        <f aca="false">'📋 Matches'!F25</f>
        <v>0</v>
      </c>
      <c r="H2545" s="22" t="str">
        <f aca="false">IF(AND(ISNUMBER(F2545),ISNUMBER(G2545)),IF(SIGN(D2545-E2545)=SIGN(F2545-G2545),48,0),"")</f>
        <v/>
      </c>
      <c r="I2545" s="22" t="str">
        <f aca="false">IF(AND(ISNUMBER(F2545),ISNUMBER(G2545)),IF(D2545=F2545,15,0),"")</f>
        <v/>
      </c>
      <c r="J2545" s="22" t="str">
        <f aca="false">IF(AND(ISNUMBER(F2545),ISNUMBER(G2545)),IF(E2545=G2545,15,0),"")</f>
        <v/>
      </c>
      <c r="K2545" s="22" t="str">
        <f aca="false">IF(AND(ISNUMBER(F2545),ISNUMBER(G2545)),IF(ABS(D2545-E2545)=ABS(F2545-G2545),12,0),"")</f>
        <v/>
      </c>
      <c r="L2545" s="23" t="str">
        <f aca="false">IF(ISNUMBER(H2545),H2545+I2545+J2545+K2545,"")</f>
        <v/>
      </c>
    </row>
    <row r="2546" customFormat="false" ht="18" hidden="false" customHeight="true" outlineLevel="0" collapsed="false">
      <c r="A2546" s="17" t="s">
        <v>9</v>
      </c>
      <c r="B2546" s="31" t="s">
        <v>187</v>
      </c>
      <c r="C2546" s="19" t="s">
        <v>10</v>
      </c>
      <c r="D2546" s="20" t="n">
        <v>1</v>
      </c>
      <c r="E2546" s="20" t="n">
        <v>0</v>
      </c>
      <c r="F2546" s="21" t="n">
        <f aca="false">'📋 Matches'!E2</f>
        <v>2</v>
      </c>
      <c r="G2546" s="21" t="n">
        <f aca="false">'📋 Matches'!F2</f>
        <v>0</v>
      </c>
      <c r="H2546" s="22" t="n">
        <f aca="false">IF(AND(ISNUMBER(F2546),ISNUMBER(G2546)),IF(SIGN(D2546-E2546)=SIGN(F2546-G2546),48,0),"")</f>
        <v>48</v>
      </c>
      <c r="I2546" s="22" t="n">
        <f aca="false">IF(AND(ISNUMBER(F2546),ISNUMBER(G2546)),IF(D2546=F2546,15,0),"")</f>
        <v>0</v>
      </c>
      <c r="J2546" s="22" t="n">
        <f aca="false">IF(AND(ISNUMBER(F2546),ISNUMBER(G2546)),IF(E2546=G2546,15,0),"")</f>
        <v>15</v>
      </c>
      <c r="K2546" s="22" t="n">
        <f aca="false">IF(AND(ISNUMBER(F2546),ISNUMBER(G2546)),IF(ABS(D2546-E2546)=ABS(F2546-G2546),12,0),"")</f>
        <v>0</v>
      </c>
      <c r="L2546" s="23" t="n">
        <f aca="false">IF(ISNUMBER(H2546),H2546+I2546+J2546+K2546,"")</f>
        <v>63</v>
      </c>
    </row>
    <row r="2547" customFormat="false" ht="18" hidden="false" customHeight="true" outlineLevel="0" collapsed="false">
      <c r="A2547" s="17" t="s">
        <v>9</v>
      </c>
      <c r="B2547" s="31" t="s">
        <v>187</v>
      </c>
      <c r="C2547" s="19" t="s">
        <v>14</v>
      </c>
      <c r="D2547" s="20" t="n">
        <v>0</v>
      </c>
      <c r="E2547" s="20" t="n">
        <v>0</v>
      </c>
      <c r="F2547" s="21" t="n">
        <f aca="false">'📋 Matches'!E3</f>
        <v>2</v>
      </c>
      <c r="G2547" s="21" t="n">
        <f aca="false">'📋 Matches'!F3</f>
        <v>1</v>
      </c>
      <c r="H2547" s="22" t="n">
        <f aca="false">IF(AND(ISNUMBER(F2547),ISNUMBER(G2547)),IF(SIGN(D2547-E2547)=SIGN(F2547-G2547),48,0),"")</f>
        <v>0</v>
      </c>
      <c r="I2547" s="22" t="n">
        <f aca="false">IF(AND(ISNUMBER(F2547),ISNUMBER(G2547)),IF(D2547=F2547,15,0),"")</f>
        <v>0</v>
      </c>
      <c r="J2547" s="22" t="n">
        <f aca="false">IF(AND(ISNUMBER(F2547),ISNUMBER(G2547)),IF(E2547=G2547,15,0),"")</f>
        <v>0</v>
      </c>
      <c r="K2547" s="22" t="n">
        <f aca="false">IF(AND(ISNUMBER(F2547),ISNUMBER(G2547)),IF(ABS(D2547-E2547)=ABS(F2547-G2547),12,0),"")</f>
        <v>0</v>
      </c>
      <c r="L2547" s="23" t="n">
        <f aca="false">IF(ISNUMBER(H2547),H2547+I2547+J2547+K2547,"")</f>
        <v>0</v>
      </c>
    </row>
    <row r="2548" customFormat="false" ht="18" hidden="false" customHeight="true" outlineLevel="0" collapsed="false">
      <c r="A2548" s="17" t="s">
        <v>9</v>
      </c>
      <c r="B2548" s="31" t="s">
        <v>187</v>
      </c>
      <c r="C2548" s="19" t="s">
        <v>17</v>
      </c>
      <c r="D2548" s="20" t="n">
        <v>1</v>
      </c>
      <c r="E2548" s="20" t="n">
        <v>2</v>
      </c>
      <c r="F2548" s="21" t="n">
        <f aca="false">'📋 Matches'!E4</f>
        <v>1</v>
      </c>
      <c r="G2548" s="21" t="n">
        <f aca="false">'📋 Matches'!F4</f>
        <v>1</v>
      </c>
      <c r="H2548" s="22" t="n">
        <f aca="false">IF(AND(ISNUMBER(F2548),ISNUMBER(G2548)),IF(SIGN(D2548-E2548)=SIGN(F2548-G2548),48,0),"")</f>
        <v>0</v>
      </c>
      <c r="I2548" s="22" t="n">
        <f aca="false">IF(AND(ISNUMBER(F2548),ISNUMBER(G2548)),IF(D2548=F2548,15,0),"")</f>
        <v>15</v>
      </c>
      <c r="J2548" s="22" t="n">
        <f aca="false">IF(AND(ISNUMBER(F2548),ISNUMBER(G2548)),IF(E2548=G2548,15,0),"")</f>
        <v>0</v>
      </c>
      <c r="K2548" s="22" t="n">
        <f aca="false">IF(AND(ISNUMBER(F2548),ISNUMBER(G2548)),IF(ABS(D2548-E2548)=ABS(F2548-G2548),12,0),"")</f>
        <v>0</v>
      </c>
      <c r="L2548" s="23" t="n">
        <f aca="false">IF(ISNUMBER(H2548),H2548+I2548+J2548+K2548,"")</f>
        <v>15</v>
      </c>
    </row>
    <row r="2549" customFormat="false" ht="18" hidden="false" customHeight="true" outlineLevel="0" collapsed="false">
      <c r="A2549" s="17" t="s">
        <v>9</v>
      </c>
      <c r="B2549" s="31" t="s">
        <v>187</v>
      </c>
      <c r="C2549" s="19" t="s">
        <v>20</v>
      </c>
      <c r="D2549" s="20" t="n">
        <v>3</v>
      </c>
      <c r="E2549" s="20" t="n">
        <v>2</v>
      </c>
      <c r="F2549" s="21" t="n">
        <f aca="false">'📋 Matches'!E5</f>
        <v>4</v>
      </c>
      <c r="G2549" s="21" t="n">
        <f aca="false">'📋 Matches'!F5</f>
        <v>1</v>
      </c>
      <c r="H2549" s="22" t="n">
        <f aca="false">IF(AND(ISNUMBER(F2549),ISNUMBER(G2549)),IF(SIGN(D2549-E2549)=SIGN(F2549-G2549),48,0),"")</f>
        <v>48</v>
      </c>
      <c r="I2549" s="22" t="n">
        <f aca="false">IF(AND(ISNUMBER(F2549),ISNUMBER(G2549)),IF(D2549=F2549,15,0),"")</f>
        <v>0</v>
      </c>
      <c r="J2549" s="22" t="n">
        <f aca="false">IF(AND(ISNUMBER(F2549),ISNUMBER(G2549)),IF(E2549=G2549,15,0),"")</f>
        <v>0</v>
      </c>
      <c r="K2549" s="22" t="n">
        <f aca="false">IF(AND(ISNUMBER(F2549),ISNUMBER(G2549)),IF(ABS(D2549-E2549)=ABS(F2549-G2549),12,0),"")</f>
        <v>0</v>
      </c>
      <c r="L2549" s="23" t="n">
        <f aca="false">IF(ISNUMBER(H2549),H2549+I2549+J2549+K2549,"")</f>
        <v>48</v>
      </c>
    </row>
    <row r="2550" customFormat="false" ht="18" hidden="false" customHeight="true" outlineLevel="0" collapsed="false">
      <c r="A2550" s="17" t="s">
        <v>9</v>
      </c>
      <c r="B2550" s="31" t="s">
        <v>187</v>
      </c>
      <c r="C2550" s="19" t="s">
        <v>23</v>
      </c>
      <c r="D2550" s="20" t="n">
        <v>1</v>
      </c>
      <c r="E2550" s="20" t="n">
        <v>3</v>
      </c>
      <c r="F2550" s="21" t="n">
        <f aca="false">'📋 Matches'!E6</f>
        <v>0</v>
      </c>
      <c r="G2550" s="21" t="n">
        <f aca="false">'📋 Matches'!F6</f>
        <v>0</v>
      </c>
      <c r="H2550" s="22" t="str">
        <f aca="false">IF(AND(ISNUMBER(F2550),ISNUMBER(G2550)),IF(SIGN(D2550-E2550)=SIGN(F2550-G2550),48,0),"")</f>
        <v/>
      </c>
      <c r="I2550" s="22" t="str">
        <f aca="false">IF(AND(ISNUMBER(F2550),ISNUMBER(G2550)),IF(D2550=F2550,15,0),"")</f>
        <v/>
      </c>
      <c r="J2550" s="22" t="str">
        <f aca="false">IF(AND(ISNUMBER(F2550),ISNUMBER(G2550)),IF(E2550=G2550,15,0),"")</f>
        <v/>
      </c>
      <c r="K2550" s="22" t="str">
        <f aca="false">IF(AND(ISNUMBER(F2550),ISNUMBER(G2550)),IF(ABS(D2550-E2550)=ABS(F2550-G2550),12,0),"")</f>
        <v/>
      </c>
      <c r="L2550" s="23" t="str">
        <f aca="false">IF(ISNUMBER(H2550),H2550+I2550+J2550+K2550,"")</f>
        <v/>
      </c>
    </row>
    <row r="2551" customFormat="false" ht="18" hidden="false" customHeight="true" outlineLevel="0" collapsed="false">
      <c r="A2551" s="17" t="s">
        <v>9</v>
      </c>
      <c r="B2551" s="31" t="s">
        <v>187</v>
      </c>
      <c r="C2551" s="19" t="s">
        <v>27</v>
      </c>
      <c r="D2551" s="20" t="n">
        <v>2</v>
      </c>
      <c r="E2551" s="20" t="n">
        <v>1</v>
      </c>
      <c r="F2551" s="21" t="n">
        <f aca="false">'📋 Matches'!E7</f>
        <v>0</v>
      </c>
      <c r="G2551" s="21" t="n">
        <f aca="false">'📋 Matches'!F7</f>
        <v>0</v>
      </c>
      <c r="H2551" s="22" t="str">
        <f aca="false">IF(AND(ISNUMBER(F2551),ISNUMBER(G2551)),IF(SIGN(D2551-E2551)=SIGN(F2551-G2551),48,0),"")</f>
        <v/>
      </c>
      <c r="I2551" s="22" t="str">
        <f aca="false">IF(AND(ISNUMBER(F2551),ISNUMBER(G2551)),IF(D2551=F2551,15,0),"")</f>
        <v/>
      </c>
      <c r="J2551" s="22" t="str">
        <f aca="false">IF(AND(ISNUMBER(F2551),ISNUMBER(G2551)),IF(E2551=G2551,15,0),"")</f>
        <v/>
      </c>
      <c r="K2551" s="22" t="str">
        <f aca="false">IF(AND(ISNUMBER(F2551),ISNUMBER(G2551)),IF(ABS(D2551-E2551)=ABS(F2551-G2551),12,0),"")</f>
        <v/>
      </c>
      <c r="L2551" s="23" t="str">
        <f aca="false">IF(ISNUMBER(H2551),H2551+I2551+J2551+K2551,"")</f>
        <v/>
      </c>
    </row>
    <row r="2552" customFormat="false" ht="18" hidden="false" customHeight="true" outlineLevel="0" collapsed="false">
      <c r="A2552" s="17" t="s">
        <v>9</v>
      </c>
      <c r="B2552" s="31" t="s">
        <v>187</v>
      </c>
      <c r="C2552" s="19" t="s">
        <v>30</v>
      </c>
      <c r="D2552" s="20" t="n">
        <v>0</v>
      </c>
      <c r="E2552" s="20" t="n">
        <v>2</v>
      </c>
      <c r="F2552" s="21" t="n">
        <f aca="false">'📋 Matches'!E8</f>
        <v>0</v>
      </c>
      <c r="G2552" s="21" t="n">
        <f aca="false">'📋 Matches'!F8</f>
        <v>0</v>
      </c>
      <c r="H2552" s="22" t="str">
        <f aca="false">IF(AND(ISNUMBER(F2552),ISNUMBER(G2552)),IF(SIGN(D2552-E2552)=SIGN(F2552-G2552),48,0),"")</f>
        <v/>
      </c>
      <c r="I2552" s="22" t="str">
        <f aca="false">IF(AND(ISNUMBER(F2552),ISNUMBER(G2552)),IF(D2552=F2552,15,0),"")</f>
        <v/>
      </c>
      <c r="J2552" s="22" t="str">
        <f aca="false">IF(AND(ISNUMBER(F2552),ISNUMBER(G2552)),IF(E2552=G2552,15,0),"")</f>
        <v/>
      </c>
      <c r="K2552" s="22" t="str">
        <f aca="false">IF(AND(ISNUMBER(F2552),ISNUMBER(G2552)),IF(ABS(D2552-E2552)=ABS(F2552-G2552),12,0),"")</f>
        <v/>
      </c>
      <c r="L2552" s="23" t="str">
        <f aca="false">IF(ISNUMBER(H2552),H2552+I2552+J2552+K2552,"")</f>
        <v/>
      </c>
    </row>
    <row r="2553" customFormat="false" ht="18" hidden="false" customHeight="true" outlineLevel="0" collapsed="false">
      <c r="A2553" s="17" t="s">
        <v>9</v>
      </c>
      <c r="B2553" s="31" t="s">
        <v>187</v>
      </c>
      <c r="C2553" s="19" t="s">
        <v>33</v>
      </c>
      <c r="D2553" s="20" t="n">
        <v>0</v>
      </c>
      <c r="E2553" s="20" t="n">
        <v>1</v>
      </c>
      <c r="F2553" s="21" t="n">
        <f aca="false">'📋 Matches'!E9</f>
        <v>0</v>
      </c>
      <c r="G2553" s="21" t="n">
        <f aca="false">'📋 Matches'!F9</f>
        <v>0</v>
      </c>
      <c r="H2553" s="22" t="str">
        <f aca="false">IF(AND(ISNUMBER(F2553),ISNUMBER(G2553)),IF(SIGN(D2553-E2553)=SIGN(F2553-G2553),48,0),"")</f>
        <v/>
      </c>
      <c r="I2553" s="22" t="str">
        <f aca="false">IF(AND(ISNUMBER(F2553),ISNUMBER(G2553)),IF(D2553=F2553,15,0),"")</f>
        <v/>
      </c>
      <c r="J2553" s="22" t="str">
        <f aca="false">IF(AND(ISNUMBER(F2553),ISNUMBER(G2553)),IF(E2553=G2553,15,0),"")</f>
        <v/>
      </c>
      <c r="K2553" s="22" t="str">
        <f aca="false">IF(AND(ISNUMBER(F2553),ISNUMBER(G2553)),IF(ABS(D2553-E2553)=ABS(F2553-G2553),12,0),"")</f>
        <v/>
      </c>
      <c r="L2553" s="23" t="str">
        <f aca="false">IF(ISNUMBER(H2553),H2553+I2553+J2553+K2553,"")</f>
        <v/>
      </c>
    </row>
    <row r="2554" customFormat="false" ht="18" hidden="false" customHeight="true" outlineLevel="0" collapsed="false">
      <c r="A2554" s="17" t="s">
        <v>9</v>
      </c>
      <c r="B2554" s="31" t="s">
        <v>187</v>
      </c>
      <c r="C2554" s="19" t="s">
        <v>36</v>
      </c>
      <c r="D2554" s="20" t="n">
        <v>2</v>
      </c>
      <c r="E2554" s="20" t="n">
        <v>0</v>
      </c>
      <c r="F2554" s="21" t="n">
        <f aca="false">'📋 Matches'!E10</f>
        <v>0</v>
      </c>
      <c r="G2554" s="21" t="n">
        <f aca="false">'📋 Matches'!F10</f>
        <v>0</v>
      </c>
      <c r="H2554" s="22" t="str">
        <f aca="false">IF(AND(ISNUMBER(F2554),ISNUMBER(G2554)),IF(SIGN(D2554-E2554)=SIGN(F2554-G2554),48,0),"")</f>
        <v/>
      </c>
      <c r="I2554" s="22" t="str">
        <f aca="false">IF(AND(ISNUMBER(F2554),ISNUMBER(G2554)),IF(D2554=F2554,15,0),"")</f>
        <v/>
      </c>
      <c r="J2554" s="22" t="str">
        <f aca="false">IF(AND(ISNUMBER(F2554),ISNUMBER(G2554)),IF(E2554=G2554,15,0),"")</f>
        <v/>
      </c>
      <c r="K2554" s="22" t="str">
        <f aca="false">IF(AND(ISNUMBER(F2554),ISNUMBER(G2554)),IF(ABS(D2554-E2554)=ABS(F2554-G2554),12,0),"")</f>
        <v/>
      </c>
      <c r="L2554" s="23" t="str">
        <f aca="false">IF(ISNUMBER(H2554),H2554+I2554+J2554+K2554,"")</f>
        <v/>
      </c>
    </row>
    <row r="2555" customFormat="false" ht="18" hidden="false" customHeight="true" outlineLevel="0" collapsed="false">
      <c r="A2555" s="17" t="s">
        <v>9</v>
      </c>
      <c r="B2555" s="31" t="s">
        <v>187</v>
      </c>
      <c r="C2555" s="19" t="s">
        <v>39</v>
      </c>
      <c r="D2555" s="20" t="n">
        <v>2</v>
      </c>
      <c r="E2555" s="20" t="n">
        <v>2</v>
      </c>
      <c r="F2555" s="21" t="n">
        <f aca="false">'📋 Matches'!E11</f>
        <v>0</v>
      </c>
      <c r="G2555" s="21" t="n">
        <f aca="false">'📋 Matches'!F11</f>
        <v>0</v>
      </c>
      <c r="H2555" s="22" t="str">
        <f aca="false">IF(AND(ISNUMBER(F2555),ISNUMBER(G2555)),IF(SIGN(D2555-E2555)=SIGN(F2555-G2555),48,0),"")</f>
        <v/>
      </c>
      <c r="I2555" s="22" t="str">
        <f aca="false">IF(AND(ISNUMBER(F2555),ISNUMBER(G2555)),IF(D2555=F2555,15,0),"")</f>
        <v/>
      </c>
      <c r="J2555" s="22" t="str">
        <f aca="false">IF(AND(ISNUMBER(F2555),ISNUMBER(G2555)),IF(E2555=G2555,15,0),"")</f>
        <v/>
      </c>
      <c r="K2555" s="22" t="str">
        <f aca="false">IF(AND(ISNUMBER(F2555),ISNUMBER(G2555)),IF(ABS(D2555-E2555)=ABS(F2555-G2555),12,0),"")</f>
        <v/>
      </c>
      <c r="L2555" s="23" t="str">
        <f aca="false">IF(ISNUMBER(H2555),H2555+I2555+J2555+K2555,"")</f>
        <v/>
      </c>
    </row>
    <row r="2556" customFormat="false" ht="18" hidden="false" customHeight="true" outlineLevel="0" collapsed="false">
      <c r="A2556" s="17" t="s">
        <v>9</v>
      </c>
      <c r="B2556" s="31" t="s">
        <v>187</v>
      </c>
      <c r="C2556" s="19" t="s">
        <v>42</v>
      </c>
      <c r="D2556" s="20" t="n">
        <v>0</v>
      </c>
      <c r="E2556" s="20" t="n">
        <v>1</v>
      </c>
      <c r="F2556" s="21" t="n">
        <f aca="false">'📋 Matches'!E12</f>
        <v>0</v>
      </c>
      <c r="G2556" s="21" t="n">
        <f aca="false">'📋 Matches'!F12</f>
        <v>0</v>
      </c>
      <c r="H2556" s="22" t="str">
        <f aca="false">IF(AND(ISNUMBER(F2556),ISNUMBER(G2556)),IF(SIGN(D2556-E2556)=SIGN(F2556-G2556),48,0),"")</f>
        <v/>
      </c>
      <c r="I2556" s="22" t="str">
        <f aca="false">IF(AND(ISNUMBER(F2556),ISNUMBER(G2556)),IF(D2556=F2556,15,0),"")</f>
        <v/>
      </c>
      <c r="J2556" s="22" t="str">
        <f aca="false">IF(AND(ISNUMBER(F2556),ISNUMBER(G2556)),IF(E2556=G2556,15,0),"")</f>
        <v/>
      </c>
      <c r="K2556" s="22" t="str">
        <f aca="false">IF(AND(ISNUMBER(F2556),ISNUMBER(G2556)),IF(ABS(D2556-E2556)=ABS(F2556-G2556),12,0),"")</f>
        <v/>
      </c>
      <c r="L2556" s="23" t="str">
        <f aca="false">IF(ISNUMBER(H2556),H2556+I2556+J2556+K2556,"")</f>
        <v/>
      </c>
    </row>
    <row r="2557" customFormat="false" ht="18" hidden="false" customHeight="true" outlineLevel="0" collapsed="false">
      <c r="A2557" s="17" t="s">
        <v>9</v>
      </c>
      <c r="B2557" s="31" t="s">
        <v>187</v>
      </c>
      <c r="C2557" s="19" t="s">
        <v>45</v>
      </c>
      <c r="D2557" s="20" t="n">
        <v>2</v>
      </c>
      <c r="E2557" s="20" t="n">
        <v>0</v>
      </c>
      <c r="F2557" s="21" t="n">
        <f aca="false">'📋 Matches'!E13</f>
        <v>0</v>
      </c>
      <c r="G2557" s="21" t="n">
        <f aca="false">'📋 Matches'!F13</f>
        <v>0</v>
      </c>
      <c r="H2557" s="22" t="str">
        <f aca="false">IF(AND(ISNUMBER(F2557),ISNUMBER(G2557)),IF(SIGN(D2557-E2557)=SIGN(F2557-G2557),48,0),"")</f>
        <v/>
      </c>
      <c r="I2557" s="22" t="str">
        <f aca="false">IF(AND(ISNUMBER(F2557),ISNUMBER(G2557)),IF(D2557=F2557,15,0),"")</f>
        <v/>
      </c>
      <c r="J2557" s="22" t="str">
        <f aca="false">IF(AND(ISNUMBER(F2557),ISNUMBER(G2557)),IF(E2557=G2557,15,0),"")</f>
        <v/>
      </c>
      <c r="K2557" s="22" t="str">
        <f aca="false">IF(AND(ISNUMBER(F2557),ISNUMBER(G2557)),IF(ABS(D2557-E2557)=ABS(F2557-G2557),12,0),"")</f>
        <v/>
      </c>
      <c r="L2557" s="23" t="str">
        <f aca="false">IF(ISNUMBER(H2557),H2557+I2557+J2557+K2557,"")</f>
        <v/>
      </c>
    </row>
    <row r="2558" customFormat="false" ht="18" hidden="false" customHeight="true" outlineLevel="0" collapsed="false">
      <c r="A2558" s="17" t="s">
        <v>9</v>
      </c>
      <c r="B2558" s="31" t="s">
        <v>187</v>
      </c>
      <c r="C2558" s="19" t="s">
        <v>48</v>
      </c>
      <c r="D2558" s="20" t="n">
        <v>4</v>
      </c>
      <c r="E2558" s="20" t="n">
        <v>0</v>
      </c>
      <c r="F2558" s="21" t="n">
        <f aca="false">'📋 Matches'!E14</f>
        <v>0</v>
      </c>
      <c r="G2558" s="21" t="n">
        <f aca="false">'📋 Matches'!F14</f>
        <v>0</v>
      </c>
      <c r="H2558" s="22" t="str">
        <f aca="false">IF(AND(ISNUMBER(F2558),ISNUMBER(G2558)),IF(SIGN(D2558-E2558)=SIGN(F2558-G2558),48,0),"")</f>
        <v/>
      </c>
      <c r="I2558" s="22" t="str">
        <f aca="false">IF(AND(ISNUMBER(F2558),ISNUMBER(G2558)),IF(D2558=F2558,15,0),"")</f>
        <v/>
      </c>
      <c r="J2558" s="22" t="str">
        <f aca="false">IF(AND(ISNUMBER(F2558),ISNUMBER(G2558)),IF(E2558=G2558,15,0),"")</f>
        <v/>
      </c>
      <c r="K2558" s="22" t="str">
        <f aca="false">IF(AND(ISNUMBER(F2558),ISNUMBER(G2558)),IF(ABS(D2558-E2558)=ABS(F2558-G2558),12,0),"")</f>
        <v/>
      </c>
      <c r="L2558" s="23" t="str">
        <f aca="false">IF(ISNUMBER(H2558),H2558+I2558+J2558+K2558,"")</f>
        <v/>
      </c>
    </row>
    <row r="2559" customFormat="false" ht="18" hidden="false" customHeight="true" outlineLevel="0" collapsed="false">
      <c r="A2559" s="17" t="s">
        <v>9</v>
      </c>
      <c r="B2559" s="31" t="s">
        <v>187</v>
      </c>
      <c r="C2559" s="19" t="s">
        <v>51</v>
      </c>
      <c r="D2559" s="20" t="n">
        <v>3</v>
      </c>
      <c r="E2559" s="20" t="n">
        <v>1</v>
      </c>
      <c r="F2559" s="21" t="n">
        <f aca="false">'📋 Matches'!E15</f>
        <v>0</v>
      </c>
      <c r="G2559" s="21" t="n">
        <f aca="false">'📋 Matches'!F15</f>
        <v>0</v>
      </c>
      <c r="H2559" s="22" t="str">
        <f aca="false">IF(AND(ISNUMBER(F2559),ISNUMBER(G2559)),IF(SIGN(D2559-E2559)=SIGN(F2559-G2559),48,0),"")</f>
        <v/>
      </c>
      <c r="I2559" s="22" t="str">
        <f aca="false">IF(AND(ISNUMBER(F2559),ISNUMBER(G2559)),IF(D2559=F2559,15,0),"")</f>
        <v/>
      </c>
      <c r="J2559" s="22" t="str">
        <f aca="false">IF(AND(ISNUMBER(F2559),ISNUMBER(G2559)),IF(E2559=G2559,15,0),"")</f>
        <v/>
      </c>
      <c r="K2559" s="22" t="str">
        <f aca="false">IF(AND(ISNUMBER(F2559),ISNUMBER(G2559)),IF(ABS(D2559-E2559)=ABS(F2559-G2559),12,0),"")</f>
        <v/>
      </c>
      <c r="L2559" s="23" t="str">
        <f aca="false">IF(ISNUMBER(H2559),H2559+I2559+J2559+K2559,"")</f>
        <v/>
      </c>
    </row>
    <row r="2560" customFormat="false" ht="18" hidden="false" customHeight="true" outlineLevel="0" collapsed="false">
      <c r="A2560" s="17" t="s">
        <v>9</v>
      </c>
      <c r="B2560" s="31" t="s">
        <v>187</v>
      </c>
      <c r="C2560" s="19" t="s">
        <v>54</v>
      </c>
      <c r="D2560" s="20" t="n">
        <v>0</v>
      </c>
      <c r="E2560" s="20" t="n">
        <v>2</v>
      </c>
      <c r="F2560" s="21" t="n">
        <f aca="false">'📋 Matches'!E16</f>
        <v>0</v>
      </c>
      <c r="G2560" s="21" t="n">
        <f aca="false">'📋 Matches'!F16</f>
        <v>0</v>
      </c>
      <c r="H2560" s="22" t="str">
        <f aca="false">IF(AND(ISNUMBER(F2560),ISNUMBER(G2560)),IF(SIGN(D2560-E2560)=SIGN(F2560-G2560),48,0),"")</f>
        <v/>
      </c>
      <c r="I2560" s="22" t="str">
        <f aca="false">IF(AND(ISNUMBER(F2560),ISNUMBER(G2560)),IF(D2560=F2560,15,0),"")</f>
        <v/>
      </c>
      <c r="J2560" s="22" t="str">
        <f aca="false">IF(AND(ISNUMBER(F2560),ISNUMBER(G2560)),IF(E2560=G2560,15,0),"")</f>
        <v/>
      </c>
      <c r="K2560" s="22" t="str">
        <f aca="false">IF(AND(ISNUMBER(F2560),ISNUMBER(G2560)),IF(ABS(D2560-E2560)=ABS(F2560-G2560),12,0),"")</f>
        <v/>
      </c>
      <c r="L2560" s="23" t="str">
        <f aca="false">IF(ISNUMBER(H2560),H2560+I2560+J2560+K2560,"")</f>
        <v/>
      </c>
    </row>
    <row r="2561" customFormat="false" ht="18" hidden="false" customHeight="true" outlineLevel="0" collapsed="false">
      <c r="A2561" s="17" t="s">
        <v>9</v>
      </c>
      <c r="B2561" s="31" t="s">
        <v>187</v>
      </c>
      <c r="C2561" s="19" t="s">
        <v>57</v>
      </c>
      <c r="D2561" s="20" t="n">
        <v>0</v>
      </c>
      <c r="E2561" s="20" t="n">
        <v>1</v>
      </c>
      <c r="F2561" s="21" t="n">
        <f aca="false">'📋 Matches'!E17</f>
        <v>0</v>
      </c>
      <c r="G2561" s="21" t="n">
        <f aca="false">'📋 Matches'!F17</f>
        <v>0</v>
      </c>
      <c r="H2561" s="22" t="str">
        <f aca="false">IF(AND(ISNUMBER(F2561),ISNUMBER(G2561)),IF(SIGN(D2561-E2561)=SIGN(F2561-G2561),48,0),"")</f>
        <v/>
      </c>
      <c r="I2561" s="22" t="str">
        <f aca="false">IF(AND(ISNUMBER(F2561),ISNUMBER(G2561)),IF(D2561=F2561,15,0),"")</f>
        <v/>
      </c>
      <c r="J2561" s="22" t="str">
        <f aca="false">IF(AND(ISNUMBER(F2561),ISNUMBER(G2561)),IF(E2561=G2561,15,0),"")</f>
        <v/>
      </c>
      <c r="K2561" s="22" t="str">
        <f aca="false">IF(AND(ISNUMBER(F2561),ISNUMBER(G2561)),IF(ABS(D2561-E2561)=ABS(F2561-G2561),12,0),"")</f>
        <v/>
      </c>
      <c r="L2561" s="23" t="str">
        <f aca="false">IF(ISNUMBER(H2561),H2561+I2561+J2561+K2561,"")</f>
        <v/>
      </c>
    </row>
    <row r="2562" customFormat="false" ht="18" hidden="false" customHeight="true" outlineLevel="0" collapsed="false">
      <c r="A2562" s="17" t="s">
        <v>9</v>
      </c>
      <c r="B2562" s="31" t="s">
        <v>187</v>
      </c>
      <c r="C2562" s="19" t="s">
        <v>60</v>
      </c>
      <c r="D2562" s="20" t="n">
        <v>5</v>
      </c>
      <c r="E2562" s="20" t="n">
        <v>2</v>
      </c>
      <c r="F2562" s="21" t="n">
        <f aca="false">'📋 Matches'!E18</f>
        <v>0</v>
      </c>
      <c r="G2562" s="21" t="n">
        <f aca="false">'📋 Matches'!F18</f>
        <v>0</v>
      </c>
      <c r="H2562" s="22" t="str">
        <f aca="false">IF(AND(ISNUMBER(F2562),ISNUMBER(G2562)),IF(SIGN(D2562-E2562)=SIGN(F2562-G2562),48,0),"")</f>
        <v/>
      </c>
      <c r="I2562" s="22" t="str">
        <f aca="false">IF(AND(ISNUMBER(F2562),ISNUMBER(G2562)),IF(D2562=F2562,15,0),"")</f>
        <v/>
      </c>
      <c r="J2562" s="22" t="str">
        <f aca="false">IF(AND(ISNUMBER(F2562),ISNUMBER(G2562)),IF(E2562=G2562,15,0),"")</f>
        <v/>
      </c>
      <c r="K2562" s="22" t="str">
        <f aca="false">IF(AND(ISNUMBER(F2562),ISNUMBER(G2562)),IF(ABS(D2562-E2562)=ABS(F2562-G2562),12,0),"")</f>
        <v/>
      </c>
      <c r="L2562" s="23" t="str">
        <f aca="false">IF(ISNUMBER(H2562),H2562+I2562+J2562+K2562,"")</f>
        <v/>
      </c>
    </row>
    <row r="2563" customFormat="false" ht="18" hidden="false" customHeight="true" outlineLevel="0" collapsed="false">
      <c r="A2563" s="17" t="s">
        <v>9</v>
      </c>
      <c r="B2563" s="31" t="s">
        <v>187</v>
      </c>
      <c r="C2563" s="19" t="s">
        <v>63</v>
      </c>
      <c r="D2563" s="20" t="n">
        <v>0</v>
      </c>
      <c r="E2563" s="20" t="n">
        <v>1</v>
      </c>
      <c r="F2563" s="21" t="n">
        <f aca="false">'📋 Matches'!E19</f>
        <v>0</v>
      </c>
      <c r="G2563" s="21" t="n">
        <f aca="false">'📋 Matches'!F19</f>
        <v>0</v>
      </c>
      <c r="H2563" s="22" t="str">
        <f aca="false">IF(AND(ISNUMBER(F2563),ISNUMBER(G2563)),IF(SIGN(D2563-E2563)=SIGN(F2563-G2563),48,0),"")</f>
        <v/>
      </c>
      <c r="I2563" s="22" t="str">
        <f aca="false">IF(AND(ISNUMBER(F2563),ISNUMBER(G2563)),IF(D2563=F2563,15,0),"")</f>
        <v/>
      </c>
      <c r="J2563" s="22" t="str">
        <f aca="false">IF(AND(ISNUMBER(F2563),ISNUMBER(G2563)),IF(E2563=G2563,15,0),"")</f>
        <v/>
      </c>
      <c r="K2563" s="22" t="str">
        <f aca="false">IF(AND(ISNUMBER(F2563),ISNUMBER(G2563)),IF(ABS(D2563-E2563)=ABS(F2563-G2563),12,0),"")</f>
        <v/>
      </c>
      <c r="L2563" s="23" t="str">
        <f aca="false">IF(ISNUMBER(H2563),H2563+I2563+J2563+K2563,"")</f>
        <v/>
      </c>
    </row>
    <row r="2564" customFormat="false" ht="18" hidden="false" customHeight="true" outlineLevel="0" collapsed="false">
      <c r="A2564" s="17" t="s">
        <v>9</v>
      </c>
      <c r="B2564" s="31" t="s">
        <v>187</v>
      </c>
      <c r="C2564" s="19" t="s">
        <v>66</v>
      </c>
      <c r="D2564" s="20" t="n">
        <v>3</v>
      </c>
      <c r="E2564" s="20" t="n">
        <v>0</v>
      </c>
      <c r="F2564" s="21" t="n">
        <f aca="false">'📋 Matches'!E20</f>
        <v>0</v>
      </c>
      <c r="G2564" s="21" t="n">
        <f aca="false">'📋 Matches'!F20</f>
        <v>0</v>
      </c>
      <c r="H2564" s="22" t="str">
        <f aca="false">IF(AND(ISNUMBER(F2564),ISNUMBER(G2564)),IF(SIGN(D2564-E2564)=SIGN(F2564-G2564),48,0),"")</f>
        <v/>
      </c>
      <c r="I2564" s="22" t="str">
        <f aca="false">IF(AND(ISNUMBER(F2564),ISNUMBER(G2564)),IF(D2564=F2564,15,0),"")</f>
        <v/>
      </c>
      <c r="J2564" s="22" t="str">
        <f aca="false">IF(AND(ISNUMBER(F2564),ISNUMBER(G2564)),IF(E2564=G2564,15,0),"")</f>
        <v/>
      </c>
      <c r="K2564" s="22" t="str">
        <f aca="false">IF(AND(ISNUMBER(F2564),ISNUMBER(G2564)),IF(ABS(D2564-E2564)=ABS(F2564-G2564),12,0),"")</f>
        <v/>
      </c>
      <c r="L2564" s="23" t="str">
        <f aca="false">IF(ISNUMBER(H2564),H2564+I2564+J2564+K2564,"")</f>
        <v/>
      </c>
    </row>
    <row r="2565" customFormat="false" ht="18" hidden="false" customHeight="true" outlineLevel="0" collapsed="false">
      <c r="A2565" s="17" t="s">
        <v>9</v>
      </c>
      <c r="B2565" s="31" t="s">
        <v>187</v>
      </c>
      <c r="C2565" s="19" t="s">
        <v>69</v>
      </c>
      <c r="D2565" s="20" t="n">
        <v>3</v>
      </c>
      <c r="E2565" s="20" t="n">
        <v>1</v>
      </c>
      <c r="F2565" s="21" t="n">
        <f aca="false">'📋 Matches'!E21</f>
        <v>0</v>
      </c>
      <c r="G2565" s="21" t="n">
        <f aca="false">'📋 Matches'!F21</f>
        <v>0</v>
      </c>
      <c r="H2565" s="22" t="str">
        <f aca="false">IF(AND(ISNUMBER(F2565),ISNUMBER(G2565)),IF(SIGN(D2565-E2565)=SIGN(F2565-G2565),48,0),"")</f>
        <v/>
      </c>
      <c r="I2565" s="22" t="str">
        <f aca="false">IF(AND(ISNUMBER(F2565),ISNUMBER(G2565)),IF(D2565=F2565,15,0),"")</f>
        <v/>
      </c>
      <c r="J2565" s="22" t="str">
        <f aca="false">IF(AND(ISNUMBER(F2565),ISNUMBER(G2565)),IF(E2565=G2565,15,0),"")</f>
        <v/>
      </c>
      <c r="K2565" s="22" t="str">
        <f aca="false">IF(AND(ISNUMBER(F2565),ISNUMBER(G2565)),IF(ABS(D2565-E2565)=ABS(F2565-G2565),12,0),"")</f>
        <v/>
      </c>
      <c r="L2565" s="23" t="str">
        <f aca="false">IF(ISNUMBER(H2565),H2565+I2565+J2565+K2565,"")</f>
        <v/>
      </c>
    </row>
    <row r="2566" customFormat="false" ht="18" hidden="false" customHeight="true" outlineLevel="0" collapsed="false">
      <c r="A2566" s="17" t="s">
        <v>9</v>
      </c>
      <c r="B2566" s="31" t="s">
        <v>187</v>
      </c>
      <c r="C2566" s="19" t="s">
        <v>72</v>
      </c>
      <c r="D2566" s="20" t="n">
        <v>2</v>
      </c>
      <c r="E2566" s="20" t="n">
        <v>0</v>
      </c>
      <c r="F2566" s="21" t="n">
        <f aca="false">'📋 Matches'!E22</f>
        <v>0</v>
      </c>
      <c r="G2566" s="21" t="n">
        <f aca="false">'📋 Matches'!F22</f>
        <v>0</v>
      </c>
      <c r="H2566" s="22" t="str">
        <f aca="false">IF(AND(ISNUMBER(F2566),ISNUMBER(G2566)),IF(SIGN(D2566-E2566)=SIGN(F2566-G2566),48,0),"")</f>
        <v/>
      </c>
      <c r="I2566" s="22" t="str">
        <f aca="false">IF(AND(ISNUMBER(F2566),ISNUMBER(G2566)),IF(D2566=F2566,15,0),"")</f>
        <v/>
      </c>
      <c r="J2566" s="22" t="str">
        <f aca="false">IF(AND(ISNUMBER(F2566),ISNUMBER(G2566)),IF(E2566=G2566,15,0),"")</f>
        <v/>
      </c>
      <c r="K2566" s="22" t="str">
        <f aca="false">IF(AND(ISNUMBER(F2566),ISNUMBER(G2566)),IF(ABS(D2566-E2566)=ABS(F2566-G2566),12,0),"")</f>
        <v/>
      </c>
      <c r="L2566" s="23" t="str">
        <f aca="false">IF(ISNUMBER(H2566),H2566+I2566+J2566+K2566,"")</f>
        <v/>
      </c>
    </row>
    <row r="2567" customFormat="false" ht="18" hidden="false" customHeight="true" outlineLevel="0" collapsed="false">
      <c r="A2567" s="17" t="s">
        <v>9</v>
      </c>
      <c r="B2567" s="31" t="s">
        <v>187</v>
      </c>
      <c r="C2567" s="19" t="s">
        <v>75</v>
      </c>
      <c r="D2567" s="20" t="n">
        <v>2</v>
      </c>
      <c r="E2567" s="20" t="n">
        <v>1</v>
      </c>
      <c r="F2567" s="21" t="n">
        <f aca="false">'📋 Matches'!E23</f>
        <v>0</v>
      </c>
      <c r="G2567" s="21" t="n">
        <f aca="false">'📋 Matches'!F23</f>
        <v>0</v>
      </c>
      <c r="H2567" s="22" t="str">
        <f aca="false">IF(AND(ISNUMBER(F2567),ISNUMBER(G2567)),IF(SIGN(D2567-E2567)=SIGN(F2567-G2567),48,0),"")</f>
        <v/>
      </c>
      <c r="I2567" s="22" t="str">
        <f aca="false">IF(AND(ISNUMBER(F2567),ISNUMBER(G2567)),IF(D2567=F2567,15,0),"")</f>
        <v/>
      </c>
      <c r="J2567" s="22" t="str">
        <f aca="false">IF(AND(ISNUMBER(F2567),ISNUMBER(G2567)),IF(E2567=G2567,15,0),"")</f>
        <v/>
      </c>
      <c r="K2567" s="22" t="str">
        <f aca="false">IF(AND(ISNUMBER(F2567),ISNUMBER(G2567)),IF(ABS(D2567-E2567)=ABS(F2567-G2567),12,0),"")</f>
        <v/>
      </c>
      <c r="L2567" s="23" t="str">
        <f aca="false">IF(ISNUMBER(H2567),H2567+I2567+J2567+K2567,"")</f>
        <v/>
      </c>
    </row>
    <row r="2568" customFormat="false" ht="18" hidden="false" customHeight="true" outlineLevel="0" collapsed="false">
      <c r="A2568" s="17" t="s">
        <v>9</v>
      </c>
      <c r="B2568" s="31" t="s">
        <v>187</v>
      </c>
      <c r="C2568" s="19" t="s">
        <v>78</v>
      </c>
      <c r="D2568" s="20" t="n">
        <v>1</v>
      </c>
      <c r="E2568" s="20" t="n">
        <v>0</v>
      </c>
      <c r="F2568" s="21" t="n">
        <f aca="false">'📋 Matches'!E24</f>
        <v>0</v>
      </c>
      <c r="G2568" s="21" t="n">
        <f aca="false">'📋 Matches'!F24</f>
        <v>0</v>
      </c>
      <c r="H2568" s="22" t="str">
        <f aca="false">IF(AND(ISNUMBER(F2568),ISNUMBER(G2568)),IF(SIGN(D2568-E2568)=SIGN(F2568-G2568),48,0),"")</f>
        <v/>
      </c>
      <c r="I2568" s="22" t="str">
        <f aca="false">IF(AND(ISNUMBER(F2568),ISNUMBER(G2568)),IF(D2568=F2568,15,0),"")</f>
        <v/>
      </c>
      <c r="J2568" s="22" t="str">
        <f aca="false">IF(AND(ISNUMBER(F2568),ISNUMBER(G2568)),IF(E2568=G2568,15,0),"")</f>
        <v/>
      </c>
      <c r="K2568" s="22" t="str">
        <f aca="false">IF(AND(ISNUMBER(F2568),ISNUMBER(G2568)),IF(ABS(D2568-E2568)=ABS(F2568-G2568),12,0),"")</f>
        <v/>
      </c>
      <c r="L2568" s="23" t="str">
        <f aca="false">IF(ISNUMBER(H2568),H2568+I2568+J2568+K2568,"")</f>
        <v/>
      </c>
    </row>
    <row r="2569" customFormat="false" ht="18" hidden="false" customHeight="true" outlineLevel="0" collapsed="false">
      <c r="A2569" s="17" t="s">
        <v>9</v>
      </c>
      <c r="B2569" s="31" t="s">
        <v>187</v>
      </c>
      <c r="C2569" s="19" t="s">
        <v>81</v>
      </c>
      <c r="D2569" s="20" t="n">
        <v>0</v>
      </c>
      <c r="E2569" s="20" t="n">
        <v>1</v>
      </c>
      <c r="F2569" s="21" t="n">
        <f aca="false">'📋 Matches'!E25</f>
        <v>0</v>
      </c>
      <c r="G2569" s="21" t="n">
        <f aca="false">'📋 Matches'!F25</f>
        <v>0</v>
      </c>
      <c r="H2569" s="22" t="str">
        <f aca="false">IF(AND(ISNUMBER(F2569),ISNUMBER(G2569)),IF(SIGN(D2569-E2569)=SIGN(F2569-G2569),48,0),"")</f>
        <v/>
      </c>
      <c r="I2569" s="22" t="str">
        <f aca="false">IF(AND(ISNUMBER(F2569),ISNUMBER(G2569)),IF(D2569=F2569,15,0),"")</f>
        <v/>
      </c>
      <c r="J2569" s="22" t="str">
        <f aca="false">IF(AND(ISNUMBER(F2569),ISNUMBER(G2569)),IF(E2569=G2569,15,0),"")</f>
        <v/>
      </c>
      <c r="K2569" s="22" t="str">
        <f aca="false">IF(AND(ISNUMBER(F2569),ISNUMBER(G2569)),IF(ABS(D2569-E2569)=ABS(F2569-G2569),12,0),"")</f>
        <v/>
      </c>
      <c r="L2569" s="23" t="str">
        <f aca="false">IF(ISNUMBER(H2569),H2569+I2569+J2569+K2569,"")</f>
        <v/>
      </c>
    </row>
    <row r="2570" customFormat="false" ht="18" hidden="false" customHeight="true" outlineLevel="0" collapsed="false">
      <c r="A2570" s="25" t="s">
        <v>9</v>
      </c>
      <c r="B2570" s="32" t="s">
        <v>188</v>
      </c>
      <c r="C2570" s="27" t="s">
        <v>10</v>
      </c>
      <c r="D2570" s="28" t="n">
        <v>2</v>
      </c>
      <c r="E2570" s="28" t="n">
        <v>0</v>
      </c>
      <c r="F2570" s="29" t="n">
        <f aca="false">'📋 Matches'!E2</f>
        <v>2</v>
      </c>
      <c r="G2570" s="29" t="n">
        <f aca="false">'📋 Matches'!F2</f>
        <v>0</v>
      </c>
      <c r="H2570" s="22" t="n">
        <f aca="false">IF(AND(ISNUMBER(F2570),ISNUMBER(G2570)),IF(SIGN(D2570-E2570)=SIGN(F2570-G2570),48,0),"")</f>
        <v>48</v>
      </c>
      <c r="I2570" s="22" t="n">
        <f aca="false">IF(AND(ISNUMBER(F2570),ISNUMBER(G2570)),IF(D2570=F2570,15,0),"")</f>
        <v>15</v>
      </c>
      <c r="J2570" s="22" t="n">
        <f aca="false">IF(AND(ISNUMBER(F2570),ISNUMBER(G2570)),IF(E2570=G2570,15,0),"")</f>
        <v>15</v>
      </c>
      <c r="K2570" s="22" t="n">
        <f aca="false">IF(AND(ISNUMBER(F2570),ISNUMBER(G2570)),IF(ABS(D2570-E2570)=ABS(F2570-G2570),12,0),"")</f>
        <v>12</v>
      </c>
      <c r="L2570" s="23" t="n">
        <f aca="false">IF(ISNUMBER(H2570),H2570+I2570+J2570+K2570,"")</f>
        <v>90</v>
      </c>
    </row>
    <row r="2571" customFormat="false" ht="18" hidden="false" customHeight="true" outlineLevel="0" collapsed="false">
      <c r="A2571" s="25" t="s">
        <v>9</v>
      </c>
      <c r="B2571" s="32" t="s">
        <v>188</v>
      </c>
      <c r="C2571" s="27" t="s">
        <v>14</v>
      </c>
      <c r="D2571" s="28" t="n">
        <v>1</v>
      </c>
      <c r="E2571" s="28" t="n">
        <v>2</v>
      </c>
      <c r="F2571" s="29" t="n">
        <f aca="false">'📋 Matches'!E3</f>
        <v>2</v>
      </c>
      <c r="G2571" s="29" t="n">
        <f aca="false">'📋 Matches'!F3</f>
        <v>1</v>
      </c>
      <c r="H2571" s="22" t="n">
        <f aca="false">IF(AND(ISNUMBER(F2571),ISNUMBER(G2571)),IF(SIGN(D2571-E2571)=SIGN(F2571-G2571),48,0),"")</f>
        <v>0</v>
      </c>
      <c r="I2571" s="22" t="n">
        <f aca="false">IF(AND(ISNUMBER(F2571),ISNUMBER(G2571)),IF(D2571=F2571,15,0),"")</f>
        <v>0</v>
      </c>
      <c r="J2571" s="22" t="n">
        <f aca="false">IF(AND(ISNUMBER(F2571),ISNUMBER(G2571)),IF(E2571=G2571,15,0),"")</f>
        <v>0</v>
      </c>
      <c r="K2571" s="22" t="n">
        <f aca="false">IF(AND(ISNUMBER(F2571),ISNUMBER(G2571)),IF(ABS(D2571-E2571)=ABS(F2571-G2571),12,0),"")</f>
        <v>12</v>
      </c>
      <c r="L2571" s="23" t="n">
        <f aca="false">IF(ISNUMBER(H2571),H2571+I2571+J2571+K2571,"")</f>
        <v>12</v>
      </c>
    </row>
    <row r="2572" customFormat="false" ht="18" hidden="false" customHeight="true" outlineLevel="0" collapsed="false">
      <c r="A2572" s="25" t="s">
        <v>9</v>
      </c>
      <c r="B2572" s="32" t="s">
        <v>188</v>
      </c>
      <c r="C2572" s="27" t="s">
        <v>17</v>
      </c>
      <c r="D2572" s="28" t="n">
        <v>3</v>
      </c>
      <c r="E2572" s="28" t="n">
        <v>1</v>
      </c>
      <c r="F2572" s="29" t="n">
        <f aca="false">'📋 Matches'!E4</f>
        <v>1</v>
      </c>
      <c r="G2572" s="29" t="n">
        <f aca="false">'📋 Matches'!F4</f>
        <v>1</v>
      </c>
      <c r="H2572" s="22" t="n">
        <f aca="false">IF(AND(ISNUMBER(F2572),ISNUMBER(G2572)),IF(SIGN(D2572-E2572)=SIGN(F2572-G2572),48,0),"")</f>
        <v>0</v>
      </c>
      <c r="I2572" s="22" t="n">
        <f aca="false">IF(AND(ISNUMBER(F2572),ISNUMBER(G2572)),IF(D2572=F2572,15,0),"")</f>
        <v>0</v>
      </c>
      <c r="J2572" s="22" t="n">
        <f aca="false">IF(AND(ISNUMBER(F2572),ISNUMBER(G2572)),IF(E2572=G2572,15,0),"")</f>
        <v>15</v>
      </c>
      <c r="K2572" s="22" t="n">
        <f aca="false">IF(AND(ISNUMBER(F2572),ISNUMBER(G2572)),IF(ABS(D2572-E2572)=ABS(F2572-G2572),12,0),"")</f>
        <v>0</v>
      </c>
      <c r="L2572" s="23" t="n">
        <f aca="false">IF(ISNUMBER(H2572),H2572+I2572+J2572+K2572,"")</f>
        <v>15</v>
      </c>
    </row>
    <row r="2573" customFormat="false" ht="18" hidden="false" customHeight="true" outlineLevel="0" collapsed="false">
      <c r="A2573" s="25" t="s">
        <v>9</v>
      </c>
      <c r="B2573" s="32" t="s">
        <v>188</v>
      </c>
      <c r="C2573" s="27" t="s">
        <v>20</v>
      </c>
      <c r="D2573" s="28" t="n">
        <v>1</v>
      </c>
      <c r="E2573" s="28" t="n">
        <v>1</v>
      </c>
      <c r="F2573" s="29" t="n">
        <f aca="false">'📋 Matches'!E5</f>
        <v>4</v>
      </c>
      <c r="G2573" s="29" t="n">
        <f aca="false">'📋 Matches'!F5</f>
        <v>1</v>
      </c>
      <c r="H2573" s="22" t="n">
        <f aca="false">IF(AND(ISNUMBER(F2573),ISNUMBER(G2573)),IF(SIGN(D2573-E2573)=SIGN(F2573-G2573),48,0),"")</f>
        <v>0</v>
      </c>
      <c r="I2573" s="22" t="n">
        <f aca="false">IF(AND(ISNUMBER(F2573),ISNUMBER(G2573)),IF(D2573=F2573,15,0),"")</f>
        <v>0</v>
      </c>
      <c r="J2573" s="22" t="n">
        <f aca="false">IF(AND(ISNUMBER(F2573),ISNUMBER(G2573)),IF(E2573=G2573,15,0),"")</f>
        <v>15</v>
      </c>
      <c r="K2573" s="22" t="n">
        <f aca="false">IF(AND(ISNUMBER(F2573),ISNUMBER(G2573)),IF(ABS(D2573-E2573)=ABS(F2573-G2573),12,0),"")</f>
        <v>0</v>
      </c>
      <c r="L2573" s="23" t="n">
        <f aca="false">IF(ISNUMBER(H2573),H2573+I2573+J2573+K2573,"")</f>
        <v>15</v>
      </c>
    </row>
    <row r="2574" customFormat="false" ht="18" hidden="false" customHeight="true" outlineLevel="0" collapsed="false">
      <c r="A2574" s="25" t="s">
        <v>9</v>
      </c>
      <c r="B2574" s="32" t="s">
        <v>188</v>
      </c>
      <c r="C2574" s="27" t="s">
        <v>23</v>
      </c>
      <c r="D2574" s="28" t="n">
        <v>0</v>
      </c>
      <c r="E2574" s="28" t="n">
        <v>4</v>
      </c>
      <c r="F2574" s="29" t="n">
        <f aca="false">'📋 Matches'!E6</f>
        <v>0</v>
      </c>
      <c r="G2574" s="29" t="n">
        <f aca="false">'📋 Matches'!F6</f>
        <v>0</v>
      </c>
      <c r="H2574" s="22" t="str">
        <f aca="false">IF(AND(ISNUMBER(F2574),ISNUMBER(G2574)),IF(SIGN(D2574-E2574)=SIGN(F2574-G2574),48,0),"")</f>
        <v/>
      </c>
      <c r="I2574" s="22" t="str">
        <f aca="false">IF(AND(ISNUMBER(F2574),ISNUMBER(G2574)),IF(D2574=F2574,15,0),"")</f>
        <v/>
      </c>
      <c r="J2574" s="22" t="str">
        <f aca="false">IF(AND(ISNUMBER(F2574),ISNUMBER(G2574)),IF(E2574=G2574,15,0),"")</f>
        <v/>
      </c>
      <c r="K2574" s="22" t="str">
        <f aca="false">IF(AND(ISNUMBER(F2574),ISNUMBER(G2574)),IF(ABS(D2574-E2574)=ABS(F2574-G2574),12,0),"")</f>
        <v/>
      </c>
      <c r="L2574" s="23" t="str">
        <f aca="false">IF(ISNUMBER(H2574),H2574+I2574+J2574+K2574,"")</f>
        <v/>
      </c>
    </row>
    <row r="2575" customFormat="false" ht="18" hidden="false" customHeight="true" outlineLevel="0" collapsed="false">
      <c r="A2575" s="25" t="s">
        <v>9</v>
      </c>
      <c r="B2575" s="32" t="s">
        <v>188</v>
      </c>
      <c r="C2575" s="27" t="s">
        <v>27</v>
      </c>
      <c r="D2575" s="28" t="n">
        <v>2</v>
      </c>
      <c r="E2575" s="28" t="n">
        <v>1</v>
      </c>
      <c r="F2575" s="29" t="n">
        <f aca="false">'📋 Matches'!E7</f>
        <v>0</v>
      </c>
      <c r="G2575" s="29" t="n">
        <f aca="false">'📋 Matches'!F7</f>
        <v>0</v>
      </c>
      <c r="H2575" s="22" t="str">
        <f aca="false">IF(AND(ISNUMBER(F2575),ISNUMBER(G2575)),IF(SIGN(D2575-E2575)=SIGN(F2575-G2575),48,0),"")</f>
        <v/>
      </c>
      <c r="I2575" s="22" t="str">
        <f aca="false">IF(AND(ISNUMBER(F2575),ISNUMBER(G2575)),IF(D2575=F2575,15,0),"")</f>
        <v/>
      </c>
      <c r="J2575" s="22" t="str">
        <f aca="false">IF(AND(ISNUMBER(F2575),ISNUMBER(G2575)),IF(E2575=G2575,15,0),"")</f>
        <v/>
      </c>
      <c r="K2575" s="22" t="str">
        <f aca="false">IF(AND(ISNUMBER(F2575),ISNUMBER(G2575)),IF(ABS(D2575-E2575)=ABS(F2575-G2575),12,0),"")</f>
        <v/>
      </c>
      <c r="L2575" s="23" t="str">
        <f aca="false">IF(ISNUMBER(H2575),H2575+I2575+J2575+K2575,"")</f>
        <v/>
      </c>
    </row>
    <row r="2576" customFormat="false" ht="18" hidden="false" customHeight="true" outlineLevel="0" collapsed="false">
      <c r="A2576" s="25" t="s">
        <v>9</v>
      </c>
      <c r="B2576" s="32" t="s">
        <v>188</v>
      </c>
      <c r="C2576" s="27" t="s">
        <v>30</v>
      </c>
      <c r="D2576" s="28" t="n">
        <v>0</v>
      </c>
      <c r="E2576" s="28" t="n">
        <v>3</v>
      </c>
      <c r="F2576" s="29" t="n">
        <f aca="false">'📋 Matches'!E8</f>
        <v>0</v>
      </c>
      <c r="G2576" s="29" t="n">
        <f aca="false">'📋 Matches'!F8</f>
        <v>0</v>
      </c>
      <c r="H2576" s="22" t="str">
        <f aca="false">IF(AND(ISNUMBER(F2576),ISNUMBER(G2576)),IF(SIGN(D2576-E2576)=SIGN(F2576-G2576),48,0),"")</f>
        <v/>
      </c>
      <c r="I2576" s="22" t="str">
        <f aca="false">IF(AND(ISNUMBER(F2576),ISNUMBER(G2576)),IF(D2576=F2576,15,0),"")</f>
        <v/>
      </c>
      <c r="J2576" s="22" t="str">
        <f aca="false">IF(AND(ISNUMBER(F2576),ISNUMBER(G2576)),IF(E2576=G2576,15,0),"")</f>
        <v/>
      </c>
      <c r="K2576" s="22" t="str">
        <f aca="false">IF(AND(ISNUMBER(F2576),ISNUMBER(G2576)),IF(ABS(D2576-E2576)=ABS(F2576-G2576),12,0),"")</f>
        <v/>
      </c>
      <c r="L2576" s="23" t="str">
        <f aca="false">IF(ISNUMBER(H2576),H2576+I2576+J2576+K2576,"")</f>
        <v/>
      </c>
    </row>
    <row r="2577" customFormat="false" ht="18" hidden="false" customHeight="true" outlineLevel="0" collapsed="false">
      <c r="A2577" s="25" t="s">
        <v>9</v>
      </c>
      <c r="B2577" s="32" t="s">
        <v>188</v>
      </c>
      <c r="C2577" s="27" t="s">
        <v>33</v>
      </c>
      <c r="D2577" s="28" t="n">
        <v>1</v>
      </c>
      <c r="E2577" s="28" t="n">
        <v>3</v>
      </c>
      <c r="F2577" s="29" t="n">
        <f aca="false">'📋 Matches'!E9</f>
        <v>0</v>
      </c>
      <c r="G2577" s="29" t="n">
        <f aca="false">'📋 Matches'!F9</f>
        <v>0</v>
      </c>
      <c r="H2577" s="22" t="str">
        <f aca="false">IF(AND(ISNUMBER(F2577),ISNUMBER(G2577)),IF(SIGN(D2577-E2577)=SIGN(F2577-G2577),48,0),"")</f>
        <v/>
      </c>
      <c r="I2577" s="22" t="str">
        <f aca="false">IF(AND(ISNUMBER(F2577),ISNUMBER(G2577)),IF(D2577=F2577,15,0),"")</f>
        <v/>
      </c>
      <c r="J2577" s="22" t="str">
        <f aca="false">IF(AND(ISNUMBER(F2577),ISNUMBER(G2577)),IF(E2577=G2577,15,0),"")</f>
        <v/>
      </c>
      <c r="K2577" s="22" t="str">
        <f aca="false">IF(AND(ISNUMBER(F2577),ISNUMBER(G2577)),IF(ABS(D2577-E2577)=ABS(F2577-G2577),12,0),"")</f>
        <v/>
      </c>
      <c r="L2577" s="23" t="str">
        <f aca="false">IF(ISNUMBER(H2577),H2577+I2577+J2577+K2577,"")</f>
        <v/>
      </c>
    </row>
    <row r="2578" customFormat="false" ht="18" hidden="false" customHeight="true" outlineLevel="0" collapsed="false">
      <c r="A2578" s="25" t="s">
        <v>9</v>
      </c>
      <c r="B2578" s="32" t="s">
        <v>188</v>
      </c>
      <c r="C2578" s="27" t="s">
        <v>36</v>
      </c>
      <c r="D2578" s="28" t="n">
        <v>4</v>
      </c>
      <c r="E2578" s="28" t="n">
        <v>1</v>
      </c>
      <c r="F2578" s="29" t="n">
        <f aca="false">'📋 Matches'!E10</f>
        <v>0</v>
      </c>
      <c r="G2578" s="29" t="n">
        <f aca="false">'📋 Matches'!F10</f>
        <v>0</v>
      </c>
      <c r="H2578" s="22" t="str">
        <f aca="false">IF(AND(ISNUMBER(F2578),ISNUMBER(G2578)),IF(SIGN(D2578-E2578)=SIGN(F2578-G2578),48,0),"")</f>
        <v/>
      </c>
      <c r="I2578" s="22" t="str">
        <f aca="false">IF(AND(ISNUMBER(F2578),ISNUMBER(G2578)),IF(D2578=F2578,15,0),"")</f>
        <v/>
      </c>
      <c r="J2578" s="22" t="str">
        <f aca="false">IF(AND(ISNUMBER(F2578),ISNUMBER(G2578)),IF(E2578=G2578,15,0),"")</f>
        <v/>
      </c>
      <c r="K2578" s="22" t="str">
        <f aca="false">IF(AND(ISNUMBER(F2578),ISNUMBER(G2578)),IF(ABS(D2578-E2578)=ABS(F2578-G2578),12,0),"")</f>
        <v/>
      </c>
      <c r="L2578" s="23" t="str">
        <f aca="false">IF(ISNUMBER(H2578),H2578+I2578+J2578+K2578,"")</f>
        <v/>
      </c>
    </row>
    <row r="2579" customFormat="false" ht="18" hidden="false" customHeight="true" outlineLevel="0" collapsed="false">
      <c r="A2579" s="25" t="s">
        <v>9</v>
      </c>
      <c r="B2579" s="32" t="s">
        <v>188</v>
      </c>
      <c r="C2579" s="27" t="s">
        <v>39</v>
      </c>
      <c r="D2579" s="28" t="n">
        <v>1</v>
      </c>
      <c r="E2579" s="28" t="n">
        <v>0</v>
      </c>
      <c r="F2579" s="29" t="n">
        <f aca="false">'📋 Matches'!E11</f>
        <v>0</v>
      </c>
      <c r="G2579" s="29" t="n">
        <f aca="false">'📋 Matches'!F11</f>
        <v>0</v>
      </c>
      <c r="H2579" s="22" t="str">
        <f aca="false">IF(AND(ISNUMBER(F2579),ISNUMBER(G2579)),IF(SIGN(D2579-E2579)=SIGN(F2579-G2579),48,0),"")</f>
        <v/>
      </c>
      <c r="I2579" s="22" t="str">
        <f aca="false">IF(AND(ISNUMBER(F2579),ISNUMBER(G2579)),IF(D2579=F2579,15,0),"")</f>
        <v/>
      </c>
      <c r="J2579" s="22" t="str">
        <f aca="false">IF(AND(ISNUMBER(F2579),ISNUMBER(G2579)),IF(E2579=G2579,15,0),"")</f>
        <v/>
      </c>
      <c r="K2579" s="22" t="str">
        <f aca="false">IF(AND(ISNUMBER(F2579),ISNUMBER(G2579)),IF(ABS(D2579-E2579)=ABS(F2579-G2579),12,0),"")</f>
        <v/>
      </c>
      <c r="L2579" s="23" t="str">
        <f aca="false">IF(ISNUMBER(H2579),H2579+I2579+J2579+K2579,"")</f>
        <v/>
      </c>
    </row>
    <row r="2580" customFormat="false" ht="18" hidden="false" customHeight="true" outlineLevel="0" collapsed="false">
      <c r="A2580" s="25" t="s">
        <v>9</v>
      </c>
      <c r="B2580" s="32" t="s">
        <v>188</v>
      </c>
      <c r="C2580" s="27" t="s">
        <v>42</v>
      </c>
      <c r="D2580" s="28" t="n">
        <v>3</v>
      </c>
      <c r="E2580" s="28" t="n">
        <v>1</v>
      </c>
      <c r="F2580" s="29" t="n">
        <f aca="false">'📋 Matches'!E12</f>
        <v>0</v>
      </c>
      <c r="G2580" s="29" t="n">
        <f aca="false">'📋 Matches'!F12</f>
        <v>0</v>
      </c>
      <c r="H2580" s="22" t="str">
        <f aca="false">IF(AND(ISNUMBER(F2580),ISNUMBER(G2580)),IF(SIGN(D2580-E2580)=SIGN(F2580-G2580),48,0),"")</f>
        <v/>
      </c>
      <c r="I2580" s="22" t="str">
        <f aca="false">IF(AND(ISNUMBER(F2580),ISNUMBER(G2580)),IF(D2580=F2580,15,0),"")</f>
        <v/>
      </c>
      <c r="J2580" s="22" t="str">
        <f aca="false">IF(AND(ISNUMBER(F2580),ISNUMBER(G2580)),IF(E2580=G2580,15,0),"")</f>
        <v/>
      </c>
      <c r="K2580" s="22" t="str">
        <f aca="false">IF(AND(ISNUMBER(F2580),ISNUMBER(G2580)),IF(ABS(D2580-E2580)=ABS(F2580-G2580),12,0),"")</f>
        <v/>
      </c>
      <c r="L2580" s="23" t="str">
        <f aca="false">IF(ISNUMBER(H2580),H2580+I2580+J2580+K2580,"")</f>
        <v/>
      </c>
    </row>
    <row r="2581" customFormat="false" ht="18" hidden="false" customHeight="true" outlineLevel="0" collapsed="false">
      <c r="A2581" s="25" t="s">
        <v>9</v>
      </c>
      <c r="B2581" s="32" t="s">
        <v>188</v>
      </c>
      <c r="C2581" s="27" t="s">
        <v>45</v>
      </c>
      <c r="D2581" s="28" t="n">
        <v>2</v>
      </c>
      <c r="E2581" s="28" t="n">
        <v>2</v>
      </c>
      <c r="F2581" s="29" t="n">
        <f aca="false">'📋 Matches'!E13</f>
        <v>0</v>
      </c>
      <c r="G2581" s="29" t="n">
        <f aca="false">'📋 Matches'!F13</f>
        <v>0</v>
      </c>
      <c r="H2581" s="22" t="str">
        <f aca="false">IF(AND(ISNUMBER(F2581),ISNUMBER(G2581)),IF(SIGN(D2581-E2581)=SIGN(F2581-G2581),48,0),"")</f>
        <v/>
      </c>
      <c r="I2581" s="22" t="str">
        <f aca="false">IF(AND(ISNUMBER(F2581),ISNUMBER(G2581)),IF(D2581=F2581,15,0),"")</f>
        <v/>
      </c>
      <c r="J2581" s="22" t="str">
        <f aca="false">IF(AND(ISNUMBER(F2581),ISNUMBER(G2581)),IF(E2581=G2581,15,0),"")</f>
        <v/>
      </c>
      <c r="K2581" s="22" t="str">
        <f aca="false">IF(AND(ISNUMBER(F2581),ISNUMBER(G2581)),IF(ABS(D2581-E2581)=ABS(F2581-G2581),12,0),"")</f>
        <v/>
      </c>
      <c r="L2581" s="23" t="str">
        <f aca="false">IF(ISNUMBER(H2581),H2581+I2581+J2581+K2581,"")</f>
        <v/>
      </c>
    </row>
    <row r="2582" customFormat="false" ht="18" hidden="false" customHeight="true" outlineLevel="0" collapsed="false">
      <c r="A2582" s="25" t="s">
        <v>9</v>
      </c>
      <c r="B2582" s="32" t="s">
        <v>188</v>
      </c>
      <c r="C2582" s="27" t="s">
        <v>48</v>
      </c>
      <c r="D2582" s="28" t="n">
        <v>3</v>
      </c>
      <c r="E2582" s="28" t="n">
        <v>0</v>
      </c>
      <c r="F2582" s="29" t="n">
        <f aca="false">'📋 Matches'!E14</f>
        <v>0</v>
      </c>
      <c r="G2582" s="29" t="n">
        <f aca="false">'📋 Matches'!F14</f>
        <v>0</v>
      </c>
      <c r="H2582" s="22" t="str">
        <f aca="false">IF(AND(ISNUMBER(F2582),ISNUMBER(G2582)),IF(SIGN(D2582-E2582)=SIGN(F2582-G2582),48,0),"")</f>
        <v/>
      </c>
      <c r="I2582" s="22" t="str">
        <f aca="false">IF(AND(ISNUMBER(F2582),ISNUMBER(G2582)),IF(D2582=F2582,15,0),"")</f>
        <v/>
      </c>
      <c r="J2582" s="22" t="str">
        <f aca="false">IF(AND(ISNUMBER(F2582),ISNUMBER(G2582)),IF(E2582=G2582,15,0),"")</f>
        <v/>
      </c>
      <c r="K2582" s="22" t="str">
        <f aca="false">IF(AND(ISNUMBER(F2582),ISNUMBER(G2582)),IF(ABS(D2582-E2582)=ABS(F2582-G2582),12,0),"")</f>
        <v/>
      </c>
      <c r="L2582" s="23" t="str">
        <f aca="false">IF(ISNUMBER(H2582),H2582+I2582+J2582+K2582,"")</f>
        <v/>
      </c>
    </row>
    <row r="2583" customFormat="false" ht="18" hidden="false" customHeight="true" outlineLevel="0" collapsed="false">
      <c r="A2583" s="25" t="s">
        <v>9</v>
      </c>
      <c r="B2583" s="32" t="s">
        <v>188</v>
      </c>
      <c r="C2583" s="27" t="s">
        <v>51</v>
      </c>
      <c r="D2583" s="28" t="n">
        <v>1</v>
      </c>
      <c r="E2583" s="28" t="n">
        <v>1</v>
      </c>
      <c r="F2583" s="29" t="n">
        <f aca="false">'📋 Matches'!E15</f>
        <v>0</v>
      </c>
      <c r="G2583" s="29" t="n">
        <f aca="false">'📋 Matches'!F15</f>
        <v>0</v>
      </c>
      <c r="H2583" s="22" t="str">
        <f aca="false">IF(AND(ISNUMBER(F2583),ISNUMBER(G2583)),IF(SIGN(D2583-E2583)=SIGN(F2583-G2583),48,0),"")</f>
        <v/>
      </c>
      <c r="I2583" s="22" t="str">
        <f aca="false">IF(AND(ISNUMBER(F2583),ISNUMBER(G2583)),IF(D2583=F2583,15,0),"")</f>
        <v/>
      </c>
      <c r="J2583" s="22" t="str">
        <f aca="false">IF(AND(ISNUMBER(F2583),ISNUMBER(G2583)),IF(E2583=G2583,15,0),"")</f>
        <v/>
      </c>
      <c r="K2583" s="22" t="str">
        <f aca="false">IF(AND(ISNUMBER(F2583),ISNUMBER(G2583)),IF(ABS(D2583-E2583)=ABS(F2583-G2583),12,0),"")</f>
        <v/>
      </c>
      <c r="L2583" s="23" t="str">
        <f aca="false">IF(ISNUMBER(H2583),H2583+I2583+J2583+K2583,"")</f>
        <v/>
      </c>
    </row>
    <row r="2584" customFormat="false" ht="18" hidden="false" customHeight="true" outlineLevel="0" collapsed="false">
      <c r="A2584" s="25" t="s">
        <v>9</v>
      </c>
      <c r="B2584" s="32" t="s">
        <v>188</v>
      </c>
      <c r="C2584" s="27" t="s">
        <v>54</v>
      </c>
      <c r="D2584" s="28" t="n">
        <v>1</v>
      </c>
      <c r="E2584" s="28" t="n">
        <v>2</v>
      </c>
      <c r="F2584" s="29" t="n">
        <f aca="false">'📋 Matches'!E16</f>
        <v>0</v>
      </c>
      <c r="G2584" s="29" t="n">
        <f aca="false">'📋 Matches'!F16</f>
        <v>0</v>
      </c>
      <c r="H2584" s="22" t="str">
        <f aca="false">IF(AND(ISNUMBER(F2584),ISNUMBER(G2584)),IF(SIGN(D2584-E2584)=SIGN(F2584-G2584),48,0),"")</f>
        <v/>
      </c>
      <c r="I2584" s="22" t="str">
        <f aca="false">IF(AND(ISNUMBER(F2584),ISNUMBER(G2584)),IF(D2584=F2584,15,0),"")</f>
        <v/>
      </c>
      <c r="J2584" s="22" t="str">
        <f aca="false">IF(AND(ISNUMBER(F2584),ISNUMBER(G2584)),IF(E2584=G2584,15,0),"")</f>
        <v/>
      </c>
      <c r="K2584" s="22" t="str">
        <f aca="false">IF(AND(ISNUMBER(F2584),ISNUMBER(G2584)),IF(ABS(D2584-E2584)=ABS(F2584-G2584),12,0),"")</f>
        <v/>
      </c>
      <c r="L2584" s="23" t="str">
        <f aca="false">IF(ISNUMBER(H2584),H2584+I2584+J2584+K2584,"")</f>
        <v/>
      </c>
    </row>
    <row r="2585" customFormat="false" ht="18" hidden="false" customHeight="true" outlineLevel="0" collapsed="false">
      <c r="A2585" s="25" t="s">
        <v>9</v>
      </c>
      <c r="B2585" s="32" t="s">
        <v>188</v>
      </c>
      <c r="C2585" s="27" t="s">
        <v>57</v>
      </c>
      <c r="D2585" s="28" t="n">
        <v>2</v>
      </c>
      <c r="E2585" s="28" t="n">
        <v>1</v>
      </c>
      <c r="F2585" s="29" t="n">
        <f aca="false">'📋 Matches'!E17</f>
        <v>0</v>
      </c>
      <c r="G2585" s="29" t="n">
        <f aca="false">'📋 Matches'!F17</f>
        <v>0</v>
      </c>
      <c r="H2585" s="22" t="str">
        <f aca="false">IF(AND(ISNUMBER(F2585),ISNUMBER(G2585)),IF(SIGN(D2585-E2585)=SIGN(F2585-G2585),48,0),"")</f>
        <v/>
      </c>
      <c r="I2585" s="22" t="str">
        <f aca="false">IF(AND(ISNUMBER(F2585),ISNUMBER(G2585)),IF(D2585=F2585,15,0),"")</f>
        <v/>
      </c>
      <c r="J2585" s="22" t="str">
        <f aca="false">IF(AND(ISNUMBER(F2585),ISNUMBER(G2585)),IF(E2585=G2585,15,0),"")</f>
        <v/>
      </c>
      <c r="K2585" s="22" t="str">
        <f aca="false">IF(AND(ISNUMBER(F2585),ISNUMBER(G2585)),IF(ABS(D2585-E2585)=ABS(F2585-G2585),12,0),"")</f>
        <v/>
      </c>
      <c r="L2585" s="23" t="str">
        <f aca="false">IF(ISNUMBER(H2585),H2585+I2585+J2585+K2585,"")</f>
        <v/>
      </c>
    </row>
    <row r="2586" customFormat="false" ht="18" hidden="false" customHeight="true" outlineLevel="0" collapsed="false">
      <c r="A2586" s="25" t="s">
        <v>9</v>
      </c>
      <c r="B2586" s="32" t="s">
        <v>188</v>
      </c>
      <c r="C2586" s="27" t="s">
        <v>60</v>
      </c>
      <c r="D2586" s="28" t="n">
        <v>3</v>
      </c>
      <c r="E2586" s="28" t="n">
        <v>2</v>
      </c>
      <c r="F2586" s="29" t="n">
        <f aca="false">'📋 Matches'!E18</f>
        <v>0</v>
      </c>
      <c r="G2586" s="29" t="n">
        <f aca="false">'📋 Matches'!F18</f>
        <v>0</v>
      </c>
      <c r="H2586" s="22" t="str">
        <f aca="false">IF(AND(ISNUMBER(F2586),ISNUMBER(G2586)),IF(SIGN(D2586-E2586)=SIGN(F2586-G2586),48,0),"")</f>
        <v/>
      </c>
      <c r="I2586" s="22" t="str">
        <f aca="false">IF(AND(ISNUMBER(F2586),ISNUMBER(G2586)),IF(D2586=F2586,15,0),"")</f>
        <v/>
      </c>
      <c r="J2586" s="22" t="str">
        <f aca="false">IF(AND(ISNUMBER(F2586),ISNUMBER(G2586)),IF(E2586=G2586,15,0),"")</f>
        <v/>
      </c>
      <c r="K2586" s="22" t="str">
        <f aca="false">IF(AND(ISNUMBER(F2586),ISNUMBER(G2586)),IF(ABS(D2586-E2586)=ABS(F2586-G2586),12,0),"")</f>
        <v/>
      </c>
      <c r="L2586" s="23" t="str">
        <f aca="false">IF(ISNUMBER(H2586),H2586+I2586+J2586+K2586,"")</f>
        <v/>
      </c>
    </row>
    <row r="2587" customFormat="false" ht="18" hidden="false" customHeight="true" outlineLevel="0" collapsed="false">
      <c r="A2587" s="25" t="s">
        <v>9</v>
      </c>
      <c r="B2587" s="32" t="s">
        <v>188</v>
      </c>
      <c r="C2587" s="27" t="s">
        <v>63</v>
      </c>
      <c r="D2587" s="28" t="n">
        <v>1</v>
      </c>
      <c r="E2587" s="28" t="n">
        <v>4</v>
      </c>
      <c r="F2587" s="29" t="n">
        <f aca="false">'📋 Matches'!E19</f>
        <v>0</v>
      </c>
      <c r="G2587" s="29" t="n">
        <f aca="false">'📋 Matches'!F19</f>
        <v>0</v>
      </c>
      <c r="H2587" s="22" t="str">
        <f aca="false">IF(AND(ISNUMBER(F2587),ISNUMBER(G2587)),IF(SIGN(D2587-E2587)=SIGN(F2587-G2587),48,0),"")</f>
        <v/>
      </c>
      <c r="I2587" s="22" t="str">
        <f aca="false">IF(AND(ISNUMBER(F2587),ISNUMBER(G2587)),IF(D2587=F2587,15,0),"")</f>
        <v/>
      </c>
      <c r="J2587" s="22" t="str">
        <f aca="false">IF(AND(ISNUMBER(F2587),ISNUMBER(G2587)),IF(E2587=G2587,15,0),"")</f>
        <v/>
      </c>
      <c r="K2587" s="22" t="str">
        <f aca="false">IF(AND(ISNUMBER(F2587),ISNUMBER(G2587)),IF(ABS(D2587-E2587)=ABS(F2587-G2587),12,0),"")</f>
        <v/>
      </c>
      <c r="L2587" s="23" t="str">
        <f aca="false">IF(ISNUMBER(H2587),H2587+I2587+J2587+K2587,"")</f>
        <v/>
      </c>
    </row>
    <row r="2588" customFormat="false" ht="18" hidden="false" customHeight="true" outlineLevel="0" collapsed="false">
      <c r="A2588" s="25" t="s">
        <v>9</v>
      </c>
      <c r="B2588" s="32" t="s">
        <v>188</v>
      </c>
      <c r="C2588" s="27" t="s">
        <v>66</v>
      </c>
      <c r="D2588" s="28" t="n">
        <v>2</v>
      </c>
      <c r="E2588" s="28" t="n">
        <v>1</v>
      </c>
      <c r="F2588" s="29" t="n">
        <f aca="false">'📋 Matches'!E20</f>
        <v>0</v>
      </c>
      <c r="G2588" s="29" t="n">
        <f aca="false">'📋 Matches'!F20</f>
        <v>0</v>
      </c>
      <c r="H2588" s="22" t="str">
        <f aca="false">IF(AND(ISNUMBER(F2588),ISNUMBER(G2588)),IF(SIGN(D2588-E2588)=SIGN(F2588-G2588),48,0),"")</f>
        <v/>
      </c>
      <c r="I2588" s="22" t="str">
        <f aca="false">IF(AND(ISNUMBER(F2588),ISNUMBER(G2588)),IF(D2588=F2588,15,0),"")</f>
        <v/>
      </c>
      <c r="J2588" s="22" t="str">
        <f aca="false">IF(AND(ISNUMBER(F2588),ISNUMBER(G2588)),IF(E2588=G2588,15,0),"")</f>
        <v/>
      </c>
      <c r="K2588" s="22" t="str">
        <f aca="false">IF(AND(ISNUMBER(F2588),ISNUMBER(G2588)),IF(ABS(D2588-E2588)=ABS(F2588-G2588),12,0),"")</f>
        <v/>
      </c>
      <c r="L2588" s="23" t="str">
        <f aca="false">IF(ISNUMBER(H2588),H2588+I2588+J2588+K2588,"")</f>
        <v/>
      </c>
    </row>
    <row r="2589" customFormat="false" ht="18" hidden="false" customHeight="true" outlineLevel="0" collapsed="false">
      <c r="A2589" s="25" t="s">
        <v>9</v>
      </c>
      <c r="B2589" s="32" t="s">
        <v>188</v>
      </c>
      <c r="C2589" s="27" t="s">
        <v>69</v>
      </c>
      <c r="D2589" s="28" t="n">
        <v>2</v>
      </c>
      <c r="E2589" s="28" t="n">
        <v>0</v>
      </c>
      <c r="F2589" s="29" t="n">
        <f aca="false">'📋 Matches'!E21</f>
        <v>0</v>
      </c>
      <c r="G2589" s="29" t="n">
        <f aca="false">'📋 Matches'!F21</f>
        <v>0</v>
      </c>
      <c r="H2589" s="22" t="str">
        <f aca="false">IF(AND(ISNUMBER(F2589),ISNUMBER(G2589)),IF(SIGN(D2589-E2589)=SIGN(F2589-G2589),48,0),"")</f>
        <v/>
      </c>
      <c r="I2589" s="22" t="str">
        <f aca="false">IF(AND(ISNUMBER(F2589),ISNUMBER(G2589)),IF(D2589=F2589,15,0),"")</f>
        <v/>
      </c>
      <c r="J2589" s="22" t="str">
        <f aca="false">IF(AND(ISNUMBER(F2589),ISNUMBER(G2589)),IF(E2589=G2589,15,0),"")</f>
        <v/>
      </c>
      <c r="K2589" s="22" t="str">
        <f aca="false">IF(AND(ISNUMBER(F2589),ISNUMBER(G2589)),IF(ABS(D2589-E2589)=ABS(F2589-G2589),12,0),"")</f>
        <v/>
      </c>
      <c r="L2589" s="23" t="str">
        <f aca="false">IF(ISNUMBER(H2589),H2589+I2589+J2589+K2589,"")</f>
        <v/>
      </c>
    </row>
    <row r="2590" customFormat="false" ht="18" hidden="false" customHeight="true" outlineLevel="0" collapsed="false">
      <c r="A2590" s="25" t="s">
        <v>9</v>
      </c>
      <c r="B2590" s="32" t="s">
        <v>188</v>
      </c>
      <c r="C2590" s="27" t="s">
        <v>72</v>
      </c>
      <c r="D2590" s="28" t="n">
        <v>3</v>
      </c>
      <c r="E2590" s="28" t="n">
        <v>0</v>
      </c>
      <c r="F2590" s="29" t="n">
        <f aca="false">'📋 Matches'!E22</f>
        <v>0</v>
      </c>
      <c r="G2590" s="29" t="n">
        <f aca="false">'📋 Matches'!F22</f>
        <v>0</v>
      </c>
      <c r="H2590" s="22" t="str">
        <f aca="false">IF(AND(ISNUMBER(F2590),ISNUMBER(G2590)),IF(SIGN(D2590-E2590)=SIGN(F2590-G2590),48,0),"")</f>
        <v/>
      </c>
      <c r="I2590" s="22" t="str">
        <f aca="false">IF(AND(ISNUMBER(F2590),ISNUMBER(G2590)),IF(D2590=F2590,15,0),"")</f>
        <v/>
      </c>
      <c r="J2590" s="22" t="str">
        <f aca="false">IF(AND(ISNUMBER(F2590),ISNUMBER(G2590)),IF(E2590=G2590,15,0),"")</f>
        <v/>
      </c>
      <c r="K2590" s="22" t="str">
        <f aca="false">IF(AND(ISNUMBER(F2590),ISNUMBER(G2590)),IF(ABS(D2590-E2590)=ABS(F2590-G2590),12,0),"")</f>
        <v/>
      </c>
      <c r="L2590" s="23" t="str">
        <f aca="false">IF(ISNUMBER(H2590),H2590+I2590+J2590+K2590,"")</f>
        <v/>
      </c>
    </row>
    <row r="2591" customFormat="false" ht="18" hidden="false" customHeight="true" outlineLevel="0" collapsed="false">
      <c r="A2591" s="25" t="s">
        <v>9</v>
      </c>
      <c r="B2591" s="32" t="s">
        <v>188</v>
      </c>
      <c r="C2591" s="27" t="s">
        <v>75</v>
      </c>
      <c r="D2591" s="28" t="n">
        <v>2</v>
      </c>
      <c r="E2591" s="28" t="n">
        <v>2</v>
      </c>
      <c r="F2591" s="29" t="n">
        <f aca="false">'📋 Matches'!E23</f>
        <v>0</v>
      </c>
      <c r="G2591" s="29" t="n">
        <f aca="false">'📋 Matches'!F23</f>
        <v>0</v>
      </c>
      <c r="H2591" s="22" t="str">
        <f aca="false">IF(AND(ISNUMBER(F2591),ISNUMBER(G2591)),IF(SIGN(D2591-E2591)=SIGN(F2591-G2591),48,0),"")</f>
        <v/>
      </c>
      <c r="I2591" s="22" t="str">
        <f aca="false">IF(AND(ISNUMBER(F2591),ISNUMBER(G2591)),IF(D2591=F2591,15,0),"")</f>
        <v/>
      </c>
      <c r="J2591" s="22" t="str">
        <f aca="false">IF(AND(ISNUMBER(F2591),ISNUMBER(G2591)),IF(E2591=G2591,15,0),"")</f>
        <v/>
      </c>
      <c r="K2591" s="22" t="str">
        <f aca="false">IF(AND(ISNUMBER(F2591),ISNUMBER(G2591)),IF(ABS(D2591-E2591)=ABS(F2591-G2591),12,0),"")</f>
        <v/>
      </c>
      <c r="L2591" s="23" t="str">
        <f aca="false">IF(ISNUMBER(H2591),H2591+I2591+J2591+K2591,"")</f>
        <v/>
      </c>
    </row>
    <row r="2592" customFormat="false" ht="18" hidden="false" customHeight="true" outlineLevel="0" collapsed="false">
      <c r="A2592" s="25" t="s">
        <v>9</v>
      </c>
      <c r="B2592" s="32" t="s">
        <v>188</v>
      </c>
      <c r="C2592" s="27" t="s">
        <v>78</v>
      </c>
      <c r="D2592" s="28" t="n">
        <v>2</v>
      </c>
      <c r="E2592" s="28" t="n">
        <v>0</v>
      </c>
      <c r="F2592" s="29" t="n">
        <f aca="false">'📋 Matches'!E24</f>
        <v>0</v>
      </c>
      <c r="G2592" s="29" t="n">
        <f aca="false">'📋 Matches'!F24</f>
        <v>0</v>
      </c>
      <c r="H2592" s="22" t="str">
        <f aca="false">IF(AND(ISNUMBER(F2592),ISNUMBER(G2592)),IF(SIGN(D2592-E2592)=SIGN(F2592-G2592),48,0),"")</f>
        <v/>
      </c>
      <c r="I2592" s="22" t="str">
        <f aca="false">IF(AND(ISNUMBER(F2592),ISNUMBER(G2592)),IF(D2592=F2592,15,0),"")</f>
        <v/>
      </c>
      <c r="J2592" s="22" t="str">
        <f aca="false">IF(AND(ISNUMBER(F2592),ISNUMBER(G2592)),IF(E2592=G2592,15,0),"")</f>
        <v/>
      </c>
      <c r="K2592" s="22" t="str">
        <f aca="false">IF(AND(ISNUMBER(F2592),ISNUMBER(G2592)),IF(ABS(D2592-E2592)=ABS(F2592-G2592),12,0),"")</f>
        <v/>
      </c>
      <c r="L2592" s="23" t="str">
        <f aca="false">IF(ISNUMBER(H2592),H2592+I2592+J2592+K2592,"")</f>
        <v/>
      </c>
    </row>
    <row r="2593" customFormat="false" ht="18" hidden="false" customHeight="true" outlineLevel="0" collapsed="false">
      <c r="A2593" s="25" t="s">
        <v>9</v>
      </c>
      <c r="B2593" s="32" t="s">
        <v>188</v>
      </c>
      <c r="C2593" s="27" t="s">
        <v>81</v>
      </c>
      <c r="D2593" s="28" t="n">
        <v>0</v>
      </c>
      <c r="E2593" s="28" t="n">
        <v>2</v>
      </c>
      <c r="F2593" s="29" t="n">
        <f aca="false">'📋 Matches'!E25</f>
        <v>0</v>
      </c>
      <c r="G2593" s="29" t="n">
        <f aca="false">'📋 Matches'!F25</f>
        <v>0</v>
      </c>
      <c r="H2593" s="22" t="str">
        <f aca="false">IF(AND(ISNUMBER(F2593),ISNUMBER(G2593)),IF(SIGN(D2593-E2593)=SIGN(F2593-G2593),48,0),"")</f>
        <v/>
      </c>
      <c r="I2593" s="22" t="str">
        <f aca="false">IF(AND(ISNUMBER(F2593),ISNUMBER(G2593)),IF(D2593=F2593,15,0),"")</f>
        <v/>
      </c>
      <c r="J2593" s="22" t="str">
        <f aca="false">IF(AND(ISNUMBER(F2593),ISNUMBER(G2593)),IF(E2593=G2593,15,0),"")</f>
        <v/>
      </c>
      <c r="K2593" s="22" t="str">
        <f aca="false">IF(AND(ISNUMBER(F2593),ISNUMBER(G2593)),IF(ABS(D2593-E2593)=ABS(F2593-G2593),12,0),"")</f>
        <v/>
      </c>
      <c r="L2593" s="23" t="str">
        <f aca="false">IF(ISNUMBER(H2593),H2593+I2593+J2593+K2593,"")</f>
        <v/>
      </c>
    </row>
    <row r="2594" customFormat="false" ht="18" hidden="false" customHeight="true" outlineLevel="0" collapsed="false">
      <c r="A2594" s="17" t="s">
        <v>9</v>
      </c>
      <c r="B2594" s="18" t="s">
        <v>189</v>
      </c>
      <c r="C2594" s="19" t="s">
        <v>10</v>
      </c>
      <c r="D2594" s="20" t="n">
        <v>2</v>
      </c>
      <c r="E2594" s="20" t="n">
        <v>2</v>
      </c>
      <c r="F2594" s="21" t="n">
        <f aca="false">'📋 Matches'!E2</f>
        <v>2</v>
      </c>
      <c r="G2594" s="21" t="n">
        <f aca="false">'📋 Matches'!F2</f>
        <v>0</v>
      </c>
      <c r="H2594" s="22" t="n">
        <f aca="false">IF(AND(ISNUMBER(F2594),ISNUMBER(G2594)),IF(SIGN(D2594-E2594)=SIGN(F2594-G2594),48,0),"")</f>
        <v>0</v>
      </c>
      <c r="I2594" s="22" t="n">
        <f aca="false">IF(AND(ISNUMBER(F2594),ISNUMBER(G2594)),IF(D2594=F2594,15,0),"")</f>
        <v>15</v>
      </c>
      <c r="J2594" s="22" t="n">
        <f aca="false">IF(AND(ISNUMBER(F2594),ISNUMBER(G2594)),IF(E2594=G2594,15,0),"")</f>
        <v>0</v>
      </c>
      <c r="K2594" s="22" t="n">
        <f aca="false">IF(AND(ISNUMBER(F2594),ISNUMBER(G2594)),IF(ABS(D2594-E2594)=ABS(F2594-G2594),12,0),"")</f>
        <v>0</v>
      </c>
      <c r="L2594" s="23" t="n">
        <f aca="false">IF(ISNUMBER(H2594),H2594+I2594+J2594+K2594,"")</f>
        <v>15</v>
      </c>
    </row>
    <row r="2595" customFormat="false" ht="18" hidden="false" customHeight="true" outlineLevel="0" collapsed="false">
      <c r="A2595" s="17" t="s">
        <v>9</v>
      </c>
      <c r="B2595" s="18" t="s">
        <v>189</v>
      </c>
      <c r="C2595" s="19" t="s">
        <v>14</v>
      </c>
      <c r="D2595" s="20" t="n">
        <v>1</v>
      </c>
      <c r="E2595" s="20" t="n">
        <v>0</v>
      </c>
      <c r="F2595" s="21" t="n">
        <f aca="false">'📋 Matches'!E3</f>
        <v>2</v>
      </c>
      <c r="G2595" s="21" t="n">
        <f aca="false">'📋 Matches'!F3</f>
        <v>1</v>
      </c>
      <c r="H2595" s="22" t="n">
        <f aca="false">IF(AND(ISNUMBER(F2595),ISNUMBER(G2595)),IF(SIGN(D2595-E2595)=SIGN(F2595-G2595),48,0),"")</f>
        <v>48</v>
      </c>
      <c r="I2595" s="22" t="n">
        <f aca="false">IF(AND(ISNUMBER(F2595),ISNUMBER(G2595)),IF(D2595=F2595,15,0),"")</f>
        <v>0</v>
      </c>
      <c r="J2595" s="22" t="n">
        <f aca="false">IF(AND(ISNUMBER(F2595),ISNUMBER(G2595)),IF(E2595=G2595,15,0),"")</f>
        <v>0</v>
      </c>
      <c r="K2595" s="22" t="n">
        <f aca="false">IF(AND(ISNUMBER(F2595),ISNUMBER(G2595)),IF(ABS(D2595-E2595)=ABS(F2595-G2595),12,0),"")</f>
        <v>12</v>
      </c>
      <c r="L2595" s="23" t="n">
        <f aca="false">IF(ISNUMBER(H2595),H2595+I2595+J2595+K2595,"")</f>
        <v>60</v>
      </c>
    </row>
    <row r="2596" customFormat="false" ht="18" hidden="false" customHeight="true" outlineLevel="0" collapsed="false">
      <c r="A2596" s="17" t="s">
        <v>9</v>
      </c>
      <c r="B2596" s="18" t="s">
        <v>189</v>
      </c>
      <c r="C2596" s="19" t="s">
        <v>17</v>
      </c>
      <c r="D2596" s="20" t="n">
        <v>1</v>
      </c>
      <c r="E2596" s="20" t="n">
        <v>1</v>
      </c>
      <c r="F2596" s="21" t="n">
        <f aca="false">'📋 Matches'!E4</f>
        <v>1</v>
      </c>
      <c r="G2596" s="21" t="n">
        <f aca="false">'📋 Matches'!F4</f>
        <v>1</v>
      </c>
      <c r="H2596" s="22" t="n">
        <f aca="false">IF(AND(ISNUMBER(F2596),ISNUMBER(G2596)),IF(SIGN(D2596-E2596)=SIGN(F2596-G2596),48,0),"")</f>
        <v>48</v>
      </c>
      <c r="I2596" s="22" t="n">
        <f aca="false">IF(AND(ISNUMBER(F2596),ISNUMBER(G2596)),IF(D2596=F2596,15,0),"")</f>
        <v>15</v>
      </c>
      <c r="J2596" s="22" t="n">
        <f aca="false">IF(AND(ISNUMBER(F2596),ISNUMBER(G2596)),IF(E2596=G2596,15,0),"")</f>
        <v>15</v>
      </c>
      <c r="K2596" s="22" t="n">
        <f aca="false">IF(AND(ISNUMBER(F2596),ISNUMBER(G2596)),IF(ABS(D2596-E2596)=ABS(F2596-G2596),12,0),"")</f>
        <v>12</v>
      </c>
      <c r="L2596" s="23" t="n">
        <f aca="false">IF(ISNUMBER(H2596),H2596+I2596+J2596+K2596,"")</f>
        <v>90</v>
      </c>
    </row>
    <row r="2597" customFormat="false" ht="18" hidden="false" customHeight="true" outlineLevel="0" collapsed="false">
      <c r="A2597" s="17" t="s">
        <v>9</v>
      </c>
      <c r="B2597" s="18" t="s">
        <v>189</v>
      </c>
      <c r="C2597" s="19" t="s">
        <v>20</v>
      </c>
      <c r="D2597" s="20" t="n">
        <v>1</v>
      </c>
      <c r="E2597" s="20" t="n">
        <v>0</v>
      </c>
      <c r="F2597" s="21" t="n">
        <f aca="false">'📋 Matches'!E5</f>
        <v>4</v>
      </c>
      <c r="G2597" s="21" t="n">
        <f aca="false">'📋 Matches'!F5</f>
        <v>1</v>
      </c>
      <c r="H2597" s="22" t="n">
        <f aca="false">IF(AND(ISNUMBER(F2597),ISNUMBER(G2597)),IF(SIGN(D2597-E2597)=SIGN(F2597-G2597),48,0),"")</f>
        <v>48</v>
      </c>
      <c r="I2597" s="22" t="n">
        <f aca="false">IF(AND(ISNUMBER(F2597),ISNUMBER(G2597)),IF(D2597=F2597,15,0),"")</f>
        <v>0</v>
      </c>
      <c r="J2597" s="22" t="n">
        <f aca="false">IF(AND(ISNUMBER(F2597),ISNUMBER(G2597)),IF(E2597=G2597,15,0),"")</f>
        <v>0</v>
      </c>
      <c r="K2597" s="22" t="n">
        <f aca="false">IF(AND(ISNUMBER(F2597),ISNUMBER(G2597)),IF(ABS(D2597-E2597)=ABS(F2597-G2597),12,0),"")</f>
        <v>0</v>
      </c>
      <c r="L2597" s="23" t="n">
        <f aca="false">IF(ISNUMBER(H2597),H2597+I2597+J2597+K2597,"")</f>
        <v>48</v>
      </c>
    </row>
    <row r="2598" customFormat="false" ht="18" hidden="false" customHeight="true" outlineLevel="0" collapsed="false">
      <c r="A2598" s="17" t="s">
        <v>9</v>
      </c>
      <c r="B2598" s="18" t="s">
        <v>189</v>
      </c>
      <c r="C2598" s="19" t="s">
        <v>23</v>
      </c>
      <c r="D2598" s="20" t="n">
        <v>1</v>
      </c>
      <c r="E2598" s="20" t="n">
        <v>2</v>
      </c>
      <c r="F2598" s="21" t="n">
        <f aca="false">'📋 Matches'!E6</f>
        <v>0</v>
      </c>
      <c r="G2598" s="21" t="n">
        <f aca="false">'📋 Matches'!F6</f>
        <v>0</v>
      </c>
      <c r="H2598" s="22" t="str">
        <f aca="false">IF(AND(ISNUMBER(F2598),ISNUMBER(G2598)),IF(SIGN(D2598-E2598)=SIGN(F2598-G2598),48,0),"")</f>
        <v/>
      </c>
      <c r="I2598" s="22" t="str">
        <f aca="false">IF(AND(ISNUMBER(F2598),ISNUMBER(G2598)),IF(D2598=F2598,15,0),"")</f>
        <v/>
      </c>
      <c r="J2598" s="22" t="str">
        <f aca="false">IF(AND(ISNUMBER(F2598),ISNUMBER(G2598)),IF(E2598=G2598,15,0),"")</f>
        <v/>
      </c>
      <c r="K2598" s="22" t="str">
        <f aca="false">IF(AND(ISNUMBER(F2598),ISNUMBER(G2598)),IF(ABS(D2598-E2598)=ABS(F2598-G2598),12,0),"")</f>
        <v/>
      </c>
      <c r="L2598" s="23" t="str">
        <f aca="false">IF(ISNUMBER(H2598),H2598+I2598+J2598+K2598,"")</f>
        <v/>
      </c>
    </row>
    <row r="2599" customFormat="false" ht="18" hidden="false" customHeight="true" outlineLevel="0" collapsed="false">
      <c r="A2599" s="17" t="s">
        <v>9</v>
      </c>
      <c r="B2599" s="18" t="s">
        <v>189</v>
      </c>
      <c r="C2599" s="19" t="s">
        <v>27</v>
      </c>
      <c r="D2599" s="20" t="n">
        <v>3</v>
      </c>
      <c r="E2599" s="20" t="n">
        <v>2</v>
      </c>
      <c r="F2599" s="21" t="n">
        <f aca="false">'📋 Matches'!E7</f>
        <v>0</v>
      </c>
      <c r="G2599" s="21" t="n">
        <f aca="false">'📋 Matches'!F7</f>
        <v>0</v>
      </c>
      <c r="H2599" s="22" t="str">
        <f aca="false">IF(AND(ISNUMBER(F2599),ISNUMBER(G2599)),IF(SIGN(D2599-E2599)=SIGN(F2599-G2599),48,0),"")</f>
        <v/>
      </c>
      <c r="I2599" s="22" t="str">
        <f aca="false">IF(AND(ISNUMBER(F2599),ISNUMBER(G2599)),IF(D2599=F2599,15,0),"")</f>
        <v/>
      </c>
      <c r="J2599" s="22" t="str">
        <f aca="false">IF(AND(ISNUMBER(F2599),ISNUMBER(G2599)),IF(E2599=G2599,15,0),"")</f>
        <v/>
      </c>
      <c r="K2599" s="22" t="str">
        <f aca="false">IF(AND(ISNUMBER(F2599),ISNUMBER(G2599)),IF(ABS(D2599-E2599)=ABS(F2599-G2599),12,0),"")</f>
        <v/>
      </c>
      <c r="L2599" s="23" t="str">
        <f aca="false">IF(ISNUMBER(H2599),H2599+I2599+J2599+K2599,"")</f>
        <v/>
      </c>
    </row>
    <row r="2600" customFormat="false" ht="18" hidden="false" customHeight="true" outlineLevel="0" collapsed="false">
      <c r="A2600" s="17" t="s">
        <v>9</v>
      </c>
      <c r="B2600" s="18" t="s">
        <v>189</v>
      </c>
      <c r="C2600" s="19" t="s">
        <v>30</v>
      </c>
      <c r="D2600" s="20" t="n">
        <v>0</v>
      </c>
      <c r="E2600" s="20" t="n">
        <v>0</v>
      </c>
      <c r="F2600" s="21" t="n">
        <f aca="false">'📋 Matches'!E8</f>
        <v>0</v>
      </c>
      <c r="G2600" s="21" t="n">
        <f aca="false">'📋 Matches'!F8</f>
        <v>0</v>
      </c>
      <c r="H2600" s="22" t="str">
        <f aca="false">IF(AND(ISNUMBER(F2600),ISNUMBER(G2600)),IF(SIGN(D2600-E2600)=SIGN(F2600-G2600),48,0),"")</f>
        <v/>
      </c>
      <c r="I2600" s="22" t="str">
        <f aca="false">IF(AND(ISNUMBER(F2600),ISNUMBER(G2600)),IF(D2600=F2600,15,0),"")</f>
        <v/>
      </c>
      <c r="J2600" s="22" t="str">
        <f aca="false">IF(AND(ISNUMBER(F2600),ISNUMBER(G2600)),IF(E2600=G2600,15,0),"")</f>
        <v/>
      </c>
      <c r="K2600" s="22" t="str">
        <f aca="false">IF(AND(ISNUMBER(F2600),ISNUMBER(G2600)),IF(ABS(D2600-E2600)=ABS(F2600-G2600),12,0),"")</f>
        <v/>
      </c>
      <c r="L2600" s="23" t="str">
        <f aca="false">IF(ISNUMBER(H2600),H2600+I2600+J2600+K2600,"")</f>
        <v/>
      </c>
    </row>
    <row r="2601" customFormat="false" ht="18" hidden="false" customHeight="true" outlineLevel="0" collapsed="false">
      <c r="A2601" s="17" t="s">
        <v>9</v>
      </c>
      <c r="B2601" s="18" t="s">
        <v>189</v>
      </c>
      <c r="C2601" s="19" t="s">
        <v>33</v>
      </c>
      <c r="D2601" s="20" t="n">
        <v>1</v>
      </c>
      <c r="E2601" s="20" t="n">
        <v>2</v>
      </c>
      <c r="F2601" s="21" t="n">
        <f aca="false">'📋 Matches'!E9</f>
        <v>0</v>
      </c>
      <c r="G2601" s="21" t="n">
        <f aca="false">'📋 Matches'!F9</f>
        <v>0</v>
      </c>
      <c r="H2601" s="22" t="str">
        <f aca="false">IF(AND(ISNUMBER(F2601),ISNUMBER(G2601)),IF(SIGN(D2601-E2601)=SIGN(F2601-G2601),48,0),"")</f>
        <v/>
      </c>
      <c r="I2601" s="22" t="str">
        <f aca="false">IF(AND(ISNUMBER(F2601),ISNUMBER(G2601)),IF(D2601=F2601,15,0),"")</f>
        <v/>
      </c>
      <c r="J2601" s="22" t="str">
        <f aca="false">IF(AND(ISNUMBER(F2601),ISNUMBER(G2601)),IF(E2601=G2601,15,0),"")</f>
        <v/>
      </c>
      <c r="K2601" s="22" t="str">
        <f aca="false">IF(AND(ISNUMBER(F2601),ISNUMBER(G2601)),IF(ABS(D2601-E2601)=ABS(F2601-G2601),12,0),"")</f>
        <v/>
      </c>
      <c r="L2601" s="23" t="str">
        <f aca="false">IF(ISNUMBER(H2601),H2601+I2601+J2601+K2601,"")</f>
        <v/>
      </c>
    </row>
    <row r="2602" customFormat="false" ht="18" hidden="false" customHeight="true" outlineLevel="0" collapsed="false">
      <c r="A2602" s="17" t="s">
        <v>9</v>
      </c>
      <c r="B2602" s="18" t="s">
        <v>189</v>
      </c>
      <c r="C2602" s="19" t="s">
        <v>36</v>
      </c>
      <c r="D2602" s="20" t="n">
        <v>2</v>
      </c>
      <c r="E2602" s="20" t="n">
        <v>0</v>
      </c>
      <c r="F2602" s="21" t="n">
        <f aca="false">'📋 Matches'!E10</f>
        <v>0</v>
      </c>
      <c r="G2602" s="21" t="n">
        <f aca="false">'📋 Matches'!F10</f>
        <v>0</v>
      </c>
      <c r="H2602" s="22" t="str">
        <f aca="false">IF(AND(ISNUMBER(F2602),ISNUMBER(G2602)),IF(SIGN(D2602-E2602)=SIGN(F2602-G2602),48,0),"")</f>
        <v/>
      </c>
      <c r="I2602" s="22" t="str">
        <f aca="false">IF(AND(ISNUMBER(F2602),ISNUMBER(G2602)),IF(D2602=F2602,15,0),"")</f>
        <v/>
      </c>
      <c r="J2602" s="22" t="str">
        <f aca="false">IF(AND(ISNUMBER(F2602),ISNUMBER(G2602)),IF(E2602=G2602,15,0),"")</f>
        <v/>
      </c>
      <c r="K2602" s="22" t="str">
        <f aca="false">IF(AND(ISNUMBER(F2602),ISNUMBER(G2602)),IF(ABS(D2602-E2602)=ABS(F2602-G2602),12,0),"")</f>
        <v/>
      </c>
      <c r="L2602" s="23" t="str">
        <f aca="false">IF(ISNUMBER(H2602),H2602+I2602+J2602+K2602,"")</f>
        <v/>
      </c>
    </row>
    <row r="2603" customFormat="false" ht="18" hidden="false" customHeight="true" outlineLevel="0" collapsed="false">
      <c r="A2603" s="17" t="s">
        <v>9</v>
      </c>
      <c r="B2603" s="18" t="s">
        <v>189</v>
      </c>
      <c r="C2603" s="19" t="s">
        <v>39</v>
      </c>
      <c r="D2603" s="20" t="n">
        <v>2</v>
      </c>
      <c r="E2603" s="20" t="n">
        <v>2</v>
      </c>
      <c r="F2603" s="21" t="n">
        <f aca="false">'📋 Matches'!E11</f>
        <v>0</v>
      </c>
      <c r="G2603" s="21" t="n">
        <f aca="false">'📋 Matches'!F11</f>
        <v>0</v>
      </c>
      <c r="H2603" s="22" t="str">
        <f aca="false">IF(AND(ISNUMBER(F2603),ISNUMBER(G2603)),IF(SIGN(D2603-E2603)=SIGN(F2603-G2603),48,0),"")</f>
        <v/>
      </c>
      <c r="I2603" s="22" t="str">
        <f aca="false">IF(AND(ISNUMBER(F2603),ISNUMBER(G2603)),IF(D2603=F2603,15,0),"")</f>
        <v/>
      </c>
      <c r="J2603" s="22" t="str">
        <f aca="false">IF(AND(ISNUMBER(F2603),ISNUMBER(G2603)),IF(E2603=G2603,15,0),"")</f>
        <v/>
      </c>
      <c r="K2603" s="22" t="str">
        <f aca="false">IF(AND(ISNUMBER(F2603),ISNUMBER(G2603)),IF(ABS(D2603-E2603)=ABS(F2603-G2603),12,0),"")</f>
        <v/>
      </c>
      <c r="L2603" s="23" t="str">
        <f aca="false">IF(ISNUMBER(H2603),H2603+I2603+J2603+K2603,"")</f>
        <v/>
      </c>
    </row>
    <row r="2604" customFormat="false" ht="18" hidden="false" customHeight="true" outlineLevel="0" collapsed="false">
      <c r="A2604" s="17" t="s">
        <v>9</v>
      </c>
      <c r="B2604" s="18" t="s">
        <v>189</v>
      </c>
      <c r="C2604" s="19" t="s">
        <v>42</v>
      </c>
      <c r="D2604" s="20" t="n">
        <v>1</v>
      </c>
      <c r="E2604" s="20" t="n">
        <v>0</v>
      </c>
      <c r="F2604" s="21" t="n">
        <f aca="false">'📋 Matches'!E12</f>
        <v>0</v>
      </c>
      <c r="G2604" s="21" t="n">
        <f aca="false">'📋 Matches'!F12</f>
        <v>0</v>
      </c>
      <c r="H2604" s="22" t="str">
        <f aca="false">IF(AND(ISNUMBER(F2604),ISNUMBER(G2604)),IF(SIGN(D2604-E2604)=SIGN(F2604-G2604),48,0),"")</f>
        <v/>
      </c>
      <c r="I2604" s="22" t="str">
        <f aca="false">IF(AND(ISNUMBER(F2604),ISNUMBER(G2604)),IF(D2604=F2604,15,0),"")</f>
        <v/>
      </c>
      <c r="J2604" s="22" t="str">
        <f aca="false">IF(AND(ISNUMBER(F2604),ISNUMBER(G2604)),IF(E2604=G2604,15,0),"")</f>
        <v/>
      </c>
      <c r="K2604" s="22" t="str">
        <f aca="false">IF(AND(ISNUMBER(F2604),ISNUMBER(G2604)),IF(ABS(D2604-E2604)=ABS(F2604-G2604),12,0),"")</f>
        <v/>
      </c>
      <c r="L2604" s="23" t="str">
        <f aca="false">IF(ISNUMBER(H2604),H2604+I2604+J2604+K2604,"")</f>
        <v/>
      </c>
    </row>
    <row r="2605" customFormat="false" ht="18" hidden="false" customHeight="true" outlineLevel="0" collapsed="false">
      <c r="A2605" s="17" t="s">
        <v>9</v>
      </c>
      <c r="B2605" s="18" t="s">
        <v>189</v>
      </c>
      <c r="C2605" s="19" t="s">
        <v>45</v>
      </c>
      <c r="D2605" s="20" t="n">
        <v>2</v>
      </c>
      <c r="E2605" s="20" t="n">
        <v>0</v>
      </c>
      <c r="F2605" s="21" t="n">
        <f aca="false">'📋 Matches'!E13</f>
        <v>0</v>
      </c>
      <c r="G2605" s="21" t="n">
        <f aca="false">'📋 Matches'!F13</f>
        <v>0</v>
      </c>
      <c r="H2605" s="22" t="str">
        <f aca="false">IF(AND(ISNUMBER(F2605),ISNUMBER(G2605)),IF(SIGN(D2605-E2605)=SIGN(F2605-G2605),48,0),"")</f>
        <v/>
      </c>
      <c r="I2605" s="22" t="str">
        <f aca="false">IF(AND(ISNUMBER(F2605),ISNUMBER(G2605)),IF(D2605=F2605,15,0),"")</f>
        <v/>
      </c>
      <c r="J2605" s="22" t="str">
        <f aca="false">IF(AND(ISNUMBER(F2605),ISNUMBER(G2605)),IF(E2605=G2605,15,0),"")</f>
        <v/>
      </c>
      <c r="K2605" s="22" t="str">
        <f aca="false">IF(AND(ISNUMBER(F2605),ISNUMBER(G2605)),IF(ABS(D2605-E2605)=ABS(F2605-G2605),12,0),"")</f>
        <v/>
      </c>
      <c r="L2605" s="23" t="str">
        <f aca="false">IF(ISNUMBER(H2605),H2605+I2605+J2605+K2605,"")</f>
        <v/>
      </c>
    </row>
    <row r="2606" customFormat="false" ht="18" hidden="false" customHeight="true" outlineLevel="0" collapsed="false">
      <c r="A2606" s="17" t="s">
        <v>9</v>
      </c>
      <c r="B2606" s="18" t="s">
        <v>189</v>
      </c>
      <c r="C2606" s="19" t="s">
        <v>48</v>
      </c>
      <c r="D2606" s="20" t="n">
        <v>4</v>
      </c>
      <c r="E2606" s="20" t="n">
        <v>1</v>
      </c>
      <c r="F2606" s="21" t="n">
        <f aca="false">'📋 Matches'!E14</f>
        <v>0</v>
      </c>
      <c r="G2606" s="21" t="n">
        <f aca="false">'📋 Matches'!F14</f>
        <v>0</v>
      </c>
      <c r="H2606" s="22" t="str">
        <f aca="false">IF(AND(ISNUMBER(F2606),ISNUMBER(G2606)),IF(SIGN(D2606-E2606)=SIGN(F2606-G2606),48,0),"")</f>
        <v/>
      </c>
      <c r="I2606" s="22" t="str">
        <f aca="false">IF(AND(ISNUMBER(F2606),ISNUMBER(G2606)),IF(D2606=F2606,15,0),"")</f>
        <v/>
      </c>
      <c r="J2606" s="22" t="str">
        <f aca="false">IF(AND(ISNUMBER(F2606),ISNUMBER(G2606)),IF(E2606=G2606,15,0),"")</f>
        <v/>
      </c>
      <c r="K2606" s="22" t="str">
        <f aca="false">IF(AND(ISNUMBER(F2606),ISNUMBER(G2606)),IF(ABS(D2606-E2606)=ABS(F2606-G2606),12,0),"")</f>
        <v/>
      </c>
      <c r="L2606" s="23" t="str">
        <f aca="false">IF(ISNUMBER(H2606),H2606+I2606+J2606+K2606,"")</f>
        <v/>
      </c>
    </row>
    <row r="2607" customFormat="false" ht="18" hidden="false" customHeight="true" outlineLevel="0" collapsed="false">
      <c r="A2607" s="17" t="s">
        <v>9</v>
      </c>
      <c r="B2607" s="18" t="s">
        <v>189</v>
      </c>
      <c r="C2607" s="19" t="s">
        <v>51</v>
      </c>
      <c r="D2607" s="20" t="n">
        <v>1</v>
      </c>
      <c r="E2607" s="20" t="n">
        <v>0</v>
      </c>
      <c r="F2607" s="21" t="n">
        <f aca="false">'📋 Matches'!E15</f>
        <v>0</v>
      </c>
      <c r="G2607" s="21" t="n">
        <f aca="false">'📋 Matches'!F15</f>
        <v>0</v>
      </c>
      <c r="H2607" s="22" t="str">
        <f aca="false">IF(AND(ISNUMBER(F2607),ISNUMBER(G2607)),IF(SIGN(D2607-E2607)=SIGN(F2607-G2607),48,0),"")</f>
        <v/>
      </c>
      <c r="I2607" s="22" t="str">
        <f aca="false">IF(AND(ISNUMBER(F2607),ISNUMBER(G2607)),IF(D2607=F2607,15,0),"")</f>
        <v/>
      </c>
      <c r="J2607" s="22" t="str">
        <f aca="false">IF(AND(ISNUMBER(F2607),ISNUMBER(G2607)),IF(E2607=G2607,15,0),"")</f>
        <v/>
      </c>
      <c r="K2607" s="22" t="str">
        <f aca="false">IF(AND(ISNUMBER(F2607),ISNUMBER(G2607)),IF(ABS(D2607-E2607)=ABS(F2607-G2607),12,0),"")</f>
        <v/>
      </c>
      <c r="L2607" s="23" t="str">
        <f aca="false">IF(ISNUMBER(H2607),H2607+I2607+J2607+K2607,"")</f>
        <v/>
      </c>
    </row>
    <row r="2608" customFormat="false" ht="18" hidden="false" customHeight="true" outlineLevel="0" collapsed="false">
      <c r="A2608" s="17" t="s">
        <v>9</v>
      </c>
      <c r="B2608" s="18" t="s">
        <v>189</v>
      </c>
      <c r="C2608" s="19" t="s">
        <v>54</v>
      </c>
      <c r="D2608" s="20" t="n">
        <v>0</v>
      </c>
      <c r="E2608" s="20" t="n">
        <v>2</v>
      </c>
      <c r="F2608" s="21" t="n">
        <f aca="false">'📋 Matches'!E16</f>
        <v>0</v>
      </c>
      <c r="G2608" s="21" t="n">
        <f aca="false">'📋 Matches'!F16</f>
        <v>0</v>
      </c>
      <c r="H2608" s="22" t="str">
        <f aca="false">IF(AND(ISNUMBER(F2608),ISNUMBER(G2608)),IF(SIGN(D2608-E2608)=SIGN(F2608-G2608),48,0),"")</f>
        <v/>
      </c>
      <c r="I2608" s="22" t="str">
        <f aca="false">IF(AND(ISNUMBER(F2608),ISNUMBER(G2608)),IF(D2608=F2608,15,0),"")</f>
        <v/>
      </c>
      <c r="J2608" s="22" t="str">
        <f aca="false">IF(AND(ISNUMBER(F2608),ISNUMBER(G2608)),IF(E2608=G2608,15,0),"")</f>
        <v/>
      </c>
      <c r="K2608" s="22" t="str">
        <f aca="false">IF(AND(ISNUMBER(F2608),ISNUMBER(G2608)),IF(ABS(D2608-E2608)=ABS(F2608-G2608),12,0),"")</f>
        <v/>
      </c>
      <c r="L2608" s="23" t="str">
        <f aca="false">IF(ISNUMBER(H2608),H2608+I2608+J2608+K2608,"")</f>
        <v/>
      </c>
    </row>
    <row r="2609" customFormat="false" ht="18" hidden="false" customHeight="true" outlineLevel="0" collapsed="false">
      <c r="A2609" s="17" t="s">
        <v>9</v>
      </c>
      <c r="B2609" s="18" t="s">
        <v>189</v>
      </c>
      <c r="C2609" s="19" t="s">
        <v>57</v>
      </c>
      <c r="D2609" s="20" t="n">
        <v>0</v>
      </c>
      <c r="E2609" s="20" t="n">
        <v>0</v>
      </c>
      <c r="F2609" s="21" t="n">
        <f aca="false">'📋 Matches'!E17</f>
        <v>0</v>
      </c>
      <c r="G2609" s="21" t="n">
        <f aca="false">'📋 Matches'!F17</f>
        <v>0</v>
      </c>
      <c r="H2609" s="22" t="str">
        <f aca="false">IF(AND(ISNUMBER(F2609),ISNUMBER(G2609)),IF(SIGN(D2609-E2609)=SIGN(F2609-G2609),48,0),"")</f>
        <v/>
      </c>
      <c r="I2609" s="22" t="str">
        <f aca="false">IF(AND(ISNUMBER(F2609),ISNUMBER(G2609)),IF(D2609=F2609,15,0),"")</f>
        <v/>
      </c>
      <c r="J2609" s="22" t="str">
        <f aca="false">IF(AND(ISNUMBER(F2609),ISNUMBER(G2609)),IF(E2609=G2609,15,0),"")</f>
        <v/>
      </c>
      <c r="K2609" s="22" t="str">
        <f aca="false">IF(AND(ISNUMBER(F2609),ISNUMBER(G2609)),IF(ABS(D2609-E2609)=ABS(F2609-G2609),12,0),"")</f>
        <v/>
      </c>
      <c r="L2609" s="23" t="str">
        <f aca="false">IF(ISNUMBER(H2609),H2609+I2609+J2609+K2609,"")</f>
        <v/>
      </c>
    </row>
    <row r="2610" customFormat="false" ht="18" hidden="false" customHeight="true" outlineLevel="0" collapsed="false">
      <c r="A2610" s="17" t="s">
        <v>9</v>
      </c>
      <c r="B2610" s="18" t="s">
        <v>189</v>
      </c>
      <c r="C2610" s="19" t="s">
        <v>60</v>
      </c>
      <c r="D2610" s="20" t="n">
        <v>2</v>
      </c>
      <c r="E2610" s="20" t="n">
        <v>0</v>
      </c>
      <c r="F2610" s="21" t="n">
        <f aca="false">'📋 Matches'!E18</f>
        <v>0</v>
      </c>
      <c r="G2610" s="21" t="n">
        <f aca="false">'📋 Matches'!F18</f>
        <v>0</v>
      </c>
      <c r="H2610" s="22" t="str">
        <f aca="false">IF(AND(ISNUMBER(F2610),ISNUMBER(G2610)),IF(SIGN(D2610-E2610)=SIGN(F2610-G2610),48,0),"")</f>
        <v/>
      </c>
      <c r="I2610" s="22" t="str">
        <f aca="false">IF(AND(ISNUMBER(F2610),ISNUMBER(G2610)),IF(D2610=F2610,15,0),"")</f>
        <v/>
      </c>
      <c r="J2610" s="22" t="str">
        <f aca="false">IF(AND(ISNUMBER(F2610),ISNUMBER(G2610)),IF(E2610=G2610,15,0),"")</f>
        <v/>
      </c>
      <c r="K2610" s="22" t="str">
        <f aca="false">IF(AND(ISNUMBER(F2610),ISNUMBER(G2610)),IF(ABS(D2610-E2610)=ABS(F2610-G2610),12,0),"")</f>
        <v/>
      </c>
      <c r="L2610" s="23" t="str">
        <f aca="false">IF(ISNUMBER(H2610),H2610+I2610+J2610+K2610,"")</f>
        <v/>
      </c>
    </row>
    <row r="2611" customFormat="false" ht="18" hidden="false" customHeight="true" outlineLevel="0" collapsed="false">
      <c r="A2611" s="17" t="s">
        <v>9</v>
      </c>
      <c r="B2611" s="18" t="s">
        <v>189</v>
      </c>
      <c r="C2611" s="19" t="s">
        <v>63</v>
      </c>
      <c r="D2611" s="20" t="n">
        <v>0</v>
      </c>
      <c r="E2611" s="20" t="n">
        <v>2</v>
      </c>
      <c r="F2611" s="21" t="n">
        <f aca="false">'📋 Matches'!E19</f>
        <v>0</v>
      </c>
      <c r="G2611" s="21" t="n">
        <f aca="false">'📋 Matches'!F19</f>
        <v>0</v>
      </c>
      <c r="H2611" s="22" t="str">
        <f aca="false">IF(AND(ISNUMBER(F2611),ISNUMBER(G2611)),IF(SIGN(D2611-E2611)=SIGN(F2611-G2611),48,0),"")</f>
        <v/>
      </c>
      <c r="I2611" s="22" t="str">
        <f aca="false">IF(AND(ISNUMBER(F2611),ISNUMBER(G2611)),IF(D2611=F2611,15,0),"")</f>
        <v/>
      </c>
      <c r="J2611" s="22" t="str">
        <f aca="false">IF(AND(ISNUMBER(F2611),ISNUMBER(G2611)),IF(E2611=G2611,15,0),"")</f>
        <v/>
      </c>
      <c r="K2611" s="22" t="str">
        <f aca="false">IF(AND(ISNUMBER(F2611),ISNUMBER(G2611)),IF(ABS(D2611-E2611)=ABS(F2611-G2611),12,0),"")</f>
        <v/>
      </c>
      <c r="L2611" s="23" t="str">
        <f aca="false">IF(ISNUMBER(H2611),H2611+I2611+J2611+K2611,"")</f>
        <v/>
      </c>
    </row>
    <row r="2612" customFormat="false" ht="18" hidden="false" customHeight="true" outlineLevel="0" collapsed="false">
      <c r="A2612" s="17" t="s">
        <v>9</v>
      </c>
      <c r="B2612" s="18" t="s">
        <v>189</v>
      </c>
      <c r="C2612" s="19" t="s">
        <v>66</v>
      </c>
      <c r="D2612" s="20" t="n">
        <v>2</v>
      </c>
      <c r="E2612" s="20" t="n">
        <v>0</v>
      </c>
      <c r="F2612" s="21" t="n">
        <f aca="false">'📋 Matches'!E20</f>
        <v>0</v>
      </c>
      <c r="G2612" s="21" t="n">
        <f aca="false">'📋 Matches'!F20</f>
        <v>0</v>
      </c>
      <c r="H2612" s="22" t="str">
        <f aca="false">IF(AND(ISNUMBER(F2612),ISNUMBER(G2612)),IF(SIGN(D2612-E2612)=SIGN(F2612-G2612),48,0),"")</f>
        <v/>
      </c>
      <c r="I2612" s="22" t="str">
        <f aca="false">IF(AND(ISNUMBER(F2612),ISNUMBER(G2612)),IF(D2612=F2612,15,0),"")</f>
        <v/>
      </c>
      <c r="J2612" s="22" t="str">
        <f aca="false">IF(AND(ISNUMBER(F2612),ISNUMBER(G2612)),IF(E2612=G2612,15,0),"")</f>
        <v/>
      </c>
      <c r="K2612" s="22" t="str">
        <f aca="false">IF(AND(ISNUMBER(F2612),ISNUMBER(G2612)),IF(ABS(D2612-E2612)=ABS(F2612-G2612),12,0),"")</f>
        <v/>
      </c>
      <c r="L2612" s="23" t="str">
        <f aca="false">IF(ISNUMBER(H2612),H2612+I2612+J2612+K2612,"")</f>
        <v/>
      </c>
    </row>
    <row r="2613" customFormat="false" ht="18" hidden="false" customHeight="true" outlineLevel="0" collapsed="false">
      <c r="A2613" s="17" t="s">
        <v>9</v>
      </c>
      <c r="B2613" s="18" t="s">
        <v>189</v>
      </c>
      <c r="C2613" s="19" t="s">
        <v>69</v>
      </c>
      <c r="D2613" s="20" t="n">
        <v>3</v>
      </c>
      <c r="E2613" s="20" t="n">
        <v>0</v>
      </c>
      <c r="F2613" s="21" t="n">
        <f aca="false">'📋 Matches'!E21</f>
        <v>0</v>
      </c>
      <c r="G2613" s="21" t="n">
        <f aca="false">'📋 Matches'!F21</f>
        <v>0</v>
      </c>
      <c r="H2613" s="22" t="str">
        <f aca="false">IF(AND(ISNUMBER(F2613),ISNUMBER(G2613)),IF(SIGN(D2613-E2613)=SIGN(F2613-G2613),48,0),"")</f>
        <v/>
      </c>
      <c r="I2613" s="22" t="str">
        <f aca="false">IF(AND(ISNUMBER(F2613),ISNUMBER(G2613)),IF(D2613=F2613,15,0),"")</f>
        <v/>
      </c>
      <c r="J2613" s="22" t="str">
        <f aca="false">IF(AND(ISNUMBER(F2613),ISNUMBER(G2613)),IF(E2613=G2613,15,0),"")</f>
        <v/>
      </c>
      <c r="K2613" s="22" t="str">
        <f aca="false">IF(AND(ISNUMBER(F2613),ISNUMBER(G2613)),IF(ABS(D2613-E2613)=ABS(F2613-G2613),12,0),"")</f>
        <v/>
      </c>
      <c r="L2613" s="23" t="str">
        <f aca="false">IF(ISNUMBER(H2613),H2613+I2613+J2613+K2613,"")</f>
        <v/>
      </c>
    </row>
    <row r="2614" customFormat="false" ht="18" hidden="false" customHeight="true" outlineLevel="0" collapsed="false">
      <c r="A2614" s="17" t="s">
        <v>9</v>
      </c>
      <c r="B2614" s="18" t="s">
        <v>189</v>
      </c>
      <c r="C2614" s="19" t="s">
        <v>72</v>
      </c>
      <c r="D2614" s="20" t="n">
        <v>2</v>
      </c>
      <c r="E2614" s="20" t="n">
        <v>0</v>
      </c>
      <c r="F2614" s="21" t="n">
        <f aca="false">'📋 Matches'!E22</f>
        <v>0</v>
      </c>
      <c r="G2614" s="21" t="n">
        <f aca="false">'📋 Matches'!F22</f>
        <v>0</v>
      </c>
      <c r="H2614" s="22" t="str">
        <f aca="false">IF(AND(ISNUMBER(F2614),ISNUMBER(G2614)),IF(SIGN(D2614-E2614)=SIGN(F2614-G2614),48,0),"")</f>
        <v/>
      </c>
      <c r="I2614" s="22" t="str">
        <f aca="false">IF(AND(ISNUMBER(F2614),ISNUMBER(G2614)),IF(D2614=F2614,15,0),"")</f>
        <v/>
      </c>
      <c r="J2614" s="22" t="str">
        <f aca="false">IF(AND(ISNUMBER(F2614),ISNUMBER(G2614)),IF(E2614=G2614,15,0),"")</f>
        <v/>
      </c>
      <c r="K2614" s="22" t="str">
        <f aca="false">IF(AND(ISNUMBER(F2614),ISNUMBER(G2614)),IF(ABS(D2614-E2614)=ABS(F2614-G2614),12,0),"")</f>
        <v/>
      </c>
      <c r="L2614" s="23" t="str">
        <f aca="false">IF(ISNUMBER(H2614),H2614+I2614+J2614+K2614,"")</f>
        <v/>
      </c>
    </row>
    <row r="2615" customFormat="false" ht="18" hidden="false" customHeight="true" outlineLevel="0" collapsed="false">
      <c r="A2615" s="17" t="s">
        <v>9</v>
      </c>
      <c r="B2615" s="18" t="s">
        <v>189</v>
      </c>
      <c r="C2615" s="19" t="s">
        <v>75</v>
      </c>
      <c r="D2615" s="20" t="n">
        <v>1</v>
      </c>
      <c r="E2615" s="20" t="n">
        <v>1</v>
      </c>
      <c r="F2615" s="21" t="n">
        <f aca="false">'📋 Matches'!E23</f>
        <v>0</v>
      </c>
      <c r="G2615" s="21" t="n">
        <f aca="false">'📋 Matches'!F23</f>
        <v>0</v>
      </c>
      <c r="H2615" s="22" t="str">
        <f aca="false">IF(AND(ISNUMBER(F2615),ISNUMBER(G2615)),IF(SIGN(D2615-E2615)=SIGN(F2615-G2615),48,0),"")</f>
        <v/>
      </c>
      <c r="I2615" s="22" t="str">
        <f aca="false">IF(AND(ISNUMBER(F2615),ISNUMBER(G2615)),IF(D2615=F2615,15,0),"")</f>
        <v/>
      </c>
      <c r="J2615" s="22" t="str">
        <f aca="false">IF(AND(ISNUMBER(F2615),ISNUMBER(G2615)),IF(E2615=G2615,15,0),"")</f>
        <v/>
      </c>
      <c r="K2615" s="22" t="str">
        <f aca="false">IF(AND(ISNUMBER(F2615),ISNUMBER(G2615)),IF(ABS(D2615-E2615)=ABS(F2615-G2615),12,0),"")</f>
        <v/>
      </c>
      <c r="L2615" s="23" t="str">
        <f aca="false">IF(ISNUMBER(H2615),H2615+I2615+J2615+K2615,"")</f>
        <v/>
      </c>
    </row>
    <row r="2616" customFormat="false" ht="18" hidden="false" customHeight="true" outlineLevel="0" collapsed="false">
      <c r="A2616" s="17" t="s">
        <v>9</v>
      </c>
      <c r="B2616" s="18" t="s">
        <v>189</v>
      </c>
      <c r="C2616" s="19" t="s">
        <v>78</v>
      </c>
      <c r="D2616" s="20" t="n">
        <v>0</v>
      </c>
      <c r="E2616" s="20" t="n">
        <v>1</v>
      </c>
      <c r="F2616" s="21" t="n">
        <f aca="false">'📋 Matches'!E24</f>
        <v>0</v>
      </c>
      <c r="G2616" s="21" t="n">
        <f aca="false">'📋 Matches'!F24</f>
        <v>0</v>
      </c>
      <c r="H2616" s="22" t="str">
        <f aca="false">IF(AND(ISNUMBER(F2616),ISNUMBER(G2616)),IF(SIGN(D2616-E2616)=SIGN(F2616-G2616),48,0),"")</f>
        <v/>
      </c>
      <c r="I2616" s="22" t="str">
        <f aca="false">IF(AND(ISNUMBER(F2616),ISNUMBER(G2616)),IF(D2616=F2616,15,0),"")</f>
        <v/>
      </c>
      <c r="J2616" s="22" t="str">
        <f aca="false">IF(AND(ISNUMBER(F2616),ISNUMBER(G2616)),IF(E2616=G2616,15,0),"")</f>
        <v/>
      </c>
      <c r="K2616" s="22" t="str">
        <f aca="false">IF(AND(ISNUMBER(F2616),ISNUMBER(G2616)),IF(ABS(D2616-E2616)=ABS(F2616-G2616),12,0),"")</f>
        <v/>
      </c>
      <c r="L2616" s="23" t="str">
        <f aca="false">IF(ISNUMBER(H2616),H2616+I2616+J2616+K2616,"")</f>
        <v/>
      </c>
    </row>
    <row r="2617" customFormat="false" ht="18" hidden="false" customHeight="true" outlineLevel="0" collapsed="false">
      <c r="A2617" s="17" t="s">
        <v>9</v>
      </c>
      <c r="B2617" s="18" t="s">
        <v>189</v>
      </c>
      <c r="C2617" s="19" t="s">
        <v>81</v>
      </c>
      <c r="D2617" s="20" t="n">
        <v>0</v>
      </c>
      <c r="E2617" s="20" t="n">
        <v>2</v>
      </c>
      <c r="F2617" s="21" t="n">
        <f aca="false">'📋 Matches'!E25</f>
        <v>0</v>
      </c>
      <c r="G2617" s="21" t="n">
        <f aca="false">'📋 Matches'!F25</f>
        <v>0</v>
      </c>
      <c r="H2617" s="22" t="str">
        <f aca="false">IF(AND(ISNUMBER(F2617),ISNUMBER(G2617)),IF(SIGN(D2617-E2617)=SIGN(F2617-G2617),48,0),"")</f>
        <v/>
      </c>
      <c r="I2617" s="22" t="str">
        <f aca="false">IF(AND(ISNUMBER(F2617),ISNUMBER(G2617)),IF(D2617=F2617,15,0),"")</f>
        <v/>
      </c>
      <c r="J2617" s="22" t="str">
        <f aca="false">IF(AND(ISNUMBER(F2617),ISNUMBER(G2617)),IF(E2617=G2617,15,0),"")</f>
        <v/>
      </c>
      <c r="K2617" s="22" t="str">
        <f aca="false">IF(AND(ISNUMBER(F2617),ISNUMBER(G2617)),IF(ABS(D2617-E2617)=ABS(F2617-G2617),12,0),"")</f>
        <v/>
      </c>
      <c r="L2617" s="23" t="str">
        <f aca="false">IF(ISNUMBER(H2617),H2617+I2617+J2617+K2617,"")</f>
        <v/>
      </c>
    </row>
    <row r="2618" customFormat="false" ht="18" hidden="false" customHeight="true" outlineLevel="0" collapsed="false">
      <c r="A2618" s="25" t="s">
        <v>9</v>
      </c>
      <c r="B2618" s="26" t="s">
        <v>190</v>
      </c>
      <c r="C2618" s="27" t="s">
        <v>10</v>
      </c>
      <c r="D2618" s="28" t="n">
        <v>2</v>
      </c>
      <c r="E2618" s="28" t="n">
        <v>0</v>
      </c>
      <c r="F2618" s="29" t="n">
        <f aca="false">'📋 Matches'!E2</f>
        <v>2</v>
      </c>
      <c r="G2618" s="29" t="n">
        <f aca="false">'📋 Matches'!F2</f>
        <v>0</v>
      </c>
      <c r="H2618" s="22" t="n">
        <f aca="false">IF(AND(ISNUMBER(F2618),ISNUMBER(G2618)),IF(SIGN(D2618-E2618)=SIGN(F2618-G2618),48,0),"")</f>
        <v>48</v>
      </c>
      <c r="I2618" s="22" t="n">
        <f aca="false">IF(AND(ISNUMBER(F2618),ISNUMBER(G2618)),IF(D2618=F2618,15,0),"")</f>
        <v>15</v>
      </c>
      <c r="J2618" s="22" t="n">
        <f aca="false">IF(AND(ISNUMBER(F2618),ISNUMBER(G2618)),IF(E2618=G2618,15,0),"")</f>
        <v>15</v>
      </c>
      <c r="K2618" s="22" t="n">
        <f aca="false">IF(AND(ISNUMBER(F2618),ISNUMBER(G2618)),IF(ABS(D2618-E2618)=ABS(F2618-G2618),12,0),"")</f>
        <v>12</v>
      </c>
      <c r="L2618" s="23" t="n">
        <f aca="false">IF(ISNUMBER(H2618),H2618+I2618+J2618+K2618,"")</f>
        <v>90</v>
      </c>
    </row>
    <row r="2619" customFormat="false" ht="18" hidden="false" customHeight="true" outlineLevel="0" collapsed="false">
      <c r="A2619" s="25" t="s">
        <v>9</v>
      </c>
      <c r="B2619" s="26" t="s">
        <v>190</v>
      </c>
      <c r="C2619" s="27" t="s">
        <v>14</v>
      </c>
      <c r="D2619" s="28" t="n">
        <v>2</v>
      </c>
      <c r="E2619" s="28" t="n">
        <v>2</v>
      </c>
      <c r="F2619" s="29" t="n">
        <f aca="false">'📋 Matches'!E3</f>
        <v>2</v>
      </c>
      <c r="G2619" s="29" t="n">
        <f aca="false">'📋 Matches'!F3</f>
        <v>1</v>
      </c>
      <c r="H2619" s="22" t="n">
        <f aca="false">IF(AND(ISNUMBER(F2619),ISNUMBER(G2619)),IF(SIGN(D2619-E2619)=SIGN(F2619-G2619),48,0),"")</f>
        <v>0</v>
      </c>
      <c r="I2619" s="22" t="n">
        <f aca="false">IF(AND(ISNUMBER(F2619),ISNUMBER(G2619)),IF(D2619=F2619,15,0),"")</f>
        <v>15</v>
      </c>
      <c r="J2619" s="22" t="n">
        <f aca="false">IF(AND(ISNUMBER(F2619),ISNUMBER(G2619)),IF(E2619=G2619,15,0),"")</f>
        <v>0</v>
      </c>
      <c r="K2619" s="22" t="n">
        <f aca="false">IF(AND(ISNUMBER(F2619),ISNUMBER(G2619)),IF(ABS(D2619-E2619)=ABS(F2619-G2619),12,0),"")</f>
        <v>0</v>
      </c>
      <c r="L2619" s="23" t="n">
        <f aca="false">IF(ISNUMBER(H2619),H2619+I2619+J2619+K2619,"")</f>
        <v>15</v>
      </c>
    </row>
    <row r="2620" customFormat="false" ht="18" hidden="false" customHeight="true" outlineLevel="0" collapsed="false">
      <c r="A2620" s="25" t="s">
        <v>9</v>
      </c>
      <c r="B2620" s="26" t="s">
        <v>190</v>
      </c>
      <c r="C2620" s="27" t="s">
        <v>17</v>
      </c>
      <c r="D2620" s="28" t="n">
        <v>1</v>
      </c>
      <c r="E2620" s="28" t="n">
        <v>2</v>
      </c>
      <c r="F2620" s="29" t="n">
        <f aca="false">'📋 Matches'!E4</f>
        <v>1</v>
      </c>
      <c r="G2620" s="29" t="n">
        <f aca="false">'📋 Matches'!F4</f>
        <v>1</v>
      </c>
      <c r="H2620" s="22" t="n">
        <f aca="false">IF(AND(ISNUMBER(F2620),ISNUMBER(G2620)),IF(SIGN(D2620-E2620)=SIGN(F2620-G2620),48,0),"")</f>
        <v>0</v>
      </c>
      <c r="I2620" s="22" t="n">
        <f aca="false">IF(AND(ISNUMBER(F2620),ISNUMBER(G2620)),IF(D2620=F2620,15,0),"")</f>
        <v>15</v>
      </c>
      <c r="J2620" s="22" t="n">
        <f aca="false">IF(AND(ISNUMBER(F2620),ISNUMBER(G2620)),IF(E2620=G2620,15,0),"")</f>
        <v>0</v>
      </c>
      <c r="K2620" s="22" t="n">
        <f aca="false">IF(AND(ISNUMBER(F2620),ISNUMBER(G2620)),IF(ABS(D2620-E2620)=ABS(F2620-G2620),12,0),"")</f>
        <v>0</v>
      </c>
      <c r="L2620" s="23" t="n">
        <f aca="false">IF(ISNUMBER(H2620),H2620+I2620+J2620+K2620,"")</f>
        <v>15</v>
      </c>
    </row>
    <row r="2621" customFormat="false" ht="18" hidden="false" customHeight="true" outlineLevel="0" collapsed="false">
      <c r="A2621" s="25" t="s">
        <v>9</v>
      </c>
      <c r="B2621" s="26" t="s">
        <v>190</v>
      </c>
      <c r="C2621" s="27" t="s">
        <v>20</v>
      </c>
      <c r="D2621" s="28" t="n">
        <v>3</v>
      </c>
      <c r="E2621" s="28" t="n">
        <v>0</v>
      </c>
      <c r="F2621" s="29" t="n">
        <f aca="false">'📋 Matches'!E5</f>
        <v>4</v>
      </c>
      <c r="G2621" s="29" t="n">
        <f aca="false">'📋 Matches'!F5</f>
        <v>1</v>
      </c>
      <c r="H2621" s="22" t="n">
        <f aca="false">IF(AND(ISNUMBER(F2621),ISNUMBER(G2621)),IF(SIGN(D2621-E2621)=SIGN(F2621-G2621),48,0),"")</f>
        <v>48</v>
      </c>
      <c r="I2621" s="22" t="n">
        <f aca="false">IF(AND(ISNUMBER(F2621),ISNUMBER(G2621)),IF(D2621=F2621,15,0),"")</f>
        <v>0</v>
      </c>
      <c r="J2621" s="22" t="n">
        <f aca="false">IF(AND(ISNUMBER(F2621),ISNUMBER(G2621)),IF(E2621=G2621,15,0),"")</f>
        <v>0</v>
      </c>
      <c r="K2621" s="22" t="n">
        <f aca="false">IF(AND(ISNUMBER(F2621),ISNUMBER(G2621)),IF(ABS(D2621-E2621)=ABS(F2621-G2621),12,0),"")</f>
        <v>12</v>
      </c>
      <c r="L2621" s="23" t="n">
        <f aca="false">IF(ISNUMBER(H2621),H2621+I2621+J2621+K2621,"")</f>
        <v>60</v>
      </c>
    </row>
    <row r="2622" customFormat="false" ht="18" hidden="false" customHeight="true" outlineLevel="0" collapsed="false">
      <c r="A2622" s="25" t="s">
        <v>9</v>
      </c>
      <c r="B2622" s="26" t="s">
        <v>190</v>
      </c>
      <c r="C2622" s="27" t="s">
        <v>23</v>
      </c>
      <c r="D2622" s="28" t="n">
        <v>1</v>
      </c>
      <c r="E2622" s="28" t="n">
        <v>4</v>
      </c>
      <c r="F2622" s="29" t="n">
        <f aca="false">'📋 Matches'!E6</f>
        <v>0</v>
      </c>
      <c r="G2622" s="29" t="n">
        <f aca="false">'📋 Matches'!F6</f>
        <v>0</v>
      </c>
      <c r="H2622" s="22" t="str">
        <f aca="false">IF(AND(ISNUMBER(F2622),ISNUMBER(G2622)),IF(SIGN(D2622-E2622)=SIGN(F2622-G2622),48,0),"")</f>
        <v/>
      </c>
      <c r="I2622" s="22" t="str">
        <f aca="false">IF(AND(ISNUMBER(F2622),ISNUMBER(G2622)),IF(D2622=F2622,15,0),"")</f>
        <v/>
      </c>
      <c r="J2622" s="22" t="str">
        <f aca="false">IF(AND(ISNUMBER(F2622),ISNUMBER(G2622)),IF(E2622=G2622,15,0),"")</f>
        <v/>
      </c>
      <c r="K2622" s="22" t="str">
        <f aca="false">IF(AND(ISNUMBER(F2622),ISNUMBER(G2622)),IF(ABS(D2622-E2622)=ABS(F2622-G2622),12,0),"")</f>
        <v/>
      </c>
      <c r="L2622" s="23" t="str">
        <f aca="false">IF(ISNUMBER(H2622),H2622+I2622+J2622+K2622,"")</f>
        <v/>
      </c>
    </row>
    <row r="2623" customFormat="false" ht="18" hidden="false" customHeight="true" outlineLevel="0" collapsed="false">
      <c r="A2623" s="25" t="s">
        <v>9</v>
      </c>
      <c r="B2623" s="26" t="s">
        <v>190</v>
      </c>
      <c r="C2623" s="27" t="s">
        <v>27</v>
      </c>
      <c r="D2623" s="28" t="n">
        <v>2</v>
      </c>
      <c r="E2623" s="28" t="n">
        <v>1</v>
      </c>
      <c r="F2623" s="29" t="n">
        <f aca="false">'📋 Matches'!E7</f>
        <v>0</v>
      </c>
      <c r="G2623" s="29" t="n">
        <f aca="false">'📋 Matches'!F7</f>
        <v>0</v>
      </c>
      <c r="H2623" s="22" t="str">
        <f aca="false">IF(AND(ISNUMBER(F2623),ISNUMBER(G2623)),IF(SIGN(D2623-E2623)=SIGN(F2623-G2623),48,0),"")</f>
        <v/>
      </c>
      <c r="I2623" s="22" t="str">
        <f aca="false">IF(AND(ISNUMBER(F2623),ISNUMBER(G2623)),IF(D2623=F2623,15,0),"")</f>
        <v/>
      </c>
      <c r="J2623" s="22" t="str">
        <f aca="false">IF(AND(ISNUMBER(F2623),ISNUMBER(G2623)),IF(E2623=G2623,15,0),"")</f>
        <v/>
      </c>
      <c r="K2623" s="22" t="str">
        <f aca="false">IF(AND(ISNUMBER(F2623),ISNUMBER(G2623)),IF(ABS(D2623-E2623)=ABS(F2623-G2623),12,0),"")</f>
        <v/>
      </c>
      <c r="L2623" s="23" t="str">
        <f aca="false">IF(ISNUMBER(H2623),H2623+I2623+J2623+K2623,"")</f>
        <v/>
      </c>
    </row>
    <row r="2624" customFormat="false" ht="18" hidden="false" customHeight="true" outlineLevel="0" collapsed="false">
      <c r="A2624" s="25" t="s">
        <v>9</v>
      </c>
      <c r="B2624" s="26" t="s">
        <v>190</v>
      </c>
      <c r="C2624" s="27" t="s">
        <v>30</v>
      </c>
      <c r="D2624" s="28" t="n">
        <v>0</v>
      </c>
      <c r="E2624" s="28" t="n">
        <v>2</v>
      </c>
      <c r="F2624" s="29" t="n">
        <f aca="false">'📋 Matches'!E8</f>
        <v>0</v>
      </c>
      <c r="G2624" s="29" t="n">
        <f aca="false">'📋 Matches'!F8</f>
        <v>0</v>
      </c>
      <c r="H2624" s="22" t="str">
        <f aca="false">IF(AND(ISNUMBER(F2624),ISNUMBER(G2624)),IF(SIGN(D2624-E2624)=SIGN(F2624-G2624),48,0),"")</f>
        <v/>
      </c>
      <c r="I2624" s="22" t="str">
        <f aca="false">IF(AND(ISNUMBER(F2624),ISNUMBER(G2624)),IF(D2624=F2624,15,0),"")</f>
        <v/>
      </c>
      <c r="J2624" s="22" t="str">
        <f aca="false">IF(AND(ISNUMBER(F2624),ISNUMBER(G2624)),IF(E2624=G2624,15,0),"")</f>
        <v/>
      </c>
      <c r="K2624" s="22" t="str">
        <f aca="false">IF(AND(ISNUMBER(F2624),ISNUMBER(G2624)),IF(ABS(D2624-E2624)=ABS(F2624-G2624),12,0),"")</f>
        <v/>
      </c>
      <c r="L2624" s="23" t="str">
        <f aca="false">IF(ISNUMBER(H2624),H2624+I2624+J2624+K2624,"")</f>
        <v/>
      </c>
    </row>
    <row r="2625" customFormat="false" ht="18" hidden="false" customHeight="true" outlineLevel="0" collapsed="false">
      <c r="A2625" s="25" t="s">
        <v>9</v>
      </c>
      <c r="B2625" s="26" t="s">
        <v>190</v>
      </c>
      <c r="C2625" s="27" t="s">
        <v>33</v>
      </c>
      <c r="D2625" s="28" t="n">
        <v>1</v>
      </c>
      <c r="E2625" s="28" t="n">
        <v>3</v>
      </c>
      <c r="F2625" s="29" t="n">
        <f aca="false">'📋 Matches'!E9</f>
        <v>0</v>
      </c>
      <c r="G2625" s="29" t="n">
        <f aca="false">'📋 Matches'!F9</f>
        <v>0</v>
      </c>
      <c r="H2625" s="22" t="str">
        <f aca="false">IF(AND(ISNUMBER(F2625),ISNUMBER(G2625)),IF(SIGN(D2625-E2625)=SIGN(F2625-G2625),48,0),"")</f>
        <v/>
      </c>
      <c r="I2625" s="22" t="str">
        <f aca="false">IF(AND(ISNUMBER(F2625),ISNUMBER(G2625)),IF(D2625=F2625,15,0),"")</f>
        <v/>
      </c>
      <c r="J2625" s="22" t="str">
        <f aca="false">IF(AND(ISNUMBER(F2625),ISNUMBER(G2625)),IF(E2625=G2625,15,0),"")</f>
        <v/>
      </c>
      <c r="K2625" s="22" t="str">
        <f aca="false">IF(AND(ISNUMBER(F2625),ISNUMBER(G2625)),IF(ABS(D2625-E2625)=ABS(F2625-G2625),12,0),"")</f>
        <v/>
      </c>
      <c r="L2625" s="23" t="str">
        <f aca="false">IF(ISNUMBER(H2625),H2625+I2625+J2625+K2625,"")</f>
        <v/>
      </c>
    </row>
    <row r="2626" customFormat="false" ht="18" hidden="false" customHeight="true" outlineLevel="0" collapsed="false">
      <c r="A2626" s="25" t="s">
        <v>9</v>
      </c>
      <c r="B2626" s="26" t="s">
        <v>190</v>
      </c>
      <c r="C2626" s="27" t="s">
        <v>36</v>
      </c>
      <c r="D2626" s="28" t="n">
        <v>5</v>
      </c>
      <c r="E2626" s="28" t="n">
        <v>0</v>
      </c>
      <c r="F2626" s="29" t="n">
        <f aca="false">'📋 Matches'!E10</f>
        <v>0</v>
      </c>
      <c r="G2626" s="29" t="n">
        <f aca="false">'📋 Matches'!F10</f>
        <v>0</v>
      </c>
      <c r="H2626" s="22" t="str">
        <f aca="false">IF(AND(ISNUMBER(F2626),ISNUMBER(G2626)),IF(SIGN(D2626-E2626)=SIGN(F2626-G2626),48,0),"")</f>
        <v/>
      </c>
      <c r="I2626" s="22" t="str">
        <f aca="false">IF(AND(ISNUMBER(F2626),ISNUMBER(G2626)),IF(D2626=F2626,15,0),"")</f>
        <v/>
      </c>
      <c r="J2626" s="22" t="str">
        <f aca="false">IF(AND(ISNUMBER(F2626),ISNUMBER(G2626)),IF(E2626=G2626,15,0),"")</f>
        <v/>
      </c>
      <c r="K2626" s="22" t="str">
        <f aca="false">IF(AND(ISNUMBER(F2626),ISNUMBER(G2626)),IF(ABS(D2626-E2626)=ABS(F2626-G2626),12,0),"")</f>
        <v/>
      </c>
      <c r="L2626" s="23" t="str">
        <f aca="false">IF(ISNUMBER(H2626),H2626+I2626+J2626+K2626,"")</f>
        <v/>
      </c>
    </row>
    <row r="2627" customFormat="false" ht="18" hidden="false" customHeight="true" outlineLevel="0" collapsed="false">
      <c r="A2627" s="25" t="s">
        <v>9</v>
      </c>
      <c r="B2627" s="26" t="s">
        <v>190</v>
      </c>
      <c r="C2627" s="27" t="s">
        <v>39</v>
      </c>
      <c r="D2627" s="28" t="n">
        <v>1</v>
      </c>
      <c r="E2627" s="28" t="n">
        <v>1</v>
      </c>
      <c r="F2627" s="29" t="n">
        <f aca="false">'📋 Matches'!E11</f>
        <v>0</v>
      </c>
      <c r="G2627" s="29" t="n">
        <f aca="false">'📋 Matches'!F11</f>
        <v>0</v>
      </c>
      <c r="H2627" s="22" t="str">
        <f aca="false">IF(AND(ISNUMBER(F2627),ISNUMBER(G2627)),IF(SIGN(D2627-E2627)=SIGN(F2627-G2627),48,0),"")</f>
        <v/>
      </c>
      <c r="I2627" s="22" t="str">
        <f aca="false">IF(AND(ISNUMBER(F2627),ISNUMBER(G2627)),IF(D2627=F2627,15,0),"")</f>
        <v/>
      </c>
      <c r="J2627" s="22" t="str">
        <f aca="false">IF(AND(ISNUMBER(F2627),ISNUMBER(G2627)),IF(E2627=G2627,15,0),"")</f>
        <v/>
      </c>
      <c r="K2627" s="22" t="str">
        <f aca="false">IF(AND(ISNUMBER(F2627),ISNUMBER(G2627)),IF(ABS(D2627-E2627)=ABS(F2627-G2627),12,0),"")</f>
        <v/>
      </c>
      <c r="L2627" s="23" t="str">
        <f aca="false">IF(ISNUMBER(H2627),H2627+I2627+J2627+K2627,"")</f>
        <v/>
      </c>
    </row>
    <row r="2628" customFormat="false" ht="18" hidden="false" customHeight="true" outlineLevel="0" collapsed="false">
      <c r="A2628" s="25" t="s">
        <v>9</v>
      </c>
      <c r="B2628" s="26" t="s">
        <v>190</v>
      </c>
      <c r="C2628" s="27" t="s">
        <v>42</v>
      </c>
      <c r="D2628" s="28" t="n">
        <v>2</v>
      </c>
      <c r="E2628" s="28" t="n">
        <v>2</v>
      </c>
      <c r="F2628" s="29" t="n">
        <f aca="false">'📋 Matches'!E12</f>
        <v>0</v>
      </c>
      <c r="G2628" s="29" t="n">
        <f aca="false">'📋 Matches'!F12</f>
        <v>0</v>
      </c>
      <c r="H2628" s="22" t="str">
        <f aca="false">IF(AND(ISNUMBER(F2628),ISNUMBER(G2628)),IF(SIGN(D2628-E2628)=SIGN(F2628-G2628),48,0),"")</f>
        <v/>
      </c>
      <c r="I2628" s="22" t="str">
        <f aca="false">IF(AND(ISNUMBER(F2628),ISNUMBER(G2628)),IF(D2628=F2628,15,0),"")</f>
        <v/>
      </c>
      <c r="J2628" s="22" t="str">
        <f aca="false">IF(AND(ISNUMBER(F2628),ISNUMBER(G2628)),IF(E2628=G2628,15,0),"")</f>
        <v/>
      </c>
      <c r="K2628" s="22" t="str">
        <f aca="false">IF(AND(ISNUMBER(F2628),ISNUMBER(G2628)),IF(ABS(D2628-E2628)=ABS(F2628-G2628),12,0),"")</f>
        <v/>
      </c>
      <c r="L2628" s="23" t="str">
        <f aca="false">IF(ISNUMBER(H2628),H2628+I2628+J2628+K2628,"")</f>
        <v/>
      </c>
    </row>
    <row r="2629" customFormat="false" ht="18" hidden="false" customHeight="true" outlineLevel="0" collapsed="false">
      <c r="A2629" s="25" t="s">
        <v>9</v>
      </c>
      <c r="B2629" s="26" t="s">
        <v>190</v>
      </c>
      <c r="C2629" s="27" t="s">
        <v>45</v>
      </c>
      <c r="D2629" s="28" t="n">
        <v>2</v>
      </c>
      <c r="E2629" s="28" t="n">
        <v>0</v>
      </c>
      <c r="F2629" s="29" t="n">
        <f aca="false">'📋 Matches'!E13</f>
        <v>0</v>
      </c>
      <c r="G2629" s="29" t="n">
        <f aca="false">'📋 Matches'!F13</f>
        <v>0</v>
      </c>
      <c r="H2629" s="22" t="str">
        <f aca="false">IF(AND(ISNUMBER(F2629),ISNUMBER(G2629)),IF(SIGN(D2629-E2629)=SIGN(F2629-G2629),48,0),"")</f>
        <v/>
      </c>
      <c r="I2629" s="22" t="str">
        <f aca="false">IF(AND(ISNUMBER(F2629),ISNUMBER(G2629)),IF(D2629=F2629,15,0),"")</f>
        <v/>
      </c>
      <c r="J2629" s="22" t="str">
        <f aca="false">IF(AND(ISNUMBER(F2629),ISNUMBER(G2629)),IF(E2629=G2629,15,0),"")</f>
        <v/>
      </c>
      <c r="K2629" s="22" t="str">
        <f aca="false">IF(AND(ISNUMBER(F2629),ISNUMBER(G2629)),IF(ABS(D2629-E2629)=ABS(F2629-G2629),12,0),"")</f>
        <v/>
      </c>
      <c r="L2629" s="23" t="str">
        <f aca="false">IF(ISNUMBER(H2629),H2629+I2629+J2629+K2629,"")</f>
        <v/>
      </c>
    </row>
    <row r="2630" customFormat="false" ht="18" hidden="false" customHeight="true" outlineLevel="0" collapsed="false">
      <c r="A2630" s="25" t="s">
        <v>9</v>
      </c>
      <c r="B2630" s="26" t="s">
        <v>190</v>
      </c>
      <c r="C2630" s="27" t="s">
        <v>48</v>
      </c>
      <c r="D2630" s="28" t="n">
        <v>4</v>
      </c>
      <c r="E2630" s="28" t="n">
        <v>0</v>
      </c>
      <c r="F2630" s="29" t="n">
        <f aca="false">'📋 Matches'!E14</f>
        <v>0</v>
      </c>
      <c r="G2630" s="29" t="n">
        <f aca="false">'📋 Matches'!F14</f>
        <v>0</v>
      </c>
      <c r="H2630" s="22" t="str">
        <f aca="false">IF(AND(ISNUMBER(F2630),ISNUMBER(G2630)),IF(SIGN(D2630-E2630)=SIGN(F2630-G2630),48,0),"")</f>
        <v/>
      </c>
      <c r="I2630" s="22" t="str">
        <f aca="false">IF(AND(ISNUMBER(F2630),ISNUMBER(G2630)),IF(D2630=F2630,15,0),"")</f>
        <v/>
      </c>
      <c r="J2630" s="22" t="str">
        <f aca="false">IF(AND(ISNUMBER(F2630),ISNUMBER(G2630)),IF(E2630=G2630,15,0),"")</f>
        <v/>
      </c>
      <c r="K2630" s="22" t="str">
        <f aca="false">IF(AND(ISNUMBER(F2630),ISNUMBER(G2630)),IF(ABS(D2630-E2630)=ABS(F2630-G2630),12,0),"")</f>
        <v/>
      </c>
      <c r="L2630" s="23" t="str">
        <f aca="false">IF(ISNUMBER(H2630),H2630+I2630+J2630+K2630,"")</f>
        <v/>
      </c>
    </row>
    <row r="2631" customFormat="false" ht="18" hidden="false" customHeight="true" outlineLevel="0" collapsed="false">
      <c r="A2631" s="25" t="s">
        <v>9</v>
      </c>
      <c r="B2631" s="26" t="s">
        <v>190</v>
      </c>
      <c r="C2631" s="27" t="s">
        <v>51</v>
      </c>
      <c r="D2631" s="28" t="n">
        <v>1</v>
      </c>
      <c r="E2631" s="28" t="n">
        <v>1</v>
      </c>
      <c r="F2631" s="29" t="n">
        <f aca="false">'📋 Matches'!E15</f>
        <v>0</v>
      </c>
      <c r="G2631" s="29" t="n">
        <f aca="false">'📋 Matches'!F15</f>
        <v>0</v>
      </c>
      <c r="H2631" s="22" t="str">
        <f aca="false">IF(AND(ISNUMBER(F2631),ISNUMBER(G2631)),IF(SIGN(D2631-E2631)=SIGN(F2631-G2631),48,0),"")</f>
        <v/>
      </c>
      <c r="I2631" s="22" t="str">
        <f aca="false">IF(AND(ISNUMBER(F2631),ISNUMBER(G2631)),IF(D2631=F2631,15,0),"")</f>
        <v/>
      </c>
      <c r="J2631" s="22" t="str">
        <f aca="false">IF(AND(ISNUMBER(F2631),ISNUMBER(G2631)),IF(E2631=G2631,15,0),"")</f>
        <v/>
      </c>
      <c r="K2631" s="22" t="str">
        <f aca="false">IF(AND(ISNUMBER(F2631),ISNUMBER(G2631)),IF(ABS(D2631-E2631)=ABS(F2631-G2631),12,0),"")</f>
        <v/>
      </c>
      <c r="L2631" s="23" t="str">
        <f aca="false">IF(ISNUMBER(H2631),H2631+I2631+J2631+K2631,"")</f>
        <v/>
      </c>
    </row>
    <row r="2632" customFormat="false" ht="18" hidden="false" customHeight="true" outlineLevel="0" collapsed="false">
      <c r="A2632" s="25" t="s">
        <v>9</v>
      </c>
      <c r="B2632" s="26" t="s">
        <v>190</v>
      </c>
      <c r="C2632" s="27" t="s">
        <v>54</v>
      </c>
      <c r="D2632" s="28" t="n">
        <v>0</v>
      </c>
      <c r="E2632" s="28" t="n">
        <v>2</v>
      </c>
      <c r="F2632" s="29" t="n">
        <f aca="false">'📋 Matches'!E16</f>
        <v>0</v>
      </c>
      <c r="G2632" s="29" t="n">
        <f aca="false">'📋 Matches'!F16</f>
        <v>0</v>
      </c>
      <c r="H2632" s="22" t="str">
        <f aca="false">IF(AND(ISNUMBER(F2632),ISNUMBER(G2632)),IF(SIGN(D2632-E2632)=SIGN(F2632-G2632),48,0),"")</f>
        <v/>
      </c>
      <c r="I2632" s="22" t="str">
        <f aca="false">IF(AND(ISNUMBER(F2632),ISNUMBER(G2632)),IF(D2632=F2632,15,0),"")</f>
        <v/>
      </c>
      <c r="J2632" s="22" t="str">
        <f aca="false">IF(AND(ISNUMBER(F2632),ISNUMBER(G2632)),IF(E2632=G2632,15,0),"")</f>
        <v/>
      </c>
      <c r="K2632" s="22" t="str">
        <f aca="false">IF(AND(ISNUMBER(F2632),ISNUMBER(G2632)),IF(ABS(D2632-E2632)=ABS(F2632-G2632),12,0),"")</f>
        <v/>
      </c>
      <c r="L2632" s="23" t="str">
        <f aca="false">IF(ISNUMBER(H2632),H2632+I2632+J2632+K2632,"")</f>
        <v/>
      </c>
    </row>
    <row r="2633" customFormat="false" ht="18" hidden="false" customHeight="true" outlineLevel="0" collapsed="false">
      <c r="A2633" s="25" t="s">
        <v>9</v>
      </c>
      <c r="B2633" s="26" t="s">
        <v>190</v>
      </c>
      <c r="C2633" s="27" t="s">
        <v>57</v>
      </c>
      <c r="D2633" s="28" t="n">
        <v>0</v>
      </c>
      <c r="E2633" s="28" t="n">
        <v>0</v>
      </c>
      <c r="F2633" s="29" t="n">
        <f aca="false">'📋 Matches'!E17</f>
        <v>0</v>
      </c>
      <c r="G2633" s="29" t="n">
        <f aca="false">'📋 Matches'!F17</f>
        <v>0</v>
      </c>
      <c r="H2633" s="22" t="str">
        <f aca="false">IF(AND(ISNUMBER(F2633),ISNUMBER(G2633)),IF(SIGN(D2633-E2633)=SIGN(F2633-G2633),48,0),"")</f>
        <v/>
      </c>
      <c r="I2633" s="22" t="str">
        <f aca="false">IF(AND(ISNUMBER(F2633),ISNUMBER(G2633)),IF(D2633=F2633,15,0),"")</f>
        <v/>
      </c>
      <c r="J2633" s="22" t="str">
        <f aca="false">IF(AND(ISNUMBER(F2633),ISNUMBER(G2633)),IF(E2633=G2633,15,0),"")</f>
        <v/>
      </c>
      <c r="K2633" s="22" t="str">
        <f aca="false">IF(AND(ISNUMBER(F2633),ISNUMBER(G2633)),IF(ABS(D2633-E2633)=ABS(F2633-G2633),12,0),"")</f>
        <v/>
      </c>
      <c r="L2633" s="23" t="str">
        <f aca="false">IF(ISNUMBER(H2633),H2633+I2633+J2633+K2633,"")</f>
        <v/>
      </c>
    </row>
    <row r="2634" customFormat="false" ht="18" hidden="false" customHeight="true" outlineLevel="0" collapsed="false">
      <c r="A2634" s="25" t="s">
        <v>9</v>
      </c>
      <c r="B2634" s="26" t="s">
        <v>190</v>
      </c>
      <c r="C2634" s="27" t="s">
        <v>60</v>
      </c>
      <c r="D2634" s="28" t="n">
        <v>3</v>
      </c>
      <c r="E2634" s="28" t="n">
        <v>0</v>
      </c>
      <c r="F2634" s="29" t="n">
        <f aca="false">'📋 Matches'!E18</f>
        <v>0</v>
      </c>
      <c r="G2634" s="29" t="n">
        <f aca="false">'📋 Matches'!F18</f>
        <v>0</v>
      </c>
      <c r="H2634" s="22" t="str">
        <f aca="false">IF(AND(ISNUMBER(F2634),ISNUMBER(G2634)),IF(SIGN(D2634-E2634)=SIGN(F2634-G2634),48,0),"")</f>
        <v/>
      </c>
      <c r="I2634" s="22" t="str">
        <f aca="false">IF(AND(ISNUMBER(F2634),ISNUMBER(G2634)),IF(D2634=F2634,15,0),"")</f>
        <v/>
      </c>
      <c r="J2634" s="22" t="str">
        <f aca="false">IF(AND(ISNUMBER(F2634),ISNUMBER(G2634)),IF(E2634=G2634,15,0),"")</f>
        <v/>
      </c>
      <c r="K2634" s="22" t="str">
        <f aca="false">IF(AND(ISNUMBER(F2634),ISNUMBER(G2634)),IF(ABS(D2634-E2634)=ABS(F2634-G2634),12,0),"")</f>
        <v/>
      </c>
      <c r="L2634" s="23" t="str">
        <f aca="false">IF(ISNUMBER(H2634),H2634+I2634+J2634+K2634,"")</f>
        <v/>
      </c>
    </row>
    <row r="2635" customFormat="false" ht="18" hidden="false" customHeight="true" outlineLevel="0" collapsed="false">
      <c r="A2635" s="25" t="s">
        <v>9</v>
      </c>
      <c r="B2635" s="26" t="s">
        <v>190</v>
      </c>
      <c r="C2635" s="27" t="s">
        <v>63</v>
      </c>
      <c r="D2635" s="28" t="n">
        <v>0</v>
      </c>
      <c r="E2635" s="28" t="n">
        <v>2</v>
      </c>
      <c r="F2635" s="29" t="n">
        <f aca="false">'📋 Matches'!E19</f>
        <v>0</v>
      </c>
      <c r="G2635" s="29" t="n">
        <f aca="false">'📋 Matches'!F19</f>
        <v>0</v>
      </c>
      <c r="H2635" s="22" t="str">
        <f aca="false">IF(AND(ISNUMBER(F2635),ISNUMBER(G2635)),IF(SIGN(D2635-E2635)=SIGN(F2635-G2635),48,0),"")</f>
        <v/>
      </c>
      <c r="I2635" s="22" t="str">
        <f aca="false">IF(AND(ISNUMBER(F2635),ISNUMBER(G2635)),IF(D2635=F2635,15,0),"")</f>
        <v/>
      </c>
      <c r="J2635" s="22" t="str">
        <f aca="false">IF(AND(ISNUMBER(F2635),ISNUMBER(G2635)),IF(E2635=G2635,15,0),"")</f>
        <v/>
      </c>
      <c r="K2635" s="22" t="str">
        <f aca="false">IF(AND(ISNUMBER(F2635),ISNUMBER(G2635)),IF(ABS(D2635-E2635)=ABS(F2635-G2635),12,0),"")</f>
        <v/>
      </c>
      <c r="L2635" s="23" t="str">
        <f aca="false">IF(ISNUMBER(H2635),H2635+I2635+J2635+K2635,"")</f>
        <v/>
      </c>
    </row>
    <row r="2636" customFormat="false" ht="18" hidden="false" customHeight="true" outlineLevel="0" collapsed="false">
      <c r="A2636" s="25" t="s">
        <v>9</v>
      </c>
      <c r="B2636" s="26" t="s">
        <v>190</v>
      </c>
      <c r="C2636" s="27" t="s">
        <v>66</v>
      </c>
      <c r="D2636" s="28" t="n">
        <v>2</v>
      </c>
      <c r="E2636" s="28" t="n">
        <v>1</v>
      </c>
      <c r="F2636" s="29" t="n">
        <f aca="false">'📋 Matches'!E20</f>
        <v>0</v>
      </c>
      <c r="G2636" s="29" t="n">
        <f aca="false">'📋 Matches'!F20</f>
        <v>0</v>
      </c>
      <c r="H2636" s="22" t="str">
        <f aca="false">IF(AND(ISNUMBER(F2636),ISNUMBER(G2636)),IF(SIGN(D2636-E2636)=SIGN(F2636-G2636),48,0),"")</f>
        <v/>
      </c>
      <c r="I2636" s="22" t="str">
        <f aca="false">IF(AND(ISNUMBER(F2636),ISNUMBER(G2636)),IF(D2636=F2636,15,0),"")</f>
        <v/>
      </c>
      <c r="J2636" s="22" t="str">
        <f aca="false">IF(AND(ISNUMBER(F2636),ISNUMBER(G2636)),IF(E2636=G2636,15,0),"")</f>
        <v/>
      </c>
      <c r="K2636" s="22" t="str">
        <f aca="false">IF(AND(ISNUMBER(F2636),ISNUMBER(G2636)),IF(ABS(D2636-E2636)=ABS(F2636-G2636),12,0),"")</f>
        <v/>
      </c>
      <c r="L2636" s="23" t="str">
        <f aca="false">IF(ISNUMBER(H2636),H2636+I2636+J2636+K2636,"")</f>
        <v/>
      </c>
    </row>
    <row r="2637" customFormat="false" ht="18" hidden="false" customHeight="true" outlineLevel="0" collapsed="false">
      <c r="A2637" s="25" t="s">
        <v>9</v>
      </c>
      <c r="B2637" s="26" t="s">
        <v>190</v>
      </c>
      <c r="C2637" s="27" t="s">
        <v>69</v>
      </c>
      <c r="D2637" s="28" t="n">
        <v>3</v>
      </c>
      <c r="E2637" s="28" t="n">
        <v>0</v>
      </c>
      <c r="F2637" s="29" t="n">
        <f aca="false">'📋 Matches'!E21</f>
        <v>0</v>
      </c>
      <c r="G2637" s="29" t="n">
        <f aca="false">'📋 Matches'!F21</f>
        <v>0</v>
      </c>
      <c r="H2637" s="22" t="str">
        <f aca="false">IF(AND(ISNUMBER(F2637),ISNUMBER(G2637)),IF(SIGN(D2637-E2637)=SIGN(F2637-G2637),48,0),"")</f>
        <v/>
      </c>
      <c r="I2637" s="22" t="str">
        <f aca="false">IF(AND(ISNUMBER(F2637),ISNUMBER(G2637)),IF(D2637=F2637,15,0),"")</f>
        <v/>
      </c>
      <c r="J2637" s="22" t="str">
        <f aca="false">IF(AND(ISNUMBER(F2637),ISNUMBER(G2637)),IF(E2637=G2637,15,0),"")</f>
        <v/>
      </c>
      <c r="K2637" s="22" t="str">
        <f aca="false">IF(AND(ISNUMBER(F2637),ISNUMBER(G2637)),IF(ABS(D2637-E2637)=ABS(F2637-G2637),12,0),"")</f>
        <v/>
      </c>
      <c r="L2637" s="23" t="str">
        <f aca="false">IF(ISNUMBER(H2637),H2637+I2637+J2637+K2637,"")</f>
        <v/>
      </c>
    </row>
    <row r="2638" customFormat="false" ht="18" hidden="false" customHeight="true" outlineLevel="0" collapsed="false">
      <c r="A2638" s="25" t="s">
        <v>9</v>
      </c>
      <c r="B2638" s="26" t="s">
        <v>190</v>
      </c>
      <c r="C2638" s="27" t="s">
        <v>72</v>
      </c>
      <c r="D2638" s="28" t="n">
        <v>3</v>
      </c>
      <c r="E2638" s="28" t="n">
        <v>0</v>
      </c>
      <c r="F2638" s="29" t="n">
        <f aca="false">'📋 Matches'!E22</f>
        <v>0</v>
      </c>
      <c r="G2638" s="29" t="n">
        <f aca="false">'📋 Matches'!F22</f>
        <v>0</v>
      </c>
      <c r="H2638" s="22" t="str">
        <f aca="false">IF(AND(ISNUMBER(F2638),ISNUMBER(G2638)),IF(SIGN(D2638-E2638)=SIGN(F2638-G2638),48,0),"")</f>
        <v/>
      </c>
      <c r="I2638" s="22" t="str">
        <f aca="false">IF(AND(ISNUMBER(F2638),ISNUMBER(G2638)),IF(D2638=F2638,15,0),"")</f>
        <v/>
      </c>
      <c r="J2638" s="22" t="str">
        <f aca="false">IF(AND(ISNUMBER(F2638),ISNUMBER(G2638)),IF(E2638=G2638,15,0),"")</f>
        <v/>
      </c>
      <c r="K2638" s="22" t="str">
        <f aca="false">IF(AND(ISNUMBER(F2638),ISNUMBER(G2638)),IF(ABS(D2638-E2638)=ABS(F2638-G2638),12,0),"")</f>
        <v/>
      </c>
      <c r="L2638" s="23" t="str">
        <f aca="false">IF(ISNUMBER(H2638),H2638+I2638+J2638+K2638,"")</f>
        <v/>
      </c>
    </row>
    <row r="2639" customFormat="false" ht="18" hidden="false" customHeight="true" outlineLevel="0" collapsed="false">
      <c r="A2639" s="25" t="s">
        <v>9</v>
      </c>
      <c r="B2639" s="26" t="s">
        <v>190</v>
      </c>
      <c r="C2639" s="27" t="s">
        <v>75</v>
      </c>
      <c r="D2639" s="28" t="n">
        <v>2</v>
      </c>
      <c r="E2639" s="28" t="n">
        <v>2</v>
      </c>
      <c r="F2639" s="29" t="n">
        <f aca="false">'📋 Matches'!E23</f>
        <v>0</v>
      </c>
      <c r="G2639" s="29" t="n">
        <f aca="false">'📋 Matches'!F23</f>
        <v>0</v>
      </c>
      <c r="H2639" s="22" t="str">
        <f aca="false">IF(AND(ISNUMBER(F2639),ISNUMBER(G2639)),IF(SIGN(D2639-E2639)=SIGN(F2639-G2639),48,0),"")</f>
        <v/>
      </c>
      <c r="I2639" s="22" t="str">
        <f aca="false">IF(AND(ISNUMBER(F2639),ISNUMBER(G2639)),IF(D2639=F2639,15,0),"")</f>
        <v/>
      </c>
      <c r="J2639" s="22" t="str">
        <f aca="false">IF(AND(ISNUMBER(F2639),ISNUMBER(G2639)),IF(E2639=G2639,15,0),"")</f>
        <v/>
      </c>
      <c r="K2639" s="22" t="str">
        <f aca="false">IF(AND(ISNUMBER(F2639),ISNUMBER(G2639)),IF(ABS(D2639-E2639)=ABS(F2639-G2639),12,0),"")</f>
        <v/>
      </c>
      <c r="L2639" s="23" t="str">
        <f aca="false">IF(ISNUMBER(H2639),H2639+I2639+J2639+K2639,"")</f>
        <v/>
      </c>
    </row>
    <row r="2640" customFormat="false" ht="18" hidden="false" customHeight="true" outlineLevel="0" collapsed="false">
      <c r="A2640" s="25" t="s">
        <v>9</v>
      </c>
      <c r="B2640" s="26" t="s">
        <v>190</v>
      </c>
      <c r="C2640" s="27" t="s">
        <v>78</v>
      </c>
      <c r="D2640" s="28" t="n">
        <v>1</v>
      </c>
      <c r="E2640" s="28" t="n">
        <v>0</v>
      </c>
      <c r="F2640" s="29" t="n">
        <f aca="false">'📋 Matches'!E24</f>
        <v>0</v>
      </c>
      <c r="G2640" s="29" t="n">
        <f aca="false">'📋 Matches'!F24</f>
        <v>0</v>
      </c>
      <c r="H2640" s="22" t="str">
        <f aca="false">IF(AND(ISNUMBER(F2640),ISNUMBER(G2640)),IF(SIGN(D2640-E2640)=SIGN(F2640-G2640),48,0),"")</f>
        <v/>
      </c>
      <c r="I2640" s="22" t="str">
        <f aca="false">IF(AND(ISNUMBER(F2640),ISNUMBER(G2640)),IF(D2640=F2640,15,0),"")</f>
        <v/>
      </c>
      <c r="J2640" s="22" t="str">
        <f aca="false">IF(AND(ISNUMBER(F2640),ISNUMBER(G2640)),IF(E2640=G2640,15,0),"")</f>
        <v/>
      </c>
      <c r="K2640" s="22" t="str">
        <f aca="false">IF(AND(ISNUMBER(F2640),ISNUMBER(G2640)),IF(ABS(D2640-E2640)=ABS(F2640-G2640),12,0),"")</f>
        <v/>
      </c>
      <c r="L2640" s="23" t="str">
        <f aca="false">IF(ISNUMBER(H2640),H2640+I2640+J2640+K2640,"")</f>
        <v/>
      </c>
    </row>
    <row r="2641" customFormat="false" ht="18" hidden="false" customHeight="true" outlineLevel="0" collapsed="false">
      <c r="A2641" s="25" t="s">
        <v>9</v>
      </c>
      <c r="B2641" s="26" t="s">
        <v>190</v>
      </c>
      <c r="C2641" s="27" t="s">
        <v>81</v>
      </c>
      <c r="D2641" s="28" t="n">
        <v>0</v>
      </c>
      <c r="E2641" s="28" t="n">
        <v>2</v>
      </c>
      <c r="F2641" s="29" t="n">
        <f aca="false">'📋 Matches'!E25</f>
        <v>0</v>
      </c>
      <c r="G2641" s="29" t="n">
        <f aca="false">'📋 Matches'!F25</f>
        <v>0</v>
      </c>
      <c r="H2641" s="22" t="str">
        <f aca="false">IF(AND(ISNUMBER(F2641),ISNUMBER(G2641)),IF(SIGN(D2641-E2641)=SIGN(F2641-G2641),48,0),"")</f>
        <v/>
      </c>
      <c r="I2641" s="22" t="str">
        <f aca="false">IF(AND(ISNUMBER(F2641),ISNUMBER(G2641)),IF(D2641=F2641,15,0),"")</f>
        <v/>
      </c>
      <c r="J2641" s="22" t="str">
        <f aca="false">IF(AND(ISNUMBER(F2641),ISNUMBER(G2641)),IF(E2641=G2641,15,0),"")</f>
        <v/>
      </c>
      <c r="K2641" s="22" t="str">
        <f aca="false">IF(AND(ISNUMBER(F2641),ISNUMBER(G2641)),IF(ABS(D2641-E2641)=ABS(F2641-G2641),12,0),"")</f>
        <v/>
      </c>
      <c r="L2641" s="23" t="str">
        <f aca="false">IF(ISNUMBER(H2641),H2641+I2641+J2641+K2641,"")</f>
        <v/>
      </c>
    </row>
    <row r="2642" customFormat="false" ht="18" hidden="false" customHeight="true" outlineLevel="0" collapsed="false">
      <c r="A2642" s="17" t="s">
        <v>9</v>
      </c>
      <c r="B2642" s="18" t="s">
        <v>191</v>
      </c>
      <c r="C2642" s="19" t="s">
        <v>10</v>
      </c>
      <c r="D2642" s="20" t="n">
        <v>1</v>
      </c>
      <c r="E2642" s="20" t="n">
        <v>0</v>
      </c>
      <c r="F2642" s="21" t="n">
        <f aca="false">'📋 Matches'!E2</f>
        <v>2</v>
      </c>
      <c r="G2642" s="21" t="n">
        <f aca="false">'📋 Matches'!F2</f>
        <v>0</v>
      </c>
      <c r="H2642" s="22" t="n">
        <f aca="false">IF(AND(ISNUMBER(F2642),ISNUMBER(G2642)),IF(SIGN(D2642-E2642)=SIGN(F2642-G2642),48,0),"")</f>
        <v>48</v>
      </c>
      <c r="I2642" s="22" t="n">
        <f aca="false">IF(AND(ISNUMBER(F2642),ISNUMBER(G2642)),IF(D2642=F2642,15,0),"")</f>
        <v>0</v>
      </c>
      <c r="J2642" s="22" t="n">
        <f aca="false">IF(AND(ISNUMBER(F2642),ISNUMBER(G2642)),IF(E2642=G2642,15,0),"")</f>
        <v>15</v>
      </c>
      <c r="K2642" s="22" t="n">
        <f aca="false">IF(AND(ISNUMBER(F2642),ISNUMBER(G2642)),IF(ABS(D2642-E2642)=ABS(F2642-G2642),12,0),"")</f>
        <v>0</v>
      </c>
      <c r="L2642" s="23" t="n">
        <f aca="false">IF(ISNUMBER(H2642),H2642+I2642+J2642+K2642,"")</f>
        <v>63</v>
      </c>
    </row>
    <row r="2643" customFormat="false" ht="18" hidden="false" customHeight="true" outlineLevel="0" collapsed="false">
      <c r="A2643" s="17" t="s">
        <v>9</v>
      </c>
      <c r="B2643" s="18" t="s">
        <v>191</v>
      </c>
      <c r="C2643" s="19" t="s">
        <v>14</v>
      </c>
      <c r="D2643" s="20" t="n">
        <v>2</v>
      </c>
      <c r="E2643" s="20" t="n">
        <v>1</v>
      </c>
      <c r="F2643" s="21" t="n">
        <f aca="false">'📋 Matches'!E3</f>
        <v>2</v>
      </c>
      <c r="G2643" s="21" t="n">
        <f aca="false">'📋 Matches'!F3</f>
        <v>1</v>
      </c>
      <c r="H2643" s="22" t="n">
        <f aca="false">IF(AND(ISNUMBER(F2643),ISNUMBER(G2643)),IF(SIGN(D2643-E2643)=SIGN(F2643-G2643),48,0),"")</f>
        <v>48</v>
      </c>
      <c r="I2643" s="22" t="n">
        <f aca="false">IF(AND(ISNUMBER(F2643),ISNUMBER(G2643)),IF(D2643=F2643,15,0),"")</f>
        <v>15</v>
      </c>
      <c r="J2643" s="22" t="n">
        <f aca="false">IF(AND(ISNUMBER(F2643),ISNUMBER(G2643)),IF(E2643=G2643,15,0),"")</f>
        <v>15</v>
      </c>
      <c r="K2643" s="22" t="n">
        <f aca="false">IF(AND(ISNUMBER(F2643),ISNUMBER(G2643)),IF(ABS(D2643-E2643)=ABS(F2643-G2643),12,0),"")</f>
        <v>12</v>
      </c>
      <c r="L2643" s="23" t="n">
        <f aca="false">IF(ISNUMBER(H2643),H2643+I2643+J2643+K2643,"")</f>
        <v>90</v>
      </c>
    </row>
    <row r="2644" customFormat="false" ht="18" hidden="false" customHeight="true" outlineLevel="0" collapsed="false">
      <c r="A2644" s="17" t="s">
        <v>9</v>
      </c>
      <c r="B2644" s="18" t="s">
        <v>191</v>
      </c>
      <c r="C2644" s="19" t="s">
        <v>17</v>
      </c>
      <c r="D2644" s="20" t="n">
        <v>1</v>
      </c>
      <c r="E2644" s="20" t="n">
        <v>1</v>
      </c>
      <c r="F2644" s="21" t="n">
        <f aca="false">'📋 Matches'!E4</f>
        <v>1</v>
      </c>
      <c r="G2644" s="21" t="n">
        <f aca="false">'📋 Matches'!F4</f>
        <v>1</v>
      </c>
      <c r="H2644" s="22" t="n">
        <f aca="false">IF(AND(ISNUMBER(F2644),ISNUMBER(G2644)),IF(SIGN(D2644-E2644)=SIGN(F2644-G2644),48,0),"")</f>
        <v>48</v>
      </c>
      <c r="I2644" s="22" t="n">
        <f aca="false">IF(AND(ISNUMBER(F2644),ISNUMBER(G2644)),IF(D2644=F2644,15,0),"")</f>
        <v>15</v>
      </c>
      <c r="J2644" s="22" t="n">
        <f aca="false">IF(AND(ISNUMBER(F2644),ISNUMBER(G2644)),IF(E2644=G2644,15,0),"")</f>
        <v>15</v>
      </c>
      <c r="K2644" s="22" t="n">
        <f aca="false">IF(AND(ISNUMBER(F2644),ISNUMBER(G2644)),IF(ABS(D2644-E2644)=ABS(F2644-G2644),12,0),"")</f>
        <v>12</v>
      </c>
      <c r="L2644" s="23" t="n">
        <f aca="false">IF(ISNUMBER(H2644),H2644+I2644+J2644+K2644,"")</f>
        <v>90</v>
      </c>
    </row>
    <row r="2645" customFormat="false" ht="18" hidden="false" customHeight="true" outlineLevel="0" collapsed="false">
      <c r="A2645" s="17" t="s">
        <v>9</v>
      </c>
      <c r="B2645" s="18" t="s">
        <v>191</v>
      </c>
      <c r="C2645" s="19" t="s">
        <v>20</v>
      </c>
      <c r="D2645" s="20" t="n">
        <v>2</v>
      </c>
      <c r="E2645" s="20" t="n">
        <v>0</v>
      </c>
      <c r="F2645" s="21" t="n">
        <f aca="false">'📋 Matches'!E5</f>
        <v>4</v>
      </c>
      <c r="G2645" s="21" t="n">
        <f aca="false">'📋 Matches'!F5</f>
        <v>1</v>
      </c>
      <c r="H2645" s="22" t="n">
        <f aca="false">IF(AND(ISNUMBER(F2645),ISNUMBER(G2645)),IF(SIGN(D2645-E2645)=SIGN(F2645-G2645),48,0),"")</f>
        <v>48</v>
      </c>
      <c r="I2645" s="22" t="n">
        <f aca="false">IF(AND(ISNUMBER(F2645),ISNUMBER(G2645)),IF(D2645=F2645,15,0),"")</f>
        <v>0</v>
      </c>
      <c r="J2645" s="22" t="n">
        <f aca="false">IF(AND(ISNUMBER(F2645),ISNUMBER(G2645)),IF(E2645=G2645,15,0),"")</f>
        <v>0</v>
      </c>
      <c r="K2645" s="22" t="n">
        <f aca="false">IF(AND(ISNUMBER(F2645),ISNUMBER(G2645)),IF(ABS(D2645-E2645)=ABS(F2645-G2645),12,0),"")</f>
        <v>0</v>
      </c>
      <c r="L2645" s="23" t="n">
        <f aca="false">IF(ISNUMBER(H2645),H2645+I2645+J2645+K2645,"")</f>
        <v>48</v>
      </c>
    </row>
    <row r="2646" customFormat="false" ht="18" hidden="false" customHeight="true" outlineLevel="0" collapsed="false">
      <c r="A2646" s="17" t="s">
        <v>9</v>
      </c>
      <c r="B2646" s="18" t="s">
        <v>191</v>
      </c>
      <c r="C2646" s="19" t="s">
        <v>23</v>
      </c>
      <c r="D2646" s="20" t="n">
        <v>0</v>
      </c>
      <c r="E2646" s="20" t="n">
        <v>4</v>
      </c>
      <c r="F2646" s="21" t="n">
        <f aca="false">'📋 Matches'!E6</f>
        <v>0</v>
      </c>
      <c r="G2646" s="21" t="n">
        <f aca="false">'📋 Matches'!F6</f>
        <v>0</v>
      </c>
      <c r="H2646" s="22" t="str">
        <f aca="false">IF(AND(ISNUMBER(F2646),ISNUMBER(G2646)),IF(SIGN(D2646-E2646)=SIGN(F2646-G2646),48,0),"")</f>
        <v/>
      </c>
      <c r="I2646" s="22" t="str">
        <f aca="false">IF(AND(ISNUMBER(F2646),ISNUMBER(G2646)),IF(D2646=F2646,15,0),"")</f>
        <v/>
      </c>
      <c r="J2646" s="22" t="str">
        <f aca="false">IF(AND(ISNUMBER(F2646),ISNUMBER(G2646)),IF(E2646=G2646,15,0),"")</f>
        <v/>
      </c>
      <c r="K2646" s="22" t="str">
        <f aca="false">IF(AND(ISNUMBER(F2646),ISNUMBER(G2646)),IF(ABS(D2646-E2646)=ABS(F2646-G2646),12,0),"")</f>
        <v/>
      </c>
      <c r="L2646" s="23" t="str">
        <f aca="false">IF(ISNUMBER(H2646),H2646+I2646+J2646+K2646,"")</f>
        <v/>
      </c>
    </row>
    <row r="2647" customFormat="false" ht="18" hidden="false" customHeight="true" outlineLevel="0" collapsed="false">
      <c r="A2647" s="17" t="s">
        <v>9</v>
      </c>
      <c r="B2647" s="18" t="s">
        <v>191</v>
      </c>
      <c r="C2647" s="19" t="s">
        <v>27</v>
      </c>
      <c r="D2647" s="20" t="n">
        <v>0</v>
      </c>
      <c r="E2647" s="20" t="n">
        <v>1</v>
      </c>
      <c r="F2647" s="21" t="n">
        <f aca="false">'📋 Matches'!E7</f>
        <v>0</v>
      </c>
      <c r="G2647" s="21" t="n">
        <f aca="false">'📋 Matches'!F7</f>
        <v>0</v>
      </c>
      <c r="H2647" s="22" t="str">
        <f aca="false">IF(AND(ISNUMBER(F2647),ISNUMBER(G2647)),IF(SIGN(D2647-E2647)=SIGN(F2647-G2647),48,0),"")</f>
        <v/>
      </c>
      <c r="I2647" s="22" t="str">
        <f aca="false">IF(AND(ISNUMBER(F2647),ISNUMBER(G2647)),IF(D2647=F2647,15,0),"")</f>
        <v/>
      </c>
      <c r="J2647" s="22" t="str">
        <f aca="false">IF(AND(ISNUMBER(F2647),ISNUMBER(G2647)),IF(E2647=G2647,15,0),"")</f>
        <v/>
      </c>
      <c r="K2647" s="22" t="str">
        <f aca="false">IF(AND(ISNUMBER(F2647),ISNUMBER(G2647)),IF(ABS(D2647-E2647)=ABS(F2647-G2647),12,0),"")</f>
        <v/>
      </c>
      <c r="L2647" s="23" t="str">
        <f aca="false">IF(ISNUMBER(H2647),H2647+I2647+J2647+K2647,"")</f>
        <v/>
      </c>
    </row>
    <row r="2648" customFormat="false" ht="18" hidden="false" customHeight="true" outlineLevel="0" collapsed="false">
      <c r="A2648" s="17" t="s">
        <v>9</v>
      </c>
      <c r="B2648" s="18" t="s">
        <v>191</v>
      </c>
      <c r="C2648" s="19" t="s">
        <v>30</v>
      </c>
      <c r="D2648" s="20" t="n">
        <v>0</v>
      </c>
      <c r="E2648" s="20" t="n">
        <v>2</v>
      </c>
      <c r="F2648" s="21" t="n">
        <f aca="false">'📋 Matches'!E8</f>
        <v>0</v>
      </c>
      <c r="G2648" s="21" t="n">
        <f aca="false">'📋 Matches'!F8</f>
        <v>0</v>
      </c>
      <c r="H2648" s="22" t="str">
        <f aca="false">IF(AND(ISNUMBER(F2648),ISNUMBER(G2648)),IF(SIGN(D2648-E2648)=SIGN(F2648-G2648),48,0),"")</f>
        <v/>
      </c>
      <c r="I2648" s="22" t="str">
        <f aca="false">IF(AND(ISNUMBER(F2648),ISNUMBER(G2648)),IF(D2648=F2648,15,0),"")</f>
        <v/>
      </c>
      <c r="J2648" s="22" t="str">
        <f aca="false">IF(AND(ISNUMBER(F2648),ISNUMBER(G2648)),IF(E2648=G2648,15,0),"")</f>
        <v/>
      </c>
      <c r="K2648" s="22" t="str">
        <f aca="false">IF(AND(ISNUMBER(F2648),ISNUMBER(G2648)),IF(ABS(D2648-E2648)=ABS(F2648-G2648),12,0),"")</f>
        <v/>
      </c>
      <c r="L2648" s="23" t="str">
        <f aca="false">IF(ISNUMBER(H2648),H2648+I2648+J2648+K2648,"")</f>
        <v/>
      </c>
    </row>
    <row r="2649" customFormat="false" ht="18" hidden="false" customHeight="true" outlineLevel="0" collapsed="false">
      <c r="A2649" s="17" t="s">
        <v>9</v>
      </c>
      <c r="B2649" s="18" t="s">
        <v>191</v>
      </c>
      <c r="C2649" s="19" t="s">
        <v>33</v>
      </c>
      <c r="D2649" s="20" t="n">
        <v>1</v>
      </c>
      <c r="E2649" s="20" t="n">
        <v>3</v>
      </c>
      <c r="F2649" s="21" t="n">
        <f aca="false">'📋 Matches'!E9</f>
        <v>0</v>
      </c>
      <c r="G2649" s="21" t="n">
        <f aca="false">'📋 Matches'!F9</f>
        <v>0</v>
      </c>
      <c r="H2649" s="22" t="str">
        <f aca="false">IF(AND(ISNUMBER(F2649),ISNUMBER(G2649)),IF(SIGN(D2649-E2649)=SIGN(F2649-G2649),48,0),"")</f>
        <v/>
      </c>
      <c r="I2649" s="22" t="str">
        <f aca="false">IF(AND(ISNUMBER(F2649),ISNUMBER(G2649)),IF(D2649=F2649,15,0),"")</f>
        <v/>
      </c>
      <c r="J2649" s="22" t="str">
        <f aca="false">IF(AND(ISNUMBER(F2649),ISNUMBER(G2649)),IF(E2649=G2649,15,0),"")</f>
        <v/>
      </c>
      <c r="K2649" s="22" t="str">
        <f aca="false">IF(AND(ISNUMBER(F2649),ISNUMBER(G2649)),IF(ABS(D2649-E2649)=ABS(F2649-G2649),12,0),"")</f>
        <v/>
      </c>
      <c r="L2649" s="23" t="str">
        <f aca="false">IF(ISNUMBER(H2649),H2649+I2649+J2649+K2649,"")</f>
        <v/>
      </c>
    </row>
    <row r="2650" customFormat="false" ht="18" hidden="false" customHeight="true" outlineLevel="0" collapsed="false">
      <c r="A2650" s="17" t="s">
        <v>9</v>
      </c>
      <c r="B2650" s="18" t="s">
        <v>191</v>
      </c>
      <c r="C2650" s="19" t="s">
        <v>36</v>
      </c>
      <c r="D2650" s="20" t="n">
        <v>3</v>
      </c>
      <c r="E2650" s="20" t="n">
        <v>0</v>
      </c>
      <c r="F2650" s="21" t="n">
        <f aca="false">'📋 Matches'!E10</f>
        <v>0</v>
      </c>
      <c r="G2650" s="21" t="n">
        <f aca="false">'📋 Matches'!F10</f>
        <v>0</v>
      </c>
      <c r="H2650" s="22" t="str">
        <f aca="false">IF(AND(ISNUMBER(F2650),ISNUMBER(G2650)),IF(SIGN(D2650-E2650)=SIGN(F2650-G2650),48,0),"")</f>
        <v/>
      </c>
      <c r="I2650" s="22" t="str">
        <f aca="false">IF(AND(ISNUMBER(F2650),ISNUMBER(G2650)),IF(D2650=F2650,15,0),"")</f>
        <v/>
      </c>
      <c r="J2650" s="22" t="str">
        <f aca="false">IF(AND(ISNUMBER(F2650),ISNUMBER(G2650)),IF(E2650=G2650,15,0),"")</f>
        <v/>
      </c>
      <c r="K2650" s="22" t="str">
        <f aca="false">IF(AND(ISNUMBER(F2650),ISNUMBER(G2650)),IF(ABS(D2650-E2650)=ABS(F2650-G2650),12,0),"")</f>
        <v/>
      </c>
      <c r="L2650" s="23" t="str">
        <f aca="false">IF(ISNUMBER(H2650),H2650+I2650+J2650+K2650,"")</f>
        <v/>
      </c>
    </row>
    <row r="2651" customFormat="false" ht="18" hidden="false" customHeight="true" outlineLevel="0" collapsed="false">
      <c r="A2651" s="17" t="s">
        <v>9</v>
      </c>
      <c r="B2651" s="18" t="s">
        <v>191</v>
      </c>
      <c r="C2651" s="19" t="s">
        <v>39</v>
      </c>
      <c r="D2651" s="20" t="n">
        <v>2</v>
      </c>
      <c r="E2651" s="20" t="n">
        <v>1</v>
      </c>
      <c r="F2651" s="21" t="n">
        <f aca="false">'📋 Matches'!E11</f>
        <v>0</v>
      </c>
      <c r="G2651" s="21" t="n">
        <f aca="false">'📋 Matches'!F11</f>
        <v>0</v>
      </c>
      <c r="H2651" s="22" t="str">
        <f aca="false">IF(AND(ISNUMBER(F2651),ISNUMBER(G2651)),IF(SIGN(D2651-E2651)=SIGN(F2651-G2651),48,0),"")</f>
        <v/>
      </c>
      <c r="I2651" s="22" t="str">
        <f aca="false">IF(AND(ISNUMBER(F2651),ISNUMBER(G2651)),IF(D2651=F2651,15,0),"")</f>
        <v/>
      </c>
      <c r="J2651" s="22" t="str">
        <f aca="false">IF(AND(ISNUMBER(F2651),ISNUMBER(G2651)),IF(E2651=G2651,15,0),"")</f>
        <v/>
      </c>
      <c r="K2651" s="22" t="str">
        <f aca="false">IF(AND(ISNUMBER(F2651),ISNUMBER(G2651)),IF(ABS(D2651-E2651)=ABS(F2651-G2651),12,0),"")</f>
        <v/>
      </c>
      <c r="L2651" s="23" t="str">
        <f aca="false">IF(ISNUMBER(H2651),H2651+I2651+J2651+K2651,"")</f>
        <v/>
      </c>
    </row>
    <row r="2652" customFormat="false" ht="18" hidden="false" customHeight="true" outlineLevel="0" collapsed="false">
      <c r="A2652" s="17" t="s">
        <v>9</v>
      </c>
      <c r="B2652" s="18" t="s">
        <v>191</v>
      </c>
      <c r="C2652" s="19" t="s">
        <v>42</v>
      </c>
      <c r="D2652" s="20" t="n">
        <v>0</v>
      </c>
      <c r="E2652" s="20" t="n">
        <v>0</v>
      </c>
      <c r="F2652" s="21" t="n">
        <f aca="false">'📋 Matches'!E12</f>
        <v>0</v>
      </c>
      <c r="G2652" s="21" t="n">
        <f aca="false">'📋 Matches'!F12</f>
        <v>0</v>
      </c>
      <c r="H2652" s="22" t="str">
        <f aca="false">IF(AND(ISNUMBER(F2652),ISNUMBER(G2652)),IF(SIGN(D2652-E2652)=SIGN(F2652-G2652),48,0),"")</f>
        <v/>
      </c>
      <c r="I2652" s="22" t="str">
        <f aca="false">IF(AND(ISNUMBER(F2652),ISNUMBER(G2652)),IF(D2652=F2652,15,0),"")</f>
        <v/>
      </c>
      <c r="J2652" s="22" t="str">
        <f aca="false">IF(AND(ISNUMBER(F2652),ISNUMBER(G2652)),IF(E2652=G2652,15,0),"")</f>
        <v/>
      </c>
      <c r="K2652" s="22" t="str">
        <f aca="false">IF(AND(ISNUMBER(F2652),ISNUMBER(G2652)),IF(ABS(D2652-E2652)=ABS(F2652-G2652),12,0),"")</f>
        <v/>
      </c>
      <c r="L2652" s="23" t="str">
        <f aca="false">IF(ISNUMBER(H2652),H2652+I2652+J2652+K2652,"")</f>
        <v/>
      </c>
    </row>
    <row r="2653" customFormat="false" ht="18" hidden="false" customHeight="true" outlineLevel="0" collapsed="false">
      <c r="A2653" s="17" t="s">
        <v>9</v>
      </c>
      <c r="B2653" s="18" t="s">
        <v>191</v>
      </c>
      <c r="C2653" s="19" t="s">
        <v>45</v>
      </c>
      <c r="D2653" s="20" t="n">
        <v>2</v>
      </c>
      <c r="E2653" s="20" t="n">
        <v>0</v>
      </c>
      <c r="F2653" s="21" t="n">
        <f aca="false">'📋 Matches'!E13</f>
        <v>0</v>
      </c>
      <c r="G2653" s="21" t="n">
        <f aca="false">'📋 Matches'!F13</f>
        <v>0</v>
      </c>
      <c r="H2653" s="22" t="str">
        <f aca="false">IF(AND(ISNUMBER(F2653),ISNUMBER(G2653)),IF(SIGN(D2653-E2653)=SIGN(F2653-G2653),48,0),"")</f>
        <v/>
      </c>
      <c r="I2653" s="22" t="str">
        <f aca="false">IF(AND(ISNUMBER(F2653),ISNUMBER(G2653)),IF(D2653=F2653,15,0),"")</f>
        <v/>
      </c>
      <c r="J2653" s="22" t="str">
        <f aca="false">IF(AND(ISNUMBER(F2653),ISNUMBER(G2653)),IF(E2653=G2653,15,0),"")</f>
        <v/>
      </c>
      <c r="K2653" s="22" t="str">
        <f aca="false">IF(AND(ISNUMBER(F2653),ISNUMBER(G2653)),IF(ABS(D2653-E2653)=ABS(F2653-G2653),12,0),"")</f>
        <v/>
      </c>
      <c r="L2653" s="23" t="str">
        <f aca="false">IF(ISNUMBER(H2653),H2653+I2653+J2653+K2653,"")</f>
        <v/>
      </c>
    </row>
    <row r="2654" customFormat="false" ht="18" hidden="false" customHeight="true" outlineLevel="0" collapsed="false">
      <c r="A2654" s="17" t="s">
        <v>9</v>
      </c>
      <c r="B2654" s="18" t="s">
        <v>191</v>
      </c>
      <c r="C2654" s="19" t="s">
        <v>48</v>
      </c>
      <c r="D2654" s="20" t="n">
        <v>3</v>
      </c>
      <c r="E2654" s="20" t="n">
        <v>0</v>
      </c>
      <c r="F2654" s="21" t="n">
        <f aca="false">'📋 Matches'!E14</f>
        <v>0</v>
      </c>
      <c r="G2654" s="21" t="n">
        <f aca="false">'📋 Matches'!F14</f>
        <v>0</v>
      </c>
      <c r="H2654" s="22" t="str">
        <f aca="false">IF(AND(ISNUMBER(F2654),ISNUMBER(G2654)),IF(SIGN(D2654-E2654)=SIGN(F2654-G2654),48,0),"")</f>
        <v/>
      </c>
      <c r="I2654" s="22" t="str">
        <f aca="false">IF(AND(ISNUMBER(F2654),ISNUMBER(G2654)),IF(D2654=F2654,15,0),"")</f>
        <v/>
      </c>
      <c r="J2654" s="22" t="str">
        <f aca="false">IF(AND(ISNUMBER(F2654),ISNUMBER(G2654)),IF(E2654=G2654,15,0),"")</f>
        <v/>
      </c>
      <c r="K2654" s="22" t="str">
        <f aca="false">IF(AND(ISNUMBER(F2654),ISNUMBER(G2654)),IF(ABS(D2654-E2654)=ABS(F2654-G2654),12,0),"")</f>
        <v/>
      </c>
      <c r="L2654" s="23" t="str">
        <f aca="false">IF(ISNUMBER(H2654),H2654+I2654+J2654+K2654,"")</f>
        <v/>
      </c>
    </row>
    <row r="2655" customFormat="false" ht="18" hidden="false" customHeight="true" outlineLevel="0" collapsed="false">
      <c r="A2655" s="17" t="s">
        <v>9</v>
      </c>
      <c r="B2655" s="18" t="s">
        <v>191</v>
      </c>
      <c r="C2655" s="19" t="s">
        <v>51</v>
      </c>
      <c r="D2655" s="20" t="n">
        <v>2</v>
      </c>
      <c r="E2655" s="20" t="n">
        <v>1</v>
      </c>
      <c r="F2655" s="21" t="n">
        <f aca="false">'📋 Matches'!E15</f>
        <v>0</v>
      </c>
      <c r="G2655" s="21" t="n">
        <f aca="false">'📋 Matches'!F15</f>
        <v>0</v>
      </c>
      <c r="H2655" s="22" t="str">
        <f aca="false">IF(AND(ISNUMBER(F2655),ISNUMBER(G2655)),IF(SIGN(D2655-E2655)=SIGN(F2655-G2655),48,0),"")</f>
        <v/>
      </c>
      <c r="I2655" s="22" t="str">
        <f aca="false">IF(AND(ISNUMBER(F2655),ISNUMBER(G2655)),IF(D2655=F2655,15,0),"")</f>
        <v/>
      </c>
      <c r="J2655" s="22" t="str">
        <f aca="false">IF(AND(ISNUMBER(F2655),ISNUMBER(G2655)),IF(E2655=G2655,15,0),"")</f>
        <v/>
      </c>
      <c r="K2655" s="22" t="str">
        <f aca="false">IF(AND(ISNUMBER(F2655),ISNUMBER(G2655)),IF(ABS(D2655-E2655)=ABS(F2655-G2655),12,0),"")</f>
        <v/>
      </c>
      <c r="L2655" s="23" t="str">
        <f aca="false">IF(ISNUMBER(H2655),H2655+I2655+J2655+K2655,"")</f>
        <v/>
      </c>
    </row>
    <row r="2656" customFormat="false" ht="18" hidden="false" customHeight="true" outlineLevel="0" collapsed="false">
      <c r="A2656" s="17" t="s">
        <v>9</v>
      </c>
      <c r="B2656" s="18" t="s">
        <v>191</v>
      </c>
      <c r="C2656" s="19" t="s">
        <v>54</v>
      </c>
      <c r="D2656" s="20" t="n">
        <v>0</v>
      </c>
      <c r="E2656" s="20" t="n">
        <v>0</v>
      </c>
      <c r="F2656" s="21" t="n">
        <f aca="false">'📋 Matches'!E16</f>
        <v>0</v>
      </c>
      <c r="G2656" s="21" t="n">
        <f aca="false">'📋 Matches'!F16</f>
        <v>0</v>
      </c>
      <c r="H2656" s="22" t="str">
        <f aca="false">IF(AND(ISNUMBER(F2656),ISNUMBER(G2656)),IF(SIGN(D2656-E2656)=SIGN(F2656-G2656),48,0),"")</f>
        <v/>
      </c>
      <c r="I2656" s="22" t="str">
        <f aca="false">IF(AND(ISNUMBER(F2656),ISNUMBER(G2656)),IF(D2656=F2656,15,0),"")</f>
        <v/>
      </c>
      <c r="J2656" s="22" t="str">
        <f aca="false">IF(AND(ISNUMBER(F2656),ISNUMBER(G2656)),IF(E2656=G2656,15,0),"")</f>
        <v/>
      </c>
      <c r="K2656" s="22" t="str">
        <f aca="false">IF(AND(ISNUMBER(F2656),ISNUMBER(G2656)),IF(ABS(D2656-E2656)=ABS(F2656-G2656),12,0),"")</f>
        <v/>
      </c>
      <c r="L2656" s="23" t="str">
        <f aca="false">IF(ISNUMBER(H2656),H2656+I2656+J2656+K2656,"")</f>
        <v/>
      </c>
    </row>
    <row r="2657" customFormat="false" ht="18" hidden="false" customHeight="true" outlineLevel="0" collapsed="false">
      <c r="A2657" s="17" t="s">
        <v>9</v>
      </c>
      <c r="B2657" s="18" t="s">
        <v>191</v>
      </c>
      <c r="C2657" s="19" t="s">
        <v>57</v>
      </c>
      <c r="D2657" s="20" t="n">
        <v>0</v>
      </c>
      <c r="E2657" s="20" t="n">
        <v>0</v>
      </c>
      <c r="F2657" s="21" t="n">
        <f aca="false">'📋 Matches'!E17</f>
        <v>0</v>
      </c>
      <c r="G2657" s="21" t="n">
        <f aca="false">'📋 Matches'!F17</f>
        <v>0</v>
      </c>
      <c r="H2657" s="22" t="str">
        <f aca="false">IF(AND(ISNUMBER(F2657),ISNUMBER(G2657)),IF(SIGN(D2657-E2657)=SIGN(F2657-G2657),48,0),"")</f>
        <v/>
      </c>
      <c r="I2657" s="22" t="str">
        <f aca="false">IF(AND(ISNUMBER(F2657),ISNUMBER(G2657)),IF(D2657=F2657,15,0),"")</f>
        <v/>
      </c>
      <c r="J2657" s="22" t="str">
        <f aca="false">IF(AND(ISNUMBER(F2657),ISNUMBER(G2657)),IF(E2657=G2657,15,0),"")</f>
        <v/>
      </c>
      <c r="K2657" s="22" t="str">
        <f aca="false">IF(AND(ISNUMBER(F2657),ISNUMBER(G2657)),IF(ABS(D2657-E2657)=ABS(F2657-G2657),12,0),"")</f>
        <v/>
      </c>
      <c r="L2657" s="23" t="str">
        <f aca="false">IF(ISNUMBER(H2657),H2657+I2657+J2657+K2657,"")</f>
        <v/>
      </c>
    </row>
    <row r="2658" customFormat="false" ht="18" hidden="false" customHeight="true" outlineLevel="0" collapsed="false">
      <c r="A2658" s="17" t="s">
        <v>9</v>
      </c>
      <c r="B2658" s="18" t="s">
        <v>191</v>
      </c>
      <c r="C2658" s="19" t="s">
        <v>60</v>
      </c>
      <c r="D2658" s="20" t="n">
        <v>3</v>
      </c>
      <c r="E2658" s="20" t="n">
        <v>0</v>
      </c>
      <c r="F2658" s="21" t="n">
        <f aca="false">'📋 Matches'!E18</f>
        <v>0</v>
      </c>
      <c r="G2658" s="21" t="n">
        <f aca="false">'📋 Matches'!F18</f>
        <v>0</v>
      </c>
      <c r="H2658" s="22" t="str">
        <f aca="false">IF(AND(ISNUMBER(F2658),ISNUMBER(G2658)),IF(SIGN(D2658-E2658)=SIGN(F2658-G2658),48,0),"")</f>
        <v/>
      </c>
      <c r="I2658" s="22" t="str">
        <f aca="false">IF(AND(ISNUMBER(F2658),ISNUMBER(G2658)),IF(D2658=F2658,15,0),"")</f>
        <v/>
      </c>
      <c r="J2658" s="22" t="str">
        <f aca="false">IF(AND(ISNUMBER(F2658),ISNUMBER(G2658)),IF(E2658=G2658,15,0),"")</f>
        <v/>
      </c>
      <c r="K2658" s="22" t="str">
        <f aca="false">IF(AND(ISNUMBER(F2658),ISNUMBER(G2658)),IF(ABS(D2658-E2658)=ABS(F2658-G2658),12,0),"")</f>
        <v/>
      </c>
      <c r="L2658" s="23" t="str">
        <f aca="false">IF(ISNUMBER(H2658),H2658+I2658+J2658+K2658,"")</f>
        <v/>
      </c>
    </row>
    <row r="2659" customFormat="false" ht="18" hidden="false" customHeight="true" outlineLevel="0" collapsed="false">
      <c r="A2659" s="17" t="s">
        <v>9</v>
      </c>
      <c r="B2659" s="18" t="s">
        <v>191</v>
      </c>
      <c r="C2659" s="19" t="s">
        <v>63</v>
      </c>
      <c r="D2659" s="20" t="n">
        <v>0</v>
      </c>
      <c r="E2659" s="20" t="n">
        <v>2</v>
      </c>
      <c r="F2659" s="21" t="n">
        <f aca="false">'📋 Matches'!E19</f>
        <v>0</v>
      </c>
      <c r="G2659" s="21" t="n">
        <f aca="false">'📋 Matches'!F19</f>
        <v>0</v>
      </c>
      <c r="H2659" s="22" t="str">
        <f aca="false">IF(AND(ISNUMBER(F2659),ISNUMBER(G2659)),IF(SIGN(D2659-E2659)=SIGN(F2659-G2659),48,0),"")</f>
        <v/>
      </c>
      <c r="I2659" s="22" t="str">
        <f aca="false">IF(AND(ISNUMBER(F2659),ISNUMBER(G2659)),IF(D2659=F2659,15,0),"")</f>
        <v/>
      </c>
      <c r="J2659" s="22" t="str">
        <f aca="false">IF(AND(ISNUMBER(F2659),ISNUMBER(G2659)),IF(E2659=G2659,15,0),"")</f>
        <v/>
      </c>
      <c r="K2659" s="22" t="str">
        <f aca="false">IF(AND(ISNUMBER(F2659),ISNUMBER(G2659)),IF(ABS(D2659-E2659)=ABS(F2659-G2659),12,0),"")</f>
        <v/>
      </c>
      <c r="L2659" s="23" t="str">
        <f aca="false">IF(ISNUMBER(H2659),H2659+I2659+J2659+K2659,"")</f>
        <v/>
      </c>
    </row>
    <row r="2660" customFormat="false" ht="18" hidden="false" customHeight="true" outlineLevel="0" collapsed="false">
      <c r="A2660" s="17" t="s">
        <v>9</v>
      </c>
      <c r="B2660" s="18" t="s">
        <v>191</v>
      </c>
      <c r="C2660" s="19" t="s">
        <v>66</v>
      </c>
      <c r="D2660" s="20" t="n">
        <v>3</v>
      </c>
      <c r="E2660" s="20" t="n">
        <v>0</v>
      </c>
      <c r="F2660" s="21" t="n">
        <f aca="false">'📋 Matches'!E20</f>
        <v>0</v>
      </c>
      <c r="G2660" s="21" t="n">
        <f aca="false">'📋 Matches'!F20</f>
        <v>0</v>
      </c>
      <c r="H2660" s="22" t="str">
        <f aca="false">IF(AND(ISNUMBER(F2660),ISNUMBER(G2660)),IF(SIGN(D2660-E2660)=SIGN(F2660-G2660),48,0),"")</f>
        <v/>
      </c>
      <c r="I2660" s="22" t="str">
        <f aca="false">IF(AND(ISNUMBER(F2660),ISNUMBER(G2660)),IF(D2660=F2660,15,0),"")</f>
        <v/>
      </c>
      <c r="J2660" s="22" t="str">
        <f aca="false">IF(AND(ISNUMBER(F2660),ISNUMBER(G2660)),IF(E2660=G2660,15,0),"")</f>
        <v/>
      </c>
      <c r="K2660" s="22" t="str">
        <f aca="false">IF(AND(ISNUMBER(F2660),ISNUMBER(G2660)),IF(ABS(D2660-E2660)=ABS(F2660-G2660),12,0),"")</f>
        <v/>
      </c>
      <c r="L2660" s="23" t="str">
        <f aca="false">IF(ISNUMBER(H2660),H2660+I2660+J2660+K2660,"")</f>
        <v/>
      </c>
    </row>
    <row r="2661" customFormat="false" ht="18" hidden="false" customHeight="true" outlineLevel="0" collapsed="false">
      <c r="A2661" s="17" t="s">
        <v>9</v>
      </c>
      <c r="B2661" s="18" t="s">
        <v>191</v>
      </c>
      <c r="C2661" s="19" t="s">
        <v>69</v>
      </c>
      <c r="D2661" s="20" t="n">
        <v>3</v>
      </c>
      <c r="E2661" s="20" t="n">
        <v>0</v>
      </c>
      <c r="F2661" s="21" t="n">
        <f aca="false">'📋 Matches'!E21</f>
        <v>0</v>
      </c>
      <c r="G2661" s="21" t="n">
        <f aca="false">'📋 Matches'!F21</f>
        <v>0</v>
      </c>
      <c r="H2661" s="22" t="str">
        <f aca="false">IF(AND(ISNUMBER(F2661),ISNUMBER(G2661)),IF(SIGN(D2661-E2661)=SIGN(F2661-G2661),48,0),"")</f>
        <v/>
      </c>
      <c r="I2661" s="22" t="str">
        <f aca="false">IF(AND(ISNUMBER(F2661),ISNUMBER(G2661)),IF(D2661=F2661,15,0),"")</f>
        <v/>
      </c>
      <c r="J2661" s="22" t="str">
        <f aca="false">IF(AND(ISNUMBER(F2661),ISNUMBER(G2661)),IF(E2661=G2661,15,0),"")</f>
        <v/>
      </c>
      <c r="K2661" s="22" t="str">
        <f aca="false">IF(AND(ISNUMBER(F2661),ISNUMBER(G2661)),IF(ABS(D2661-E2661)=ABS(F2661-G2661),12,0),"")</f>
        <v/>
      </c>
      <c r="L2661" s="23" t="str">
        <f aca="false">IF(ISNUMBER(H2661),H2661+I2661+J2661+K2661,"")</f>
        <v/>
      </c>
    </row>
    <row r="2662" customFormat="false" ht="18" hidden="false" customHeight="true" outlineLevel="0" collapsed="false">
      <c r="A2662" s="17" t="s">
        <v>9</v>
      </c>
      <c r="B2662" s="18" t="s">
        <v>191</v>
      </c>
      <c r="C2662" s="19" t="s">
        <v>72</v>
      </c>
      <c r="D2662" s="20" t="n">
        <v>4</v>
      </c>
      <c r="E2662" s="20" t="n">
        <v>0</v>
      </c>
      <c r="F2662" s="21" t="n">
        <f aca="false">'📋 Matches'!E22</f>
        <v>0</v>
      </c>
      <c r="G2662" s="21" t="n">
        <f aca="false">'📋 Matches'!F22</f>
        <v>0</v>
      </c>
      <c r="H2662" s="22" t="str">
        <f aca="false">IF(AND(ISNUMBER(F2662),ISNUMBER(G2662)),IF(SIGN(D2662-E2662)=SIGN(F2662-G2662),48,0),"")</f>
        <v/>
      </c>
      <c r="I2662" s="22" t="str">
        <f aca="false">IF(AND(ISNUMBER(F2662),ISNUMBER(G2662)),IF(D2662=F2662,15,0),"")</f>
        <v/>
      </c>
      <c r="J2662" s="22" t="str">
        <f aca="false">IF(AND(ISNUMBER(F2662),ISNUMBER(G2662)),IF(E2662=G2662,15,0),"")</f>
        <v/>
      </c>
      <c r="K2662" s="22" t="str">
        <f aca="false">IF(AND(ISNUMBER(F2662),ISNUMBER(G2662)),IF(ABS(D2662-E2662)=ABS(F2662-G2662),12,0),"")</f>
        <v/>
      </c>
      <c r="L2662" s="23" t="str">
        <f aca="false">IF(ISNUMBER(H2662),H2662+I2662+J2662+K2662,"")</f>
        <v/>
      </c>
    </row>
    <row r="2663" customFormat="false" ht="18" hidden="false" customHeight="true" outlineLevel="0" collapsed="false">
      <c r="A2663" s="17" t="s">
        <v>9</v>
      </c>
      <c r="B2663" s="18" t="s">
        <v>191</v>
      </c>
      <c r="C2663" s="19" t="s">
        <v>75</v>
      </c>
      <c r="D2663" s="20" t="n">
        <v>3</v>
      </c>
      <c r="E2663" s="20" t="n">
        <v>2</v>
      </c>
      <c r="F2663" s="21" t="n">
        <f aca="false">'📋 Matches'!E23</f>
        <v>0</v>
      </c>
      <c r="G2663" s="21" t="n">
        <f aca="false">'📋 Matches'!F23</f>
        <v>0</v>
      </c>
      <c r="H2663" s="22" t="str">
        <f aca="false">IF(AND(ISNUMBER(F2663),ISNUMBER(G2663)),IF(SIGN(D2663-E2663)=SIGN(F2663-G2663),48,0),"")</f>
        <v/>
      </c>
      <c r="I2663" s="22" t="str">
        <f aca="false">IF(AND(ISNUMBER(F2663),ISNUMBER(G2663)),IF(D2663=F2663,15,0),"")</f>
        <v/>
      </c>
      <c r="J2663" s="22" t="str">
        <f aca="false">IF(AND(ISNUMBER(F2663),ISNUMBER(G2663)),IF(E2663=G2663,15,0),"")</f>
        <v/>
      </c>
      <c r="K2663" s="22" t="str">
        <f aca="false">IF(AND(ISNUMBER(F2663),ISNUMBER(G2663)),IF(ABS(D2663-E2663)=ABS(F2663-G2663),12,0),"")</f>
        <v/>
      </c>
      <c r="L2663" s="23" t="str">
        <f aca="false">IF(ISNUMBER(H2663),H2663+I2663+J2663+K2663,"")</f>
        <v/>
      </c>
    </row>
    <row r="2664" customFormat="false" ht="18" hidden="false" customHeight="true" outlineLevel="0" collapsed="false">
      <c r="A2664" s="17" t="s">
        <v>9</v>
      </c>
      <c r="B2664" s="18" t="s">
        <v>191</v>
      </c>
      <c r="C2664" s="19" t="s">
        <v>78</v>
      </c>
      <c r="D2664" s="20" t="n">
        <v>1</v>
      </c>
      <c r="E2664" s="20" t="n">
        <v>1</v>
      </c>
      <c r="F2664" s="21" t="n">
        <f aca="false">'📋 Matches'!E24</f>
        <v>0</v>
      </c>
      <c r="G2664" s="21" t="n">
        <f aca="false">'📋 Matches'!F24</f>
        <v>0</v>
      </c>
      <c r="H2664" s="22" t="str">
        <f aca="false">IF(AND(ISNUMBER(F2664),ISNUMBER(G2664)),IF(SIGN(D2664-E2664)=SIGN(F2664-G2664),48,0),"")</f>
        <v/>
      </c>
      <c r="I2664" s="22" t="str">
        <f aca="false">IF(AND(ISNUMBER(F2664),ISNUMBER(G2664)),IF(D2664=F2664,15,0),"")</f>
        <v/>
      </c>
      <c r="J2664" s="22" t="str">
        <f aca="false">IF(AND(ISNUMBER(F2664),ISNUMBER(G2664)),IF(E2664=G2664,15,0),"")</f>
        <v/>
      </c>
      <c r="K2664" s="22" t="str">
        <f aca="false">IF(AND(ISNUMBER(F2664),ISNUMBER(G2664)),IF(ABS(D2664-E2664)=ABS(F2664-G2664),12,0),"")</f>
        <v/>
      </c>
      <c r="L2664" s="23" t="str">
        <f aca="false">IF(ISNUMBER(H2664),H2664+I2664+J2664+K2664,"")</f>
        <v/>
      </c>
    </row>
    <row r="2665" customFormat="false" ht="18" hidden="false" customHeight="true" outlineLevel="0" collapsed="false">
      <c r="A2665" s="17" t="s">
        <v>9</v>
      </c>
      <c r="B2665" s="18" t="s">
        <v>191</v>
      </c>
      <c r="C2665" s="19" t="s">
        <v>81</v>
      </c>
      <c r="D2665" s="20" t="n">
        <v>0</v>
      </c>
      <c r="E2665" s="20" t="n">
        <v>2</v>
      </c>
      <c r="F2665" s="21" t="n">
        <f aca="false">'📋 Matches'!E25</f>
        <v>0</v>
      </c>
      <c r="G2665" s="21" t="n">
        <f aca="false">'📋 Matches'!F25</f>
        <v>0</v>
      </c>
      <c r="H2665" s="22" t="str">
        <f aca="false">IF(AND(ISNUMBER(F2665),ISNUMBER(G2665)),IF(SIGN(D2665-E2665)=SIGN(F2665-G2665),48,0),"")</f>
        <v/>
      </c>
      <c r="I2665" s="22" t="str">
        <f aca="false">IF(AND(ISNUMBER(F2665),ISNUMBER(G2665)),IF(D2665=F2665,15,0),"")</f>
        <v/>
      </c>
      <c r="J2665" s="22" t="str">
        <f aca="false">IF(AND(ISNUMBER(F2665),ISNUMBER(G2665)),IF(E2665=G2665,15,0),"")</f>
        <v/>
      </c>
      <c r="K2665" s="22" t="str">
        <f aca="false">IF(AND(ISNUMBER(F2665),ISNUMBER(G2665)),IF(ABS(D2665-E2665)=ABS(F2665-G2665),12,0),"")</f>
        <v/>
      </c>
      <c r="L2665" s="23" t="str">
        <f aca="false">IF(ISNUMBER(H2665),H2665+I2665+J2665+K2665,"")</f>
        <v/>
      </c>
    </row>
    <row r="2666" customFormat="false" ht="18" hidden="false" customHeight="true" outlineLevel="0" collapsed="false">
      <c r="A2666" s="25" t="s">
        <v>9</v>
      </c>
      <c r="B2666" s="26" t="s">
        <v>192</v>
      </c>
      <c r="C2666" s="27" t="s">
        <v>10</v>
      </c>
      <c r="D2666" s="28" t="n">
        <v>1</v>
      </c>
      <c r="E2666" s="28" t="n">
        <v>2</v>
      </c>
      <c r="F2666" s="29" t="n">
        <f aca="false">'📋 Matches'!E2</f>
        <v>2</v>
      </c>
      <c r="G2666" s="29" t="n">
        <f aca="false">'📋 Matches'!F2</f>
        <v>0</v>
      </c>
      <c r="H2666" s="22" t="n">
        <f aca="false">IF(AND(ISNUMBER(F2666),ISNUMBER(G2666)),IF(SIGN(D2666-E2666)=SIGN(F2666-G2666),48,0),"")</f>
        <v>0</v>
      </c>
      <c r="I2666" s="22" t="n">
        <f aca="false">IF(AND(ISNUMBER(F2666),ISNUMBER(G2666)),IF(D2666=F2666,15,0),"")</f>
        <v>0</v>
      </c>
      <c r="J2666" s="22" t="n">
        <f aca="false">IF(AND(ISNUMBER(F2666),ISNUMBER(G2666)),IF(E2666=G2666,15,0),"")</f>
        <v>0</v>
      </c>
      <c r="K2666" s="22" t="n">
        <f aca="false">IF(AND(ISNUMBER(F2666),ISNUMBER(G2666)),IF(ABS(D2666-E2666)=ABS(F2666-G2666),12,0),"")</f>
        <v>0</v>
      </c>
      <c r="L2666" s="23" t="n">
        <f aca="false">IF(ISNUMBER(H2666),H2666+I2666+J2666+K2666,"")</f>
        <v>0</v>
      </c>
    </row>
    <row r="2667" customFormat="false" ht="18" hidden="false" customHeight="true" outlineLevel="0" collapsed="false">
      <c r="A2667" s="25" t="s">
        <v>9</v>
      </c>
      <c r="B2667" s="26" t="s">
        <v>192</v>
      </c>
      <c r="C2667" s="27" t="s">
        <v>14</v>
      </c>
      <c r="D2667" s="28" t="n">
        <v>3</v>
      </c>
      <c r="E2667" s="28" t="n">
        <v>1</v>
      </c>
      <c r="F2667" s="29" t="n">
        <f aca="false">'📋 Matches'!E3</f>
        <v>2</v>
      </c>
      <c r="G2667" s="29" t="n">
        <f aca="false">'📋 Matches'!F3</f>
        <v>1</v>
      </c>
      <c r="H2667" s="22" t="n">
        <f aca="false">IF(AND(ISNUMBER(F2667),ISNUMBER(G2667)),IF(SIGN(D2667-E2667)=SIGN(F2667-G2667),48,0),"")</f>
        <v>48</v>
      </c>
      <c r="I2667" s="22" t="n">
        <f aca="false">IF(AND(ISNUMBER(F2667),ISNUMBER(G2667)),IF(D2667=F2667,15,0),"")</f>
        <v>0</v>
      </c>
      <c r="J2667" s="22" t="n">
        <f aca="false">IF(AND(ISNUMBER(F2667),ISNUMBER(G2667)),IF(E2667=G2667,15,0),"")</f>
        <v>15</v>
      </c>
      <c r="K2667" s="22" t="n">
        <f aca="false">IF(AND(ISNUMBER(F2667),ISNUMBER(G2667)),IF(ABS(D2667-E2667)=ABS(F2667-G2667),12,0),"")</f>
        <v>0</v>
      </c>
      <c r="L2667" s="23" t="n">
        <f aca="false">IF(ISNUMBER(H2667),H2667+I2667+J2667+K2667,"")</f>
        <v>63</v>
      </c>
    </row>
    <row r="2668" customFormat="false" ht="18" hidden="false" customHeight="true" outlineLevel="0" collapsed="false">
      <c r="A2668" s="25" t="s">
        <v>9</v>
      </c>
      <c r="B2668" s="26" t="s">
        <v>192</v>
      </c>
      <c r="C2668" s="27" t="s">
        <v>17</v>
      </c>
      <c r="D2668" s="28" t="n">
        <v>1</v>
      </c>
      <c r="E2668" s="28" t="n">
        <v>0</v>
      </c>
      <c r="F2668" s="29" t="n">
        <f aca="false">'📋 Matches'!E4</f>
        <v>1</v>
      </c>
      <c r="G2668" s="29" t="n">
        <f aca="false">'📋 Matches'!F4</f>
        <v>1</v>
      </c>
      <c r="H2668" s="22" t="n">
        <f aca="false">IF(AND(ISNUMBER(F2668),ISNUMBER(G2668)),IF(SIGN(D2668-E2668)=SIGN(F2668-G2668),48,0),"")</f>
        <v>0</v>
      </c>
      <c r="I2668" s="22" t="n">
        <f aca="false">IF(AND(ISNUMBER(F2668),ISNUMBER(G2668)),IF(D2668=F2668,15,0),"")</f>
        <v>15</v>
      </c>
      <c r="J2668" s="22" t="n">
        <f aca="false">IF(AND(ISNUMBER(F2668),ISNUMBER(G2668)),IF(E2668=G2668,15,0),"")</f>
        <v>0</v>
      </c>
      <c r="K2668" s="22" t="n">
        <f aca="false">IF(AND(ISNUMBER(F2668),ISNUMBER(G2668)),IF(ABS(D2668-E2668)=ABS(F2668-G2668),12,0),"")</f>
        <v>0</v>
      </c>
      <c r="L2668" s="23" t="n">
        <f aca="false">IF(ISNUMBER(H2668),H2668+I2668+J2668+K2668,"")</f>
        <v>15</v>
      </c>
    </row>
    <row r="2669" customFormat="false" ht="18" hidden="false" customHeight="true" outlineLevel="0" collapsed="false">
      <c r="A2669" s="25" t="s">
        <v>9</v>
      </c>
      <c r="B2669" s="26" t="s">
        <v>192</v>
      </c>
      <c r="C2669" s="27" t="s">
        <v>20</v>
      </c>
      <c r="D2669" s="28" t="n">
        <v>0</v>
      </c>
      <c r="E2669" s="28" t="n">
        <v>2</v>
      </c>
      <c r="F2669" s="29" t="n">
        <f aca="false">'📋 Matches'!E5</f>
        <v>4</v>
      </c>
      <c r="G2669" s="29" t="n">
        <f aca="false">'📋 Matches'!F5</f>
        <v>1</v>
      </c>
      <c r="H2669" s="22" t="n">
        <f aca="false">IF(AND(ISNUMBER(F2669),ISNUMBER(G2669)),IF(SIGN(D2669-E2669)=SIGN(F2669-G2669),48,0),"")</f>
        <v>0</v>
      </c>
      <c r="I2669" s="22" t="n">
        <f aca="false">IF(AND(ISNUMBER(F2669),ISNUMBER(G2669)),IF(D2669=F2669,15,0),"")</f>
        <v>0</v>
      </c>
      <c r="J2669" s="22" t="n">
        <f aca="false">IF(AND(ISNUMBER(F2669),ISNUMBER(G2669)),IF(E2669=G2669,15,0),"")</f>
        <v>0</v>
      </c>
      <c r="K2669" s="22" t="n">
        <f aca="false">IF(AND(ISNUMBER(F2669),ISNUMBER(G2669)),IF(ABS(D2669-E2669)=ABS(F2669-G2669),12,0),"")</f>
        <v>0</v>
      </c>
      <c r="L2669" s="23" t="n">
        <f aca="false">IF(ISNUMBER(H2669),H2669+I2669+J2669+K2669,"")</f>
        <v>0</v>
      </c>
    </row>
    <row r="2670" customFormat="false" ht="18" hidden="false" customHeight="true" outlineLevel="0" collapsed="false">
      <c r="A2670" s="25" t="s">
        <v>9</v>
      </c>
      <c r="B2670" s="26" t="s">
        <v>192</v>
      </c>
      <c r="C2670" s="27" t="s">
        <v>23</v>
      </c>
      <c r="D2670" s="28" t="n">
        <v>3</v>
      </c>
      <c r="E2670" s="28" t="n">
        <v>1</v>
      </c>
      <c r="F2670" s="29" t="n">
        <f aca="false">'📋 Matches'!E6</f>
        <v>0</v>
      </c>
      <c r="G2670" s="29" t="n">
        <f aca="false">'📋 Matches'!F6</f>
        <v>0</v>
      </c>
      <c r="H2670" s="22" t="str">
        <f aca="false">IF(AND(ISNUMBER(F2670),ISNUMBER(G2670)),IF(SIGN(D2670-E2670)=SIGN(F2670-G2670),48,0),"")</f>
        <v/>
      </c>
      <c r="I2670" s="22" t="str">
        <f aca="false">IF(AND(ISNUMBER(F2670),ISNUMBER(G2670)),IF(D2670=F2670,15,0),"")</f>
        <v/>
      </c>
      <c r="J2670" s="22" t="str">
        <f aca="false">IF(AND(ISNUMBER(F2670),ISNUMBER(G2670)),IF(E2670=G2670,15,0),"")</f>
        <v/>
      </c>
      <c r="K2670" s="22" t="str">
        <f aca="false">IF(AND(ISNUMBER(F2670),ISNUMBER(G2670)),IF(ABS(D2670-E2670)=ABS(F2670-G2670),12,0),"")</f>
        <v/>
      </c>
      <c r="L2670" s="23" t="str">
        <f aca="false">IF(ISNUMBER(H2670),H2670+I2670+J2670+K2670,"")</f>
        <v/>
      </c>
    </row>
    <row r="2671" customFormat="false" ht="18" hidden="false" customHeight="true" outlineLevel="0" collapsed="false">
      <c r="A2671" s="25" t="s">
        <v>9</v>
      </c>
      <c r="B2671" s="26" t="s">
        <v>192</v>
      </c>
      <c r="C2671" s="27" t="s">
        <v>27</v>
      </c>
      <c r="D2671" s="28" t="n">
        <v>2</v>
      </c>
      <c r="E2671" s="28" t="n">
        <v>2</v>
      </c>
      <c r="F2671" s="29" t="n">
        <f aca="false">'📋 Matches'!E7</f>
        <v>0</v>
      </c>
      <c r="G2671" s="29" t="n">
        <f aca="false">'📋 Matches'!F7</f>
        <v>0</v>
      </c>
      <c r="H2671" s="22" t="str">
        <f aca="false">IF(AND(ISNUMBER(F2671),ISNUMBER(G2671)),IF(SIGN(D2671-E2671)=SIGN(F2671-G2671),48,0),"")</f>
        <v/>
      </c>
      <c r="I2671" s="22" t="str">
        <f aca="false">IF(AND(ISNUMBER(F2671),ISNUMBER(G2671)),IF(D2671=F2671,15,0),"")</f>
        <v/>
      </c>
      <c r="J2671" s="22" t="str">
        <f aca="false">IF(AND(ISNUMBER(F2671),ISNUMBER(G2671)),IF(E2671=G2671,15,0),"")</f>
        <v/>
      </c>
      <c r="K2671" s="22" t="str">
        <f aca="false">IF(AND(ISNUMBER(F2671),ISNUMBER(G2671)),IF(ABS(D2671-E2671)=ABS(F2671-G2671),12,0),"")</f>
        <v/>
      </c>
      <c r="L2671" s="23" t="str">
        <f aca="false">IF(ISNUMBER(H2671),H2671+I2671+J2671+K2671,"")</f>
        <v/>
      </c>
    </row>
    <row r="2672" customFormat="false" ht="18" hidden="false" customHeight="true" outlineLevel="0" collapsed="false">
      <c r="A2672" s="25" t="s">
        <v>9</v>
      </c>
      <c r="B2672" s="26" t="s">
        <v>192</v>
      </c>
      <c r="C2672" s="27" t="s">
        <v>30</v>
      </c>
      <c r="D2672" s="28" t="n">
        <v>2</v>
      </c>
      <c r="E2672" s="28" t="n">
        <v>1</v>
      </c>
      <c r="F2672" s="29" t="n">
        <f aca="false">'📋 Matches'!E8</f>
        <v>0</v>
      </c>
      <c r="G2672" s="29" t="n">
        <f aca="false">'📋 Matches'!F8</f>
        <v>0</v>
      </c>
      <c r="H2672" s="22" t="str">
        <f aca="false">IF(AND(ISNUMBER(F2672),ISNUMBER(G2672)),IF(SIGN(D2672-E2672)=SIGN(F2672-G2672),48,0),"")</f>
        <v/>
      </c>
      <c r="I2672" s="22" t="str">
        <f aca="false">IF(AND(ISNUMBER(F2672),ISNUMBER(G2672)),IF(D2672=F2672,15,0),"")</f>
        <v/>
      </c>
      <c r="J2672" s="22" t="str">
        <f aca="false">IF(AND(ISNUMBER(F2672),ISNUMBER(G2672)),IF(E2672=G2672,15,0),"")</f>
        <v/>
      </c>
      <c r="K2672" s="22" t="str">
        <f aca="false">IF(AND(ISNUMBER(F2672),ISNUMBER(G2672)),IF(ABS(D2672-E2672)=ABS(F2672-G2672),12,0),"")</f>
        <v/>
      </c>
      <c r="L2672" s="23" t="str">
        <f aca="false">IF(ISNUMBER(H2672),H2672+I2672+J2672+K2672,"")</f>
        <v/>
      </c>
    </row>
    <row r="2673" customFormat="false" ht="18" hidden="false" customHeight="true" outlineLevel="0" collapsed="false">
      <c r="A2673" s="25" t="s">
        <v>9</v>
      </c>
      <c r="B2673" s="26" t="s">
        <v>192</v>
      </c>
      <c r="C2673" s="27" t="s">
        <v>33</v>
      </c>
      <c r="D2673" s="28" t="n">
        <v>0</v>
      </c>
      <c r="E2673" s="28" t="n">
        <v>1</v>
      </c>
      <c r="F2673" s="29" t="n">
        <f aca="false">'📋 Matches'!E9</f>
        <v>0</v>
      </c>
      <c r="G2673" s="29" t="n">
        <f aca="false">'📋 Matches'!F9</f>
        <v>0</v>
      </c>
      <c r="H2673" s="22" t="str">
        <f aca="false">IF(AND(ISNUMBER(F2673),ISNUMBER(G2673)),IF(SIGN(D2673-E2673)=SIGN(F2673-G2673),48,0),"")</f>
        <v/>
      </c>
      <c r="I2673" s="22" t="str">
        <f aca="false">IF(AND(ISNUMBER(F2673),ISNUMBER(G2673)),IF(D2673=F2673,15,0),"")</f>
        <v/>
      </c>
      <c r="J2673" s="22" t="str">
        <f aca="false">IF(AND(ISNUMBER(F2673),ISNUMBER(G2673)),IF(E2673=G2673,15,0),"")</f>
        <v/>
      </c>
      <c r="K2673" s="22" t="str">
        <f aca="false">IF(AND(ISNUMBER(F2673),ISNUMBER(G2673)),IF(ABS(D2673-E2673)=ABS(F2673-G2673),12,0),"")</f>
        <v/>
      </c>
      <c r="L2673" s="23" t="str">
        <f aca="false">IF(ISNUMBER(H2673),H2673+I2673+J2673+K2673,"")</f>
        <v/>
      </c>
    </row>
    <row r="2674" customFormat="false" ht="18" hidden="false" customHeight="true" outlineLevel="0" collapsed="false">
      <c r="A2674" s="25" t="s">
        <v>9</v>
      </c>
      <c r="B2674" s="26" t="s">
        <v>192</v>
      </c>
      <c r="C2674" s="27" t="s">
        <v>36</v>
      </c>
      <c r="D2674" s="28" t="n">
        <v>2</v>
      </c>
      <c r="E2674" s="28" t="n">
        <v>0</v>
      </c>
      <c r="F2674" s="29" t="n">
        <f aca="false">'📋 Matches'!E10</f>
        <v>0</v>
      </c>
      <c r="G2674" s="29" t="n">
        <f aca="false">'📋 Matches'!F10</f>
        <v>0</v>
      </c>
      <c r="H2674" s="22" t="str">
        <f aca="false">IF(AND(ISNUMBER(F2674),ISNUMBER(G2674)),IF(SIGN(D2674-E2674)=SIGN(F2674-G2674),48,0),"")</f>
        <v/>
      </c>
      <c r="I2674" s="22" t="str">
        <f aca="false">IF(AND(ISNUMBER(F2674),ISNUMBER(G2674)),IF(D2674=F2674,15,0),"")</f>
        <v/>
      </c>
      <c r="J2674" s="22" t="str">
        <f aca="false">IF(AND(ISNUMBER(F2674),ISNUMBER(G2674)),IF(E2674=G2674,15,0),"")</f>
        <v/>
      </c>
      <c r="K2674" s="22" t="str">
        <f aca="false">IF(AND(ISNUMBER(F2674),ISNUMBER(G2674)),IF(ABS(D2674-E2674)=ABS(F2674-G2674),12,0),"")</f>
        <v/>
      </c>
      <c r="L2674" s="23" t="str">
        <f aca="false">IF(ISNUMBER(H2674),H2674+I2674+J2674+K2674,"")</f>
        <v/>
      </c>
    </row>
    <row r="2675" customFormat="false" ht="18" hidden="false" customHeight="true" outlineLevel="0" collapsed="false">
      <c r="A2675" s="25" t="s">
        <v>9</v>
      </c>
      <c r="B2675" s="26" t="s">
        <v>192</v>
      </c>
      <c r="C2675" s="27" t="s">
        <v>39</v>
      </c>
      <c r="D2675" s="28" t="n">
        <v>0</v>
      </c>
      <c r="E2675" s="28" t="n">
        <v>3</v>
      </c>
      <c r="F2675" s="29" t="n">
        <f aca="false">'📋 Matches'!E11</f>
        <v>0</v>
      </c>
      <c r="G2675" s="29" t="n">
        <f aca="false">'📋 Matches'!F11</f>
        <v>0</v>
      </c>
      <c r="H2675" s="22" t="str">
        <f aca="false">IF(AND(ISNUMBER(F2675),ISNUMBER(G2675)),IF(SIGN(D2675-E2675)=SIGN(F2675-G2675),48,0),"")</f>
        <v/>
      </c>
      <c r="I2675" s="22" t="str">
        <f aca="false">IF(AND(ISNUMBER(F2675),ISNUMBER(G2675)),IF(D2675=F2675,15,0),"")</f>
        <v/>
      </c>
      <c r="J2675" s="22" t="str">
        <f aca="false">IF(AND(ISNUMBER(F2675),ISNUMBER(G2675)),IF(E2675=G2675,15,0),"")</f>
        <v/>
      </c>
      <c r="K2675" s="22" t="str">
        <f aca="false">IF(AND(ISNUMBER(F2675),ISNUMBER(G2675)),IF(ABS(D2675-E2675)=ABS(F2675-G2675),12,0),"")</f>
        <v/>
      </c>
      <c r="L2675" s="23" t="str">
        <f aca="false">IF(ISNUMBER(H2675),H2675+I2675+J2675+K2675,"")</f>
        <v/>
      </c>
    </row>
    <row r="2676" customFormat="false" ht="18" hidden="false" customHeight="true" outlineLevel="0" collapsed="false">
      <c r="A2676" s="25" t="s">
        <v>9</v>
      </c>
      <c r="B2676" s="26" t="s">
        <v>192</v>
      </c>
      <c r="C2676" s="27" t="s">
        <v>42</v>
      </c>
      <c r="D2676" s="28" t="n">
        <v>0</v>
      </c>
      <c r="E2676" s="28" t="n">
        <v>0</v>
      </c>
      <c r="F2676" s="29" t="n">
        <f aca="false">'📋 Matches'!E12</f>
        <v>0</v>
      </c>
      <c r="G2676" s="29" t="n">
        <f aca="false">'📋 Matches'!F12</f>
        <v>0</v>
      </c>
      <c r="H2676" s="22" t="str">
        <f aca="false">IF(AND(ISNUMBER(F2676),ISNUMBER(G2676)),IF(SIGN(D2676-E2676)=SIGN(F2676-G2676),48,0),"")</f>
        <v/>
      </c>
      <c r="I2676" s="22" t="str">
        <f aca="false">IF(AND(ISNUMBER(F2676),ISNUMBER(G2676)),IF(D2676=F2676,15,0),"")</f>
        <v/>
      </c>
      <c r="J2676" s="22" t="str">
        <f aca="false">IF(AND(ISNUMBER(F2676),ISNUMBER(G2676)),IF(E2676=G2676,15,0),"")</f>
        <v/>
      </c>
      <c r="K2676" s="22" t="str">
        <f aca="false">IF(AND(ISNUMBER(F2676),ISNUMBER(G2676)),IF(ABS(D2676-E2676)=ABS(F2676-G2676),12,0),"")</f>
        <v/>
      </c>
      <c r="L2676" s="23" t="str">
        <f aca="false">IF(ISNUMBER(H2676),H2676+I2676+J2676+K2676,"")</f>
        <v/>
      </c>
    </row>
    <row r="2677" customFormat="false" ht="18" hidden="false" customHeight="true" outlineLevel="0" collapsed="false">
      <c r="A2677" s="25" t="s">
        <v>9</v>
      </c>
      <c r="B2677" s="26" t="s">
        <v>192</v>
      </c>
      <c r="C2677" s="27" t="s">
        <v>45</v>
      </c>
      <c r="D2677" s="28" t="n">
        <v>1</v>
      </c>
      <c r="E2677" s="28" t="n">
        <v>2</v>
      </c>
      <c r="F2677" s="29" t="n">
        <f aca="false">'📋 Matches'!E13</f>
        <v>0</v>
      </c>
      <c r="G2677" s="29" t="n">
        <f aca="false">'📋 Matches'!F13</f>
        <v>0</v>
      </c>
      <c r="H2677" s="22" t="str">
        <f aca="false">IF(AND(ISNUMBER(F2677),ISNUMBER(G2677)),IF(SIGN(D2677-E2677)=SIGN(F2677-G2677),48,0),"")</f>
        <v/>
      </c>
      <c r="I2677" s="22" t="str">
        <f aca="false">IF(AND(ISNUMBER(F2677),ISNUMBER(G2677)),IF(D2677=F2677,15,0),"")</f>
        <v/>
      </c>
      <c r="J2677" s="22" t="str">
        <f aca="false">IF(AND(ISNUMBER(F2677),ISNUMBER(G2677)),IF(E2677=G2677,15,0),"")</f>
        <v/>
      </c>
      <c r="K2677" s="22" t="str">
        <f aca="false">IF(AND(ISNUMBER(F2677),ISNUMBER(G2677)),IF(ABS(D2677-E2677)=ABS(F2677-G2677),12,0),"")</f>
        <v/>
      </c>
      <c r="L2677" s="23" t="str">
        <f aca="false">IF(ISNUMBER(H2677),H2677+I2677+J2677+K2677,"")</f>
        <v/>
      </c>
    </row>
    <row r="2678" customFormat="false" ht="18" hidden="false" customHeight="true" outlineLevel="0" collapsed="false">
      <c r="A2678" s="25" t="s">
        <v>9</v>
      </c>
      <c r="B2678" s="26" t="s">
        <v>192</v>
      </c>
      <c r="C2678" s="27" t="s">
        <v>48</v>
      </c>
      <c r="D2678" s="28" t="n">
        <v>4</v>
      </c>
      <c r="E2678" s="28" t="n">
        <v>1</v>
      </c>
      <c r="F2678" s="29" t="n">
        <f aca="false">'📋 Matches'!E14</f>
        <v>0</v>
      </c>
      <c r="G2678" s="29" t="n">
        <f aca="false">'📋 Matches'!F14</f>
        <v>0</v>
      </c>
      <c r="H2678" s="22" t="str">
        <f aca="false">IF(AND(ISNUMBER(F2678),ISNUMBER(G2678)),IF(SIGN(D2678-E2678)=SIGN(F2678-G2678),48,0),"")</f>
        <v/>
      </c>
      <c r="I2678" s="22" t="str">
        <f aca="false">IF(AND(ISNUMBER(F2678),ISNUMBER(G2678)),IF(D2678=F2678,15,0),"")</f>
        <v/>
      </c>
      <c r="J2678" s="22" t="str">
        <f aca="false">IF(AND(ISNUMBER(F2678),ISNUMBER(G2678)),IF(E2678=G2678,15,0),"")</f>
        <v/>
      </c>
      <c r="K2678" s="22" t="str">
        <f aca="false">IF(AND(ISNUMBER(F2678),ISNUMBER(G2678)),IF(ABS(D2678-E2678)=ABS(F2678-G2678),12,0),"")</f>
        <v/>
      </c>
      <c r="L2678" s="23" t="str">
        <f aca="false">IF(ISNUMBER(H2678),H2678+I2678+J2678+K2678,"")</f>
        <v/>
      </c>
    </row>
    <row r="2679" customFormat="false" ht="18" hidden="false" customHeight="true" outlineLevel="0" collapsed="false">
      <c r="A2679" s="25" t="s">
        <v>9</v>
      </c>
      <c r="B2679" s="26" t="s">
        <v>192</v>
      </c>
      <c r="C2679" s="27" t="s">
        <v>51</v>
      </c>
      <c r="D2679" s="28" t="n">
        <v>1</v>
      </c>
      <c r="E2679" s="28" t="n">
        <v>2</v>
      </c>
      <c r="F2679" s="29" t="n">
        <f aca="false">'📋 Matches'!E15</f>
        <v>0</v>
      </c>
      <c r="G2679" s="29" t="n">
        <f aca="false">'📋 Matches'!F15</f>
        <v>0</v>
      </c>
      <c r="H2679" s="22" t="str">
        <f aca="false">IF(AND(ISNUMBER(F2679),ISNUMBER(G2679)),IF(SIGN(D2679-E2679)=SIGN(F2679-G2679),48,0),"")</f>
        <v/>
      </c>
      <c r="I2679" s="22" t="str">
        <f aca="false">IF(AND(ISNUMBER(F2679),ISNUMBER(G2679)),IF(D2679=F2679,15,0),"")</f>
        <v/>
      </c>
      <c r="J2679" s="22" t="str">
        <f aca="false">IF(AND(ISNUMBER(F2679),ISNUMBER(G2679)),IF(E2679=G2679,15,0),"")</f>
        <v/>
      </c>
      <c r="K2679" s="22" t="str">
        <f aca="false">IF(AND(ISNUMBER(F2679),ISNUMBER(G2679)),IF(ABS(D2679-E2679)=ABS(F2679-G2679),12,0),"")</f>
        <v/>
      </c>
      <c r="L2679" s="23" t="str">
        <f aca="false">IF(ISNUMBER(H2679),H2679+I2679+J2679+K2679,"")</f>
        <v/>
      </c>
    </row>
    <row r="2680" customFormat="false" ht="18" hidden="false" customHeight="true" outlineLevel="0" collapsed="false">
      <c r="A2680" s="25" t="s">
        <v>9</v>
      </c>
      <c r="B2680" s="26" t="s">
        <v>192</v>
      </c>
      <c r="C2680" s="27" t="s">
        <v>54</v>
      </c>
      <c r="D2680" s="28" t="n">
        <v>4</v>
      </c>
      <c r="E2680" s="28" t="n">
        <v>3</v>
      </c>
      <c r="F2680" s="29" t="n">
        <f aca="false">'📋 Matches'!E16</f>
        <v>0</v>
      </c>
      <c r="G2680" s="29" t="n">
        <f aca="false">'📋 Matches'!F16</f>
        <v>0</v>
      </c>
      <c r="H2680" s="22" t="str">
        <f aca="false">IF(AND(ISNUMBER(F2680),ISNUMBER(G2680)),IF(SIGN(D2680-E2680)=SIGN(F2680-G2680),48,0),"")</f>
        <v/>
      </c>
      <c r="I2680" s="22" t="str">
        <f aca="false">IF(AND(ISNUMBER(F2680),ISNUMBER(G2680)),IF(D2680=F2680,15,0),"")</f>
        <v/>
      </c>
      <c r="J2680" s="22" t="str">
        <f aca="false">IF(AND(ISNUMBER(F2680),ISNUMBER(G2680)),IF(E2680=G2680,15,0),"")</f>
        <v/>
      </c>
      <c r="K2680" s="22" t="str">
        <f aca="false">IF(AND(ISNUMBER(F2680),ISNUMBER(G2680)),IF(ABS(D2680-E2680)=ABS(F2680-G2680),12,0),"")</f>
        <v/>
      </c>
      <c r="L2680" s="23" t="str">
        <f aca="false">IF(ISNUMBER(H2680),H2680+I2680+J2680+K2680,"")</f>
        <v/>
      </c>
    </row>
    <row r="2681" customFormat="false" ht="18" hidden="false" customHeight="true" outlineLevel="0" collapsed="false">
      <c r="A2681" s="25" t="s">
        <v>9</v>
      </c>
      <c r="B2681" s="26" t="s">
        <v>192</v>
      </c>
      <c r="C2681" s="27" t="s">
        <v>57</v>
      </c>
      <c r="D2681" s="28" t="n">
        <v>0</v>
      </c>
      <c r="E2681" s="28" t="n">
        <v>1</v>
      </c>
      <c r="F2681" s="29" t="n">
        <f aca="false">'📋 Matches'!E17</f>
        <v>0</v>
      </c>
      <c r="G2681" s="29" t="n">
        <f aca="false">'📋 Matches'!F17</f>
        <v>0</v>
      </c>
      <c r="H2681" s="22" t="str">
        <f aca="false">IF(AND(ISNUMBER(F2681),ISNUMBER(G2681)),IF(SIGN(D2681-E2681)=SIGN(F2681-G2681),48,0),"")</f>
        <v/>
      </c>
      <c r="I2681" s="22" t="str">
        <f aca="false">IF(AND(ISNUMBER(F2681),ISNUMBER(G2681)),IF(D2681=F2681,15,0),"")</f>
        <v/>
      </c>
      <c r="J2681" s="22" t="str">
        <f aca="false">IF(AND(ISNUMBER(F2681),ISNUMBER(G2681)),IF(E2681=G2681,15,0),"")</f>
        <v/>
      </c>
      <c r="K2681" s="22" t="str">
        <f aca="false">IF(AND(ISNUMBER(F2681),ISNUMBER(G2681)),IF(ABS(D2681-E2681)=ABS(F2681-G2681),12,0),"")</f>
        <v/>
      </c>
      <c r="L2681" s="23" t="str">
        <f aca="false">IF(ISNUMBER(H2681),H2681+I2681+J2681+K2681,"")</f>
        <v/>
      </c>
    </row>
    <row r="2682" customFormat="false" ht="18" hidden="false" customHeight="true" outlineLevel="0" collapsed="false">
      <c r="A2682" s="25" t="s">
        <v>9</v>
      </c>
      <c r="B2682" s="26" t="s">
        <v>192</v>
      </c>
      <c r="C2682" s="27" t="s">
        <v>60</v>
      </c>
      <c r="D2682" s="28" t="n">
        <v>2</v>
      </c>
      <c r="E2682" s="28" t="n">
        <v>1</v>
      </c>
      <c r="F2682" s="29" t="n">
        <f aca="false">'📋 Matches'!E18</f>
        <v>0</v>
      </c>
      <c r="G2682" s="29" t="n">
        <f aca="false">'📋 Matches'!F18</f>
        <v>0</v>
      </c>
      <c r="H2682" s="22" t="str">
        <f aca="false">IF(AND(ISNUMBER(F2682),ISNUMBER(G2682)),IF(SIGN(D2682-E2682)=SIGN(F2682-G2682),48,0),"")</f>
        <v/>
      </c>
      <c r="I2682" s="22" t="str">
        <f aca="false">IF(AND(ISNUMBER(F2682),ISNUMBER(G2682)),IF(D2682=F2682,15,0),"")</f>
        <v/>
      </c>
      <c r="J2682" s="22" t="str">
        <f aca="false">IF(AND(ISNUMBER(F2682),ISNUMBER(G2682)),IF(E2682=G2682,15,0),"")</f>
        <v/>
      </c>
      <c r="K2682" s="22" t="str">
        <f aca="false">IF(AND(ISNUMBER(F2682),ISNUMBER(G2682)),IF(ABS(D2682-E2682)=ABS(F2682-G2682),12,0),"")</f>
        <v/>
      </c>
      <c r="L2682" s="23" t="str">
        <f aca="false">IF(ISNUMBER(H2682),H2682+I2682+J2682+K2682,"")</f>
        <v/>
      </c>
    </row>
    <row r="2683" customFormat="false" ht="18" hidden="false" customHeight="true" outlineLevel="0" collapsed="false">
      <c r="A2683" s="25" t="s">
        <v>9</v>
      </c>
      <c r="B2683" s="26" t="s">
        <v>192</v>
      </c>
      <c r="C2683" s="27" t="s">
        <v>63</v>
      </c>
      <c r="D2683" s="28" t="n">
        <v>1</v>
      </c>
      <c r="E2683" s="28" t="n">
        <v>1</v>
      </c>
      <c r="F2683" s="29" t="n">
        <f aca="false">'📋 Matches'!E19</f>
        <v>0</v>
      </c>
      <c r="G2683" s="29" t="n">
        <f aca="false">'📋 Matches'!F19</f>
        <v>0</v>
      </c>
      <c r="H2683" s="22" t="str">
        <f aca="false">IF(AND(ISNUMBER(F2683),ISNUMBER(G2683)),IF(SIGN(D2683-E2683)=SIGN(F2683-G2683),48,0),"")</f>
        <v/>
      </c>
      <c r="I2683" s="22" t="str">
        <f aca="false">IF(AND(ISNUMBER(F2683),ISNUMBER(G2683)),IF(D2683=F2683,15,0),"")</f>
        <v/>
      </c>
      <c r="J2683" s="22" t="str">
        <f aca="false">IF(AND(ISNUMBER(F2683),ISNUMBER(G2683)),IF(E2683=G2683,15,0),"")</f>
        <v/>
      </c>
      <c r="K2683" s="22" t="str">
        <f aca="false">IF(AND(ISNUMBER(F2683),ISNUMBER(G2683)),IF(ABS(D2683-E2683)=ABS(F2683-G2683),12,0),"")</f>
        <v/>
      </c>
      <c r="L2683" s="23" t="str">
        <f aca="false">IF(ISNUMBER(H2683),H2683+I2683+J2683+K2683,"")</f>
        <v/>
      </c>
    </row>
    <row r="2684" customFormat="false" ht="18" hidden="false" customHeight="true" outlineLevel="0" collapsed="false">
      <c r="A2684" s="25" t="s">
        <v>9</v>
      </c>
      <c r="B2684" s="26" t="s">
        <v>192</v>
      </c>
      <c r="C2684" s="27" t="s">
        <v>66</v>
      </c>
      <c r="D2684" s="28" t="n">
        <v>3</v>
      </c>
      <c r="E2684" s="28" t="n">
        <v>2</v>
      </c>
      <c r="F2684" s="29" t="n">
        <f aca="false">'📋 Matches'!E20</f>
        <v>0</v>
      </c>
      <c r="G2684" s="29" t="n">
        <f aca="false">'📋 Matches'!F20</f>
        <v>0</v>
      </c>
      <c r="H2684" s="22" t="str">
        <f aca="false">IF(AND(ISNUMBER(F2684),ISNUMBER(G2684)),IF(SIGN(D2684-E2684)=SIGN(F2684-G2684),48,0),"")</f>
        <v/>
      </c>
      <c r="I2684" s="22" t="str">
        <f aca="false">IF(AND(ISNUMBER(F2684),ISNUMBER(G2684)),IF(D2684=F2684,15,0),"")</f>
        <v/>
      </c>
      <c r="J2684" s="22" t="str">
        <f aca="false">IF(AND(ISNUMBER(F2684),ISNUMBER(G2684)),IF(E2684=G2684,15,0),"")</f>
        <v/>
      </c>
      <c r="K2684" s="22" t="str">
        <f aca="false">IF(AND(ISNUMBER(F2684),ISNUMBER(G2684)),IF(ABS(D2684-E2684)=ABS(F2684-G2684),12,0),"")</f>
        <v/>
      </c>
      <c r="L2684" s="23" t="str">
        <f aca="false">IF(ISNUMBER(H2684),H2684+I2684+J2684+K2684,"")</f>
        <v/>
      </c>
    </row>
    <row r="2685" customFormat="false" ht="18" hidden="false" customHeight="true" outlineLevel="0" collapsed="false">
      <c r="A2685" s="25" t="s">
        <v>9</v>
      </c>
      <c r="B2685" s="26" t="s">
        <v>192</v>
      </c>
      <c r="C2685" s="27" t="s">
        <v>69</v>
      </c>
      <c r="D2685" s="28" t="n">
        <v>1</v>
      </c>
      <c r="E2685" s="28" t="n">
        <v>3</v>
      </c>
      <c r="F2685" s="29" t="n">
        <f aca="false">'📋 Matches'!E21</f>
        <v>0</v>
      </c>
      <c r="G2685" s="29" t="n">
        <f aca="false">'📋 Matches'!F21</f>
        <v>0</v>
      </c>
      <c r="H2685" s="22" t="str">
        <f aca="false">IF(AND(ISNUMBER(F2685),ISNUMBER(G2685)),IF(SIGN(D2685-E2685)=SIGN(F2685-G2685),48,0),"")</f>
        <v/>
      </c>
      <c r="I2685" s="22" t="str">
        <f aca="false">IF(AND(ISNUMBER(F2685),ISNUMBER(G2685)),IF(D2685=F2685,15,0),"")</f>
        <v/>
      </c>
      <c r="J2685" s="22" t="str">
        <f aca="false">IF(AND(ISNUMBER(F2685),ISNUMBER(G2685)),IF(E2685=G2685,15,0),"")</f>
        <v/>
      </c>
      <c r="K2685" s="22" t="str">
        <f aca="false">IF(AND(ISNUMBER(F2685),ISNUMBER(G2685)),IF(ABS(D2685-E2685)=ABS(F2685-G2685),12,0),"")</f>
        <v/>
      </c>
      <c r="L2685" s="23" t="str">
        <f aca="false">IF(ISNUMBER(H2685),H2685+I2685+J2685+K2685,"")</f>
        <v/>
      </c>
    </row>
    <row r="2686" customFormat="false" ht="18" hidden="false" customHeight="true" outlineLevel="0" collapsed="false">
      <c r="A2686" s="25" t="s">
        <v>9</v>
      </c>
      <c r="B2686" s="26" t="s">
        <v>192</v>
      </c>
      <c r="C2686" s="27" t="s">
        <v>72</v>
      </c>
      <c r="D2686" s="28" t="n">
        <v>3</v>
      </c>
      <c r="E2686" s="28" t="n">
        <v>2</v>
      </c>
      <c r="F2686" s="29" t="n">
        <f aca="false">'📋 Matches'!E22</f>
        <v>0</v>
      </c>
      <c r="G2686" s="29" t="n">
        <f aca="false">'📋 Matches'!F22</f>
        <v>0</v>
      </c>
      <c r="H2686" s="22" t="str">
        <f aca="false">IF(AND(ISNUMBER(F2686),ISNUMBER(G2686)),IF(SIGN(D2686-E2686)=SIGN(F2686-G2686),48,0),"")</f>
        <v/>
      </c>
      <c r="I2686" s="22" t="str">
        <f aca="false">IF(AND(ISNUMBER(F2686),ISNUMBER(G2686)),IF(D2686=F2686,15,0),"")</f>
        <v/>
      </c>
      <c r="J2686" s="22" t="str">
        <f aca="false">IF(AND(ISNUMBER(F2686),ISNUMBER(G2686)),IF(E2686=G2686,15,0),"")</f>
        <v/>
      </c>
      <c r="K2686" s="22" t="str">
        <f aca="false">IF(AND(ISNUMBER(F2686),ISNUMBER(G2686)),IF(ABS(D2686-E2686)=ABS(F2686-G2686),12,0),"")</f>
        <v/>
      </c>
      <c r="L2686" s="23" t="str">
        <f aca="false">IF(ISNUMBER(H2686),H2686+I2686+J2686+K2686,"")</f>
        <v/>
      </c>
    </row>
    <row r="2687" customFormat="false" ht="18" hidden="false" customHeight="true" outlineLevel="0" collapsed="false">
      <c r="A2687" s="25" t="s">
        <v>9</v>
      </c>
      <c r="B2687" s="26" t="s">
        <v>192</v>
      </c>
      <c r="C2687" s="27" t="s">
        <v>75</v>
      </c>
      <c r="D2687" s="28" t="n">
        <v>2</v>
      </c>
      <c r="E2687" s="28" t="n">
        <v>2</v>
      </c>
      <c r="F2687" s="29" t="n">
        <f aca="false">'📋 Matches'!E23</f>
        <v>0</v>
      </c>
      <c r="G2687" s="29" t="n">
        <f aca="false">'📋 Matches'!F23</f>
        <v>0</v>
      </c>
      <c r="H2687" s="22" t="str">
        <f aca="false">IF(AND(ISNUMBER(F2687),ISNUMBER(G2687)),IF(SIGN(D2687-E2687)=SIGN(F2687-G2687),48,0),"")</f>
        <v/>
      </c>
      <c r="I2687" s="22" t="str">
        <f aca="false">IF(AND(ISNUMBER(F2687),ISNUMBER(G2687)),IF(D2687=F2687,15,0),"")</f>
        <v/>
      </c>
      <c r="J2687" s="22" t="str">
        <f aca="false">IF(AND(ISNUMBER(F2687),ISNUMBER(G2687)),IF(E2687=G2687,15,0),"")</f>
        <v/>
      </c>
      <c r="K2687" s="22" t="str">
        <f aca="false">IF(AND(ISNUMBER(F2687),ISNUMBER(G2687)),IF(ABS(D2687-E2687)=ABS(F2687-G2687),12,0),"")</f>
        <v/>
      </c>
      <c r="L2687" s="23" t="str">
        <f aca="false">IF(ISNUMBER(H2687),H2687+I2687+J2687+K2687,"")</f>
        <v/>
      </c>
    </row>
    <row r="2688" customFormat="false" ht="18" hidden="false" customHeight="true" outlineLevel="0" collapsed="false">
      <c r="A2688" s="25" t="s">
        <v>9</v>
      </c>
      <c r="B2688" s="26" t="s">
        <v>192</v>
      </c>
      <c r="C2688" s="27" t="s">
        <v>78</v>
      </c>
      <c r="D2688" s="28" t="n">
        <v>2</v>
      </c>
      <c r="E2688" s="28" t="n">
        <v>1</v>
      </c>
      <c r="F2688" s="29" t="n">
        <f aca="false">'📋 Matches'!E24</f>
        <v>0</v>
      </c>
      <c r="G2688" s="29" t="n">
        <f aca="false">'📋 Matches'!F24</f>
        <v>0</v>
      </c>
      <c r="H2688" s="22" t="str">
        <f aca="false">IF(AND(ISNUMBER(F2688),ISNUMBER(G2688)),IF(SIGN(D2688-E2688)=SIGN(F2688-G2688),48,0),"")</f>
        <v/>
      </c>
      <c r="I2688" s="22" t="str">
        <f aca="false">IF(AND(ISNUMBER(F2688),ISNUMBER(G2688)),IF(D2688=F2688,15,0),"")</f>
        <v/>
      </c>
      <c r="J2688" s="22" t="str">
        <f aca="false">IF(AND(ISNUMBER(F2688),ISNUMBER(G2688)),IF(E2688=G2688,15,0),"")</f>
        <v/>
      </c>
      <c r="K2688" s="22" t="str">
        <f aca="false">IF(AND(ISNUMBER(F2688),ISNUMBER(G2688)),IF(ABS(D2688-E2688)=ABS(F2688-G2688),12,0),"")</f>
        <v/>
      </c>
      <c r="L2688" s="23" t="str">
        <f aca="false">IF(ISNUMBER(H2688),H2688+I2688+J2688+K2688,"")</f>
        <v/>
      </c>
    </row>
    <row r="2689" customFormat="false" ht="18" hidden="false" customHeight="true" outlineLevel="0" collapsed="false">
      <c r="A2689" s="25" t="s">
        <v>9</v>
      </c>
      <c r="B2689" s="26" t="s">
        <v>192</v>
      </c>
      <c r="C2689" s="27" t="s">
        <v>81</v>
      </c>
      <c r="D2689" s="28" t="n">
        <v>2</v>
      </c>
      <c r="E2689" s="28" t="n">
        <v>1</v>
      </c>
      <c r="F2689" s="29" t="n">
        <f aca="false">'📋 Matches'!E25</f>
        <v>0</v>
      </c>
      <c r="G2689" s="29" t="n">
        <f aca="false">'📋 Matches'!F25</f>
        <v>0</v>
      </c>
      <c r="H2689" s="22" t="str">
        <f aca="false">IF(AND(ISNUMBER(F2689),ISNUMBER(G2689)),IF(SIGN(D2689-E2689)=SIGN(F2689-G2689),48,0),"")</f>
        <v/>
      </c>
      <c r="I2689" s="22" t="str">
        <f aca="false">IF(AND(ISNUMBER(F2689),ISNUMBER(G2689)),IF(D2689=F2689,15,0),"")</f>
        <v/>
      </c>
      <c r="J2689" s="22" t="str">
        <f aca="false">IF(AND(ISNUMBER(F2689),ISNUMBER(G2689)),IF(E2689=G2689,15,0),"")</f>
        <v/>
      </c>
      <c r="K2689" s="22" t="str">
        <f aca="false">IF(AND(ISNUMBER(F2689),ISNUMBER(G2689)),IF(ABS(D2689-E2689)=ABS(F2689-G2689),12,0),"")</f>
        <v/>
      </c>
      <c r="L2689" s="23" t="str">
        <f aca="false">IF(ISNUMBER(H2689),H2689+I2689+J2689+K2689,"")</f>
        <v/>
      </c>
    </row>
    <row r="2690" customFormat="false" ht="18" hidden="false" customHeight="true" outlineLevel="0" collapsed="false">
      <c r="A2690" s="17" t="s">
        <v>9</v>
      </c>
      <c r="B2690" s="18" t="s">
        <v>193</v>
      </c>
      <c r="C2690" s="19" t="s">
        <v>10</v>
      </c>
      <c r="D2690" s="20" t="n">
        <v>2</v>
      </c>
      <c r="E2690" s="20" t="n">
        <v>1</v>
      </c>
      <c r="F2690" s="21" t="n">
        <f aca="false">'📋 Matches'!E2</f>
        <v>2</v>
      </c>
      <c r="G2690" s="21" t="n">
        <f aca="false">'📋 Matches'!F2</f>
        <v>0</v>
      </c>
      <c r="H2690" s="22" t="n">
        <f aca="false">IF(AND(ISNUMBER(F2690),ISNUMBER(G2690)),IF(SIGN(D2690-E2690)=SIGN(F2690-G2690),48,0),"")</f>
        <v>48</v>
      </c>
      <c r="I2690" s="22" t="n">
        <f aca="false">IF(AND(ISNUMBER(F2690),ISNUMBER(G2690)),IF(D2690=F2690,15,0),"")</f>
        <v>15</v>
      </c>
      <c r="J2690" s="22" t="n">
        <f aca="false">IF(AND(ISNUMBER(F2690),ISNUMBER(G2690)),IF(E2690=G2690,15,0),"")</f>
        <v>0</v>
      </c>
      <c r="K2690" s="22" t="n">
        <f aca="false">IF(AND(ISNUMBER(F2690),ISNUMBER(G2690)),IF(ABS(D2690-E2690)=ABS(F2690-G2690),12,0),"")</f>
        <v>0</v>
      </c>
      <c r="L2690" s="23" t="n">
        <f aca="false">IF(ISNUMBER(H2690),H2690+I2690+J2690+K2690,"")</f>
        <v>63</v>
      </c>
    </row>
    <row r="2691" customFormat="false" ht="18" hidden="false" customHeight="true" outlineLevel="0" collapsed="false">
      <c r="A2691" s="17" t="s">
        <v>9</v>
      </c>
      <c r="B2691" s="18" t="s">
        <v>193</v>
      </c>
      <c r="C2691" s="19" t="s">
        <v>14</v>
      </c>
      <c r="D2691" s="20" t="n">
        <v>3</v>
      </c>
      <c r="E2691" s="20" t="n">
        <v>1</v>
      </c>
      <c r="F2691" s="21" t="n">
        <f aca="false">'📋 Matches'!E3</f>
        <v>2</v>
      </c>
      <c r="G2691" s="21" t="n">
        <f aca="false">'📋 Matches'!F3</f>
        <v>1</v>
      </c>
      <c r="H2691" s="22" t="n">
        <f aca="false">IF(AND(ISNUMBER(F2691),ISNUMBER(G2691)),IF(SIGN(D2691-E2691)=SIGN(F2691-G2691),48,0),"")</f>
        <v>48</v>
      </c>
      <c r="I2691" s="22" t="n">
        <f aca="false">IF(AND(ISNUMBER(F2691),ISNUMBER(G2691)),IF(D2691=F2691,15,0),"")</f>
        <v>0</v>
      </c>
      <c r="J2691" s="22" t="n">
        <f aca="false">IF(AND(ISNUMBER(F2691),ISNUMBER(G2691)),IF(E2691=G2691,15,0),"")</f>
        <v>15</v>
      </c>
      <c r="K2691" s="22" t="n">
        <f aca="false">IF(AND(ISNUMBER(F2691),ISNUMBER(G2691)),IF(ABS(D2691-E2691)=ABS(F2691-G2691),12,0),"")</f>
        <v>0</v>
      </c>
      <c r="L2691" s="23" t="n">
        <f aca="false">IF(ISNUMBER(H2691),H2691+I2691+J2691+K2691,"")</f>
        <v>63</v>
      </c>
    </row>
    <row r="2692" customFormat="false" ht="18" hidden="false" customHeight="true" outlineLevel="0" collapsed="false">
      <c r="A2692" s="17" t="s">
        <v>9</v>
      </c>
      <c r="B2692" s="18" t="s">
        <v>193</v>
      </c>
      <c r="C2692" s="19" t="s">
        <v>17</v>
      </c>
      <c r="D2692" s="20" t="n">
        <v>2</v>
      </c>
      <c r="E2692" s="20" t="n">
        <v>1</v>
      </c>
      <c r="F2692" s="21" t="n">
        <f aca="false">'📋 Matches'!E4</f>
        <v>1</v>
      </c>
      <c r="G2692" s="21" t="n">
        <f aca="false">'📋 Matches'!F4</f>
        <v>1</v>
      </c>
      <c r="H2692" s="22" t="n">
        <f aca="false">IF(AND(ISNUMBER(F2692),ISNUMBER(G2692)),IF(SIGN(D2692-E2692)=SIGN(F2692-G2692),48,0),"")</f>
        <v>0</v>
      </c>
      <c r="I2692" s="22" t="n">
        <f aca="false">IF(AND(ISNUMBER(F2692),ISNUMBER(G2692)),IF(D2692=F2692,15,0),"")</f>
        <v>0</v>
      </c>
      <c r="J2692" s="22" t="n">
        <f aca="false">IF(AND(ISNUMBER(F2692),ISNUMBER(G2692)),IF(E2692=G2692,15,0),"")</f>
        <v>15</v>
      </c>
      <c r="K2692" s="22" t="n">
        <f aca="false">IF(AND(ISNUMBER(F2692),ISNUMBER(G2692)),IF(ABS(D2692-E2692)=ABS(F2692-G2692),12,0),"")</f>
        <v>0</v>
      </c>
      <c r="L2692" s="23" t="n">
        <f aca="false">IF(ISNUMBER(H2692),H2692+I2692+J2692+K2692,"")</f>
        <v>15</v>
      </c>
    </row>
    <row r="2693" customFormat="false" ht="18" hidden="false" customHeight="true" outlineLevel="0" collapsed="false">
      <c r="A2693" s="17" t="s">
        <v>9</v>
      </c>
      <c r="B2693" s="18" t="s">
        <v>193</v>
      </c>
      <c r="C2693" s="19" t="s">
        <v>20</v>
      </c>
      <c r="D2693" s="20" t="n">
        <v>3</v>
      </c>
      <c r="E2693" s="20" t="n">
        <v>2</v>
      </c>
      <c r="F2693" s="21" t="n">
        <f aca="false">'📋 Matches'!E5</f>
        <v>4</v>
      </c>
      <c r="G2693" s="21" t="n">
        <f aca="false">'📋 Matches'!F5</f>
        <v>1</v>
      </c>
      <c r="H2693" s="22" t="n">
        <f aca="false">IF(AND(ISNUMBER(F2693),ISNUMBER(G2693)),IF(SIGN(D2693-E2693)=SIGN(F2693-G2693),48,0),"")</f>
        <v>48</v>
      </c>
      <c r="I2693" s="22" t="n">
        <f aca="false">IF(AND(ISNUMBER(F2693),ISNUMBER(G2693)),IF(D2693=F2693,15,0),"")</f>
        <v>0</v>
      </c>
      <c r="J2693" s="22" t="n">
        <f aca="false">IF(AND(ISNUMBER(F2693),ISNUMBER(G2693)),IF(E2693=G2693,15,0),"")</f>
        <v>0</v>
      </c>
      <c r="K2693" s="22" t="n">
        <f aca="false">IF(AND(ISNUMBER(F2693),ISNUMBER(G2693)),IF(ABS(D2693-E2693)=ABS(F2693-G2693),12,0),"")</f>
        <v>0</v>
      </c>
      <c r="L2693" s="23" t="n">
        <f aca="false">IF(ISNUMBER(H2693),H2693+I2693+J2693+K2693,"")</f>
        <v>48</v>
      </c>
    </row>
    <row r="2694" customFormat="false" ht="18" hidden="false" customHeight="true" outlineLevel="0" collapsed="false">
      <c r="A2694" s="17" t="s">
        <v>9</v>
      </c>
      <c r="B2694" s="18" t="s">
        <v>193</v>
      </c>
      <c r="C2694" s="19" t="s">
        <v>23</v>
      </c>
      <c r="D2694" s="20" t="n">
        <v>1</v>
      </c>
      <c r="E2694" s="20" t="n">
        <v>3</v>
      </c>
      <c r="F2694" s="21" t="n">
        <f aca="false">'📋 Matches'!E6</f>
        <v>0</v>
      </c>
      <c r="G2694" s="21" t="n">
        <f aca="false">'📋 Matches'!F6</f>
        <v>0</v>
      </c>
      <c r="H2694" s="22" t="str">
        <f aca="false">IF(AND(ISNUMBER(F2694),ISNUMBER(G2694)),IF(SIGN(D2694-E2694)=SIGN(F2694-G2694),48,0),"")</f>
        <v/>
      </c>
      <c r="I2694" s="22" t="str">
        <f aca="false">IF(AND(ISNUMBER(F2694),ISNUMBER(G2694)),IF(D2694=F2694,15,0),"")</f>
        <v/>
      </c>
      <c r="J2694" s="22" t="str">
        <f aca="false">IF(AND(ISNUMBER(F2694),ISNUMBER(G2694)),IF(E2694=G2694,15,0),"")</f>
        <v/>
      </c>
      <c r="K2694" s="22" t="str">
        <f aca="false">IF(AND(ISNUMBER(F2694),ISNUMBER(G2694)),IF(ABS(D2694-E2694)=ABS(F2694-G2694),12,0),"")</f>
        <v/>
      </c>
      <c r="L2694" s="23" t="str">
        <f aca="false">IF(ISNUMBER(H2694),H2694+I2694+J2694+K2694,"")</f>
        <v/>
      </c>
    </row>
    <row r="2695" customFormat="false" ht="18" hidden="false" customHeight="true" outlineLevel="0" collapsed="false">
      <c r="A2695" s="17" t="s">
        <v>9</v>
      </c>
      <c r="B2695" s="18" t="s">
        <v>193</v>
      </c>
      <c r="C2695" s="19" t="s">
        <v>27</v>
      </c>
      <c r="D2695" s="20" t="n">
        <v>2</v>
      </c>
      <c r="E2695" s="20" t="n">
        <v>2</v>
      </c>
      <c r="F2695" s="21" t="n">
        <f aca="false">'📋 Matches'!E7</f>
        <v>0</v>
      </c>
      <c r="G2695" s="21" t="n">
        <f aca="false">'📋 Matches'!F7</f>
        <v>0</v>
      </c>
      <c r="H2695" s="22" t="str">
        <f aca="false">IF(AND(ISNUMBER(F2695),ISNUMBER(G2695)),IF(SIGN(D2695-E2695)=SIGN(F2695-G2695),48,0),"")</f>
        <v/>
      </c>
      <c r="I2695" s="22" t="str">
        <f aca="false">IF(AND(ISNUMBER(F2695),ISNUMBER(G2695)),IF(D2695=F2695,15,0),"")</f>
        <v/>
      </c>
      <c r="J2695" s="22" t="str">
        <f aca="false">IF(AND(ISNUMBER(F2695),ISNUMBER(G2695)),IF(E2695=G2695,15,0),"")</f>
        <v/>
      </c>
      <c r="K2695" s="22" t="str">
        <f aca="false">IF(AND(ISNUMBER(F2695),ISNUMBER(G2695)),IF(ABS(D2695-E2695)=ABS(F2695-G2695),12,0),"")</f>
        <v/>
      </c>
      <c r="L2695" s="23" t="str">
        <f aca="false">IF(ISNUMBER(H2695),H2695+I2695+J2695+K2695,"")</f>
        <v/>
      </c>
    </row>
    <row r="2696" customFormat="false" ht="18" hidden="false" customHeight="true" outlineLevel="0" collapsed="false">
      <c r="A2696" s="17" t="s">
        <v>9</v>
      </c>
      <c r="B2696" s="18" t="s">
        <v>193</v>
      </c>
      <c r="C2696" s="19" t="s">
        <v>30</v>
      </c>
      <c r="D2696" s="20" t="n">
        <v>1</v>
      </c>
      <c r="E2696" s="20" t="n">
        <v>2</v>
      </c>
      <c r="F2696" s="21" t="n">
        <f aca="false">'📋 Matches'!E8</f>
        <v>0</v>
      </c>
      <c r="G2696" s="21" t="n">
        <f aca="false">'📋 Matches'!F8</f>
        <v>0</v>
      </c>
      <c r="H2696" s="22" t="str">
        <f aca="false">IF(AND(ISNUMBER(F2696),ISNUMBER(G2696)),IF(SIGN(D2696-E2696)=SIGN(F2696-G2696),48,0),"")</f>
        <v/>
      </c>
      <c r="I2696" s="22" t="str">
        <f aca="false">IF(AND(ISNUMBER(F2696),ISNUMBER(G2696)),IF(D2696=F2696,15,0),"")</f>
        <v/>
      </c>
      <c r="J2696" s="22" t="str">
        <f aca="false">IF(AND(ISNUMBER(F2696),ISNUMBER(G2696)),IF(E2696=G2696,15,0),"")</f>
        <v/>
      </c>
      <c r="K2696" s="22" t="str">
        <f aca="false">IF(AND(ISNUMBER(F2696),ISNUMBER(G2696)),IF(ABS(D2696-E2696)=ABS(F2696-G2696),12,0),"")</f>
        <v/>
      </c>
      <c r="L2696" s="23" t="str">
        <f aca="false">IF(ISNUMBER(H2696),H2696+I2696+J2696+K2696,"")</f>
        <v/>
      </c>
    </row>
    <row r="2697" customFormat="false" ht="18" hidden="false" customHeight="true" outlineLevel="0" collapsed="false">
      <c r="A2697" s="17" t="s">
        <v>9</v>
      </c>
      <c r="B2697" s="18" t="s">
        <v>193</v>
      </c>
      <c r="C2697" s="19" t="s">
        <v>33</v>
      </c>
      <c r="D2697" s="20" t="n">
        <v>2</v>
      </c>
      <c r="E2697" s="20" t="n">
        <v>2</v>
      </c>
      <c r="F2697" s="21" t="n">
        <f aca="false">'📋 Matches'!E9</f>
        <v>0</v>
      </c>
      <c r="G2697" s="21" t="n">
        <f aca="false">'📋 Matches'!F9</f>
        <v>0</v>
      </c>
      <c r="H2697" s="22" t="str">
        <f aca="false">IF(AND(ISNUMBER(F2697),ISNUMBER(G2697)),IF(SIGN(D2697-E2697)=SIGN(F2697-G2697),48,0),"")</f>
        <v/>
      </c>
      <c r="I2697" s="22" t="str">
        <f aca="false">IF(AND(ISNUMBER(F2697),ISNUMBER(G2697)),IF(D2697=F2697,15,0),"")</f>
        <v/>
      </c>
      <c r="J2697" s="22" t="str">
        <f aca="false">IF(AND(ISNUMBER(F2697),ISNUMBER(G2697)),IF(E2697=G2697,15,0),"")</f>
        <v/>
      </c>
      <c r="K2697" s="22" t="str">
        <f aca="false">IF(AND(ISNUMBER(F2697),ISNUMBER(G2697)),IF(ABS(D2697-E2697)=ABS(F2697-G2697),12,0),"")</f>
        <v/>
      </c>
      <c r="L2697" s="23" t="str">
        <f aca="false">IF(ISNUMBER(H2697),H2697+I2697+J2697+K2697,"")</f>
        <v/>
      </c>
    </row>
    <row r="2698" customFormat="false" ht="18" hidden="false" customHeight="true" outlineLevel="0" collapsed="false">
      <c r="A2698" s="17" t="s">
        <v>9</v>
      </c>
      <c r="B2698" s="18" t="s">
        <v>193</v>
      </c>
      <c r="C2698" s="19" t="s">
        <v>36</v>
      </c>
      <c r="D2698" s="20" t="n">
        <v>2</v>
      </c>
      <c r="E2698" s="20" t="n">
        <v>1</v>
      </c>
      <c r="F2698" s="21" t="n">
        <f aca="false">'📋 Matches'!E10</f>
        <v>0</v>
      </c>
      <c r="G2698" s="21" t="n">
        <f aca="false">'📋 Matches'!F10</f>
        <v>0</v>
      </c>
      <c r="H2698" s="22" t="str">
        <f aca="false">IF(AND(ISNUMBER(F2698),ISNUMBER(G2698)),IF(SIGN(D2698-E2698)=SIGN(F2698-G2698),48,0),"")</f>
        <v/>
      </c>
      <c r="I2698" s="22" t="str">
        <f aca="false">IF(AND(ISNUMBER(F2698),ISNUMBER(G2698)),IF(D2698=F2698,15,0),"")</f>
        <v/>
      </c>
      <c r="J2698" s="22" t="str">
        <f aca="false">IF(AND(ISNUMBER(F2698),ISNUMBER(G2698)),IF(E2698=G2698,15,0),"")</f>
        <v/>
      </c>
      <c r="K2698" s="22" t="str">
        <f aca="false">IF(AND(ISNUMBER(F2698),ISNUMBER(G2698)),IF(ABS(D2698-E2698)=ABS(F2698-G2698),12,0),"")</f>
        <v/>
      </c>
      <c r="L2698" s="23" t="str">
        <f aca="false">IF(ISNUMBER(H2698),H2698+I2698+J2698+K2698,"")</f>
        <v/>
      </c>
    </row>
    <row r="2699" customFormat="false" ht="18" hidden="false" customHeight="true" outlineLevel="0" collapsed="false">
      <c r="A2699" s="17" t="s">
        <v>9</v>
      </c>
      <c r="B2699" s="18" t="s">
        <v>193</v>
      </c>
      <c r="C2699" s="19" t="s">
        <v>39</v>
      </c>
      <c r="D2699" s="20" t="n">
        <v>2</v>
      </c>
      <c r="E2699" s="20" t="n">
        <v>2</v>
      </c>
      <c r="F2699" s="21" t="n">
        <f aca="false">'📋 Matches'!E11</f>
        <v>0</v>
      </c>
      <c r="G2699" s="21" t="n">
        <f aca="false">'📋 Matches'!F11</f>
        <v>0</v>
      </c>
      <c r="H2699" s="22" t="str">
        <f aca="false">IF(AND(ISNUMBER(F2699),ISNUMBER(G2699)),IF(SIGN(D2699-E2699)=SIGN(F2699-G2699),48,0),"")</f>
        <v/>
      </c>
      <c r="I2699" s="22" t="str">
        <f aca="false">IF(AND(ISNUMBER(F2699),ISNUMBER(G2699)),IF(D2699=F2699,15,0),"")</f>
        <v/>
      </c>
      <c r="J2699" s="22" t="str">
        <f aca="false">IF(AND(ISNUMBER(F2699),ISNUMBER(G2699)),IF(E2699=G2699,15,0),"")</f>
        <v/>
      </c>
      <c r="K2699" s="22" t="str">
        <f aca="false">IF(AND(ISNUMBER(F2699),ISNUMBER(G2699)),IF(ABS(D2699-E2699)=ABS(F2699-G2699),12,0),"")</f>
        <v/>
      </c>
      <c r="L2699" s="23" t="str">
        <f aca="false">IF(ISNUMBER(H2699),H2699+I2699+J2699+K2699,"")</f>
        <v/>
      </c>
    </row>
    <row r="2700" customFormat="false" ht="18" hidden="false" customHeight="true" outlineLevel="0" collapsed="false">
      <c r="A2700" s="17" t="s">
        <v>9</v>
      </c>
      <c r="B2700" s="18" t="s">
        <v>193</v>
      </c>
      <c r="C2700" s="19" t="s">
        <v>42</v>
      </c>
      <c r="D2700" s="20" t="n">
        <v>1</v>
      </c>
      <c r="E2700" s="20" t="n">
        <v>2</v>
      </c>
      <c r="F2700" s="21" t="n">
        <f aca="false">'📋 Matches'!E12</f>
        <v>0</v>
      </c>
      <c r="G2700" s="21" t="n">
        <f aca="false">'📋 Matches'!F12</f>
        <v>0</v>
      </c>
      <c r="H2700" s="22" t="str">
        <f aca="false">IF(AND(ISNUMBER(F2700),ISNUMBER(G2700)),IF(SIGN(D2700-E2700)=SIGN(F2700-G2700),48,0),"")</f>
        <v/>
      </c>
      <c r="I2700" s="22" t="str">
        <f aca="false">IF(AND(ISNUMBER(F2700),ISNUMBER(G2700)),IF(D2700=F2700,15,0),"")</f>
        <v/>
      </c>
      <c r="J2700" s="22" t="str">
        <f aca="false">IF(AND(ISNUMBER(F2700),ISNUMBER(G2700)),IF(E2700=G2700,15,0),"")</f>
        <v/>
      </c>
      <c r="K2700" s="22" t="str">
        <f aca="false">IF(AND(ISNUMBER(F2700),ISNUMBER(G2700)),IF(ABS(D2700-E2700)=ABS(F2700-G2700),12,0),"")</f>
        <v/>
      </c>
      <c r="L2700" s="23" t="str">
        <f aca="false">IF(ISNUMBER(H2700),H2700+I2700+J2700+K2700,"")</f>
        <v/>
      </c>
    </row>
    <row r="2701" customFormat="false" ht="18" hidden="false" customHeight="true" outlineLevel="0" collapsed="false">
      <c r="A2701" s="17" t="s">
        <v>9</v>
      </c>
      <c r="B2701" s="18" t="s">
        <v>193</v>
      </c>
      <c r="C2701" s="19" t="s">
        <v>45</v>
      </c>
      <c r="D2701" s="20" t="n">
        <v>2</v>
      </c>
      <c r="E2701" s="20" t="n">
        <v>1</v>
      </c>
      <c r="F2701" s="21" t="n">
        <f aca="false">'📋 Matches'!E13</f>
        <v>0</v>
      </c>
      <c r="G2701" s="21" t="n">
        <f aca="false">'📋 Matches'!F13</f>
        <v>0</v>
      </c>
      <c r="H2701" s="22" t="str">
        <f aca="false">IF(AND(ISNUMBER(F2701),ISNUMBER(G2701)),IF(SIGN(D2701-E2701)=SIGN(F2701-G2701),48,0),"")</f>
        <v/>
      </c>
      <c r="I2701" s="22" t="str">
        <f aca="false">IF(AND(ISNUMBER(F2701),ISNUMBER(G2701)),IF(D2701=F2701,15,0),"")</f>
        <v/>
      </c>
      <c r="J2701" s="22" t="str">
        <f aca="false">IF(AND(ISNUMBER(F2701),ISNUMBER(G2701)),IF(E2701=G2701,15,0),"")</f>
        <v/>
      </c>
      <c r="K2701" s="22" t="str">
        <f aca="false">IF(AND(ISNUMBER(F2701),ISNUMBER(G2701)),IF(ABS(D2701-E2701)=ABS(F2701-G2701),12,0),"")</f>
        <v/>
      </c>
      <c r="L2701" s="23" t="str">
        <f aca="false">IF(ISNUMBER(H2701),H2701+I2701+J2701+K2701,"")</f>
        <v/>
      </c>
    </row>
    <row r="2702" customFormat="false" ht="18" hidden="false" customHeight="true" outlineLevel="0" collapsed="false">
      <c r="A2702" s="17" t="s">
        <v>9</v>
      </c>
      <c r="B2702" s="18" t="s">
        <v>193</v>
      </c>
      <c r="C2702" s="19" t="s">
        <v>48</v>
      </c>
      <c r="D2702" s="20" t="n">
        <v>3</v>
      </c>
      <c r="E2702" s="20" t="n">
        <v>2</v>
      </c>
      <c r="F2702" s="21" t="n">
        <f aca="false">'📋 Matches'!E14</f>
        <v>0</v>
      </c>
      <c r="G2702" s="21" t="n">
        <f aca="false">'📋 Matches'!F14</f>
        <v>0</v>
      </c>
      <c r="H2702" s="22" t="str">
        <f aca="false">IF(AND(ISNUMBER(F2702),ISNUMBER(G2702)),IF(SIGN(D2702-E2702)=SIGN(F2702-G2702),48,0),"")</f>
        <v/>
      </c>
      <c r="I2702" s="22" t="str">
        <f aca="false">IF(AND(ISNUMBER(F2702),ISNUMBER(G2702)),IF(D2702=F2702,15,0),"")</f>
        <v/>
      </c>
      <c r="J2702" s="22" t="str">
        <f aca="false">IF(AND(ISNUMBER(F2702),ISNUMBER(G2702)),IF(E2702=G2702,15,0),"")</f>
        <v/>
      </c>
      <c r="K2702" s="22" t="str">
        <f aca="false">IF(AND(ISNUMBER(F2702),ISNUMBER(G2702)),IF(ABS(D2702-E2702)=ABS(F2702-G2702),12,0),"")</f>
        <v/>
      </c>
      <c r="L2702" s="23" t="str">
        <f aca="false">IF(ISNUMBER(H2702),H2702+I2702+J2702+K2702,"")</f>
        <v/>
      </c>
    </row>
    <row r="2703" customFormat="false" ht="18" hidden="false" customHeight="true" outlineLevel="0" collapsed="false">
      <c r="A2703" s="17" t="s">
        <v>9</v>
      </c>
      <c r="B2703" s="18" t="s">
        <v>193</v>
      </c>
      <c r="C2703" s="19" t="s">
        <v>51</v>
      </c>
      <c r="D2703" s="20" t="n">
        <v>2</v>
      </c>
      <c r="E2703" s="20" t="n">
        <v>1</v>
      </c>
      <c r="F2703" s="21" t="n">
        <f aca="false">'📋 Matches'!E15</f>
        <v>0</v>
      </c>
      <c r="G2703" s="21" t="n">
        <f aca="false">'📋 Matches'!F15</f>
        <v>0</v>
      </c>
      <c r="H2703" s="22" t="str">
        <f aca="false">IF(AND(ISNUMBER(F2703),ISNUMBER(G2703)),IF(SIGN(D2703-E2703)=SIGN(F2703-G2703),48,0),"")</f>
        <v/>
      </c>
      <c r="I2703" s="22" t="str">
        <f aca="false">IF(AND(ISNUMBER(F2703),ISNUMBER(G2703)),IF(D2703=F2703,15,0),"")</f>
        <v/>
      </c>
      <c r="J2703" s="22" t="str">
        <f aca="false">IF(AND(ISNUMBER(F2703),ISNUMBER(G2703)),IF(E2703=G2703,15,0),"")</f>
        <v/>
      </c>
      <c r="K2703" s="22" t="str">
        <f aca="false">IF(AND(ISNUMBER(F2703),ISNUMBER(G2703)),IF(ABS(D2703-E2703)=ABS(F2703-G2703),12,0),"")</f>
        <v/>
      </c>
      <c r="L2703" s="23" t="str">
        <f aca="false">IF(ISNUMBER(H2703),H2703+I2703+J2703+K2703,"")</f>
        <v/>
      </c>
    </row>
    <row r="2704" customFormat="false" ht="18" hidden="false" customHeight="true" outlineLevel="0" collapsed="false">
      <c r="A2704" s="17" t="s">
        <v>9</v>
      </c>
      <c r="B2704" s="18" t="s">
        <v>193</v>
      </c>
      <c r="C2704" s="19" t="s">
        <v>54</v>
      </c>
      <c r="D2704" s="20" t="n">
        <v>1</v>
      </c>
      <c r="E2704" s="20" t="n">
        <v>1</v>
      </c>
      <c r="F2704" s="21" t="n">
        <f aca="false">'📋 Matches'!E16</f>
        <v>0</v>
      </c>
      <c r="G2704" s="21" t="n">
        <f aca="false">'📋 Matches'!F16</f>
        <v>0</v>
      </c>
      <c r="H2704" s="22" t="str">
        <f aca="false">IF(AND(ISNUMBER(F2704),ISNUMBER(G2704)),IF(SIGN(D2704-E2704)=SIGN(F2704-G2704),48,0),"")</f>
        <v/>
      </c>
      <c r="I2704" s="22" t="str">
        <f aca="false">IF(AND(ISNUMBER(F2704),ISNUMBER(G2704)),IF(D2704=F2704,15,0),"")</f>
        <v/>
      </c>
      <c r="J2704" s="22" t="str">
        <f aca="false">IF(AND(ISNUMBER(F2704),ISNUMBER(G2704)),IF(E2704=G2704,15,0),"")</f>
        <v/>
      </c>
      <c r="K2704" s="22" t="str">
        <f aca="false">IF(AND(ISNUMBER(F2704),ISNUMBER(G2704)),IF(ABS(D2704-E2704)=ABS(F2704-G2704),12,0),"")</f>
        <v/>
      </c>
      <c r="L2704" s="23" t="str">
        <f aca="false">IF(ISNUMBER(H2704),H2704+I2704+J2704+K2704,"")</f>
        <v/>
      </c>
    </row>
    <row r="2705" customFormat="false" ht="18" hidden="false" customHeight="true" outlineLevel="0" collapsed="false">
      <c r="A2705" s="17" t="s">
        <v>9</v>
      </c>
      <c r="B2705" s="18" t="s">
        <v>193</v>
      </c>
      <c r="C2705" s="19" t="s">
        <v>57</v>
      </c>
      <c r="D2705" s="20" t="n">
        <v>1</v>
      </c>
      <c r="E2705" s="20" t="n">
        <v>1</v>
      </c>
      <c r="F2705" s="21" t="n">
        <f aca="false">'📋 Matches'!E17</f>
        <v>0</v>
      </c>
      <c r="G2705" s="21" t="n">
        <f aca="false">'📋 Matches'!F17</f>
        <v>0</v>
      </c>
      <c r="H2705" s="22" t="str">
        <f aca="false">IF(AND(ISNUMBER(F2705),ISNUMBER(G2705)),IF(SIGN(D2705-E2705)=SIGN(F2705-G2705),48,0),"")</f>
        <v/>
      </c>
      <c r="I2705" s="22" t="str">
        <f aca="false">IF(AND(ISNUMBER(F2705),ISNUMBER(G2705)),IF(D2705=F2705,15,0),"")</f>
        <v/>
      </c>
      <c r="J2705" s="22" t="str">
        <f aca="false">IF(AND(ISNUMBER(F2705),ISNUMBER(G2705)),IF(E2705=G2705,15,0),"")</f>
        <v/>
      </c>
      <c r="K2705" s="22" t="str">
        <f aca="false">IF(AND(ISNUMBER(F2705),ISNUMBER(G2705)),IF(ABS(D2705-E2705)=ABS(F2705-G2705),12,0),"")</f>
        <v/>
      </c>
      <c r="L2705" s="23" t="str">
        <f aca="false">IF(ISNUMBER(H2705),H2705+I2705+J2705+K2705,"")</f>
        <v/>
      </c>
    </row>
    <row r="2706" customFormat="false" ht="18" hidden="false" customHeight="true" outlineLevel="0" collapsed="false">
      <c r="A2706" s="17" t="s">
        <v>9</v>
      </c>
      <c r="B2706" s="18" t="s">
        <v>193</v>
      </c>
      <c r="C2706" s="19" t="s">
        <v>60</v>
      </c>
      <c r="D2706" s="20" t="n">
        <v>3</v>
      </c>
      <c r="E2706" s="20" t="n">
        <v>1</v>
      </c>
      <c r="F2706" s="21" t="n">
        <f aca="false">'📋 Matches'!E18</f>
        <v>0</v>
      </c>
      <c r="G2706" s="21" t="n">
        <f aca="false">'📋 Matches'!F18</f>
        <v>0</v>
      </c>
      <c r="H2706" s="22" t="str">
        <f aca="false">IF(AND(ISNUMBER(F2706),ISNUMBER(G2706)),IF(SIGN(D2706-E2706)=SIGN(F2706-G2706),48,0),"")</f>
        <v/>
      </c>
      <c r="I2706" s="22" t="str">
        <f aca="false">IF(AND(ISNUMBER(F2706),ISNUMBER(G2706)),IF(D2706=F2706,15,0),"")</f>
        <v/>
      </c>
      <c r="J2706" s="22" t="str">
        <f aca="false">IF(AND(ISNUMBER(F2706),ISNUMBER(G2706)),IF(E2706=G2706,15,0),"")</f>
        <v/>
      </c>
      <c r="K2706" s="22" t="str">
        <f aca="false">IF(AND(ISNUMBER(F2706),ISNUMBER(G2706)),IF(ABS(D2706-E2706)=ABS(F2706-G2706),12,0),"")</f>
        <v/>
      </c>
      <c r="L2706" s="23" t="str">
        <f aca="false">IF(ISNUMBER(H2706),H2706+I2706+J2706+K2706,"")</f>
        <v/>
      </c>
    </row>
    <row r="2707" customFormat="false" ht="18" hidden="false" customHeight="true" outlineLevel="0" collapsed="false">
      <c r="A2707" s="17" t="s">
        <v>9</v>
      </c>
      <c r="B2707" s="18" t="s">
        <v>193</v>
      </c>
      <c r="C2707" s="19" t="s">
        <v>63</v>
      </c>
      <c r="D2707" s="20" t="n">
        <v>1</v>
      </c>
      <c r="E2707" s="20" t="n">
        <v>2</v>
      </c>
      <c r="F2707" s="21" t="n">
        <f aca="false">'📋 Matches'!E19</f>
        <v>0</v>
      </c>
      <c r="G2707" s="21" t="n">
        <f aca="false">'📋 Matches'!F19</f>
        <v>0</v>
      </c>
      <c r="H2707" s="22" t="str">
        <f aca="false">IF(AND(ISNUMBER(F2707),ISNUMBER(G2707)),IF(SIGN(D2707-E2707)=SIGN(F2707-G2707),48,0),"")</f>
        <v/>
      </c>
      <c r="I2707" s="22" t="str">
        <f aca="false">IF(AND(ISNUMBER(F2707),ISNUMBER(G2707)),IF(D2707=F2707,15,0),"")</f>
        <v/>
      </c>
      <c r="J2707" s="22" t="str">
        <f aca="false">IF(AND(ISNUMBER(F2707),ISNUMBER(G2707)),IF(E2707=G2707,15,0),"")</f>
        <v/>
      </c>
      <c r="K2707" s="22" t="str">
        <f aca="false">IF(AND(ISNUMBER(F2707),ISNUMBER(G2707)),IF(ABS(D2707-E2707)=ABS(F2707-G2707),12,0),"")</f>
        <v/>
      </c>
      <c r="L2707" s="23" t="str">
        <f aca="false">IF(ISNUMBER(H2707),H2707+I2707+J2707+K2707,"")</f>
        <v/>
      </c>
    </row>
    <row r="2708" customFormat="false" ht="18" hidden="false" customHeight="true" outlineLevel="0" collapsed="false">
      <c r="A2708" s="17" t="s">
        <v>9</v>
      </c>
      <c r="B2708" s="18" t="s">
        <v>193</v>
      </c>
      <c r="C2708" s="19" t="s">
        <v>66</v>
      </c>
      <c r="D2708" s="20" t="n">
        <v>3</v>
      </c>
      <c r="E2708" s="20" t="n">
        <v>1</v>
      </c>
      <c r="F2708" s="21" t="n">
        <f aca="false">'📋 Matches'!E20</f>
        <v>0</v>
      </c>
      <c r="G2708" s="21" t="n">
        <f aca="false">'📋 Matches'!F20</f>
        <v>0</v>
      </c>
      <c r="H2708" s="22" t="str">
        <f aca="false">IF(AND(ISNUMBER(F2708),ISNUMBER(G2708)),IF(SIGN(D2708-E2708)=SIGN(F2708-G2708),48,0),"")</f>
        <v/>
      </c>
      <c r="I2708" s="22" t="str">
        <f aca="false">IF(AND(ISNUMBER(F2708),ISNUMBER(G2708)),IF(D2708=F2708,15,0),"")</f>
        <v/>
      </c>
      <c r="J2708" s="22" t="str">
        <f aca="false">IF(AND(ISNUMBER(F2708),ISNUMBER(G2708)),IF(E2708=G2708,15,0),"")</f>
        <v/>
      </c>
      <c r="K2708" s="22" t="str">
        <f aca="false">IF(AND(ISNUMBER(F2708),ISNUMBER(G2708)),IF(ABS(D2708-E2708)=ABS(F2708-G2708),12,0),"")</f>
        <v/>
      </c>
      <c r="L2708" s="23" t="str">
        <f aca="false">IF(ISNUMBER(H2708),H2708+I2708+J2708+K2708,"")</f>
        <v/>
      </c>
    </row>
    <row r="2709" customFormat="false" ht="18" hidden="false" customHeight="true" outlineLevel="0" collapsed="false">
      <c r="A2709" s="17" t="s">
        <v>9</v>
      </c>
      <c r="B2709" s="18" t="s">
        <v>193</v>
      </c>
      <c r="C2709" s="19" t="s">
        <v>69</v>
      </c>
      <c r="D2709" s="20" t="n">
        <v>2</v>
      </c>
      <c r="E2709" s="20" t="n">
        <v>1</v>
      </c>
      <c r="F2709" s="21" t="n">
        <f aca="false">'📋 Matches'!E21</f>
        <v>0</v>
      </c>
      <c r="G2709" s="21" t="n">
        <f aca="false">'📋 Matches'!F21</f>
        <v>0</v>
      </c>
      <c r="H2709" s="22" t="str">
        <f aca="false">IF(AND(ISNUMBER(F2709),ISNUMBER(G2709)),IF(SIGN(D2709-E2709)=SIGN(F2709-G2709),48,0),"")</f>
        <v/>
      </c>
      <c r="I2709" s="22" t="str">
        <f aca="false">IF(AND(ISNUMBER(F2709),ISNUMBER(G2709)),IF(D2709=F2709,15,0),"")</f>
        <v/>
      </c>
      <c r="J2709" s="22" t="str">
        <f aca="false">IF(AND(ISNUMBER(F2709),ISNUMBER(G2709)),IF(E2709=G2709,15,0),"")</f>
        <v/>
      </c>
      <c r="K2709" s="22" t="str">
        <f aca="false">IF(AND(ISNUMBER(F2709),ISNUMBER(G2709)),IF(ABS(D2709-E2709)=ABS(F2709-G2709),12,0),"")</f>
        <v/>
      </c>
      <c r="L2709" s="23" t="str">
        <f aca="false">IF(ISNUMBER(H2709),H2709+I2709+J2709+K2709,"")</f>
        <v/>
      </c>
    </row>
    <row r="2710" customFormat="false" ht="18" hidden="false" customHeight="true" outlineLevel="0" collapsed="false">
      <c r="A2710" s="17" t="s">
        <v>9</v>
      </c>
      <c r="B2710" s="18" t="s">
        <v>193</v>
      </c>
      <c r="C2710" s="19" t="s">
        <v>72</v>
      </c>
      <c r="D2710" s="20" t="n">
        <v>2</v>
      </c>
      <c r="E2710" s="20" t="n">
        <v>2</v>
      </c>
      <c r="F2710" s="21" t="n">
        <f aca="false">'📋 Matches'!E22</f>
        <v>0</v>
      </c>
      <c r="G2710" s="21" t="n">
        <f aca="false">'📋 Matches'!F22</f>
        <v>0</v>
      </c>
      <c r="H2710" s="22" t="str">
        <f aca="false">IF(AND(ISNUMBER(F2710),ISNUMBER(G2710)),IF(SIGN(D2710-E2710)=SIGN(F2710-G2710),48,0),"")</f>
        <v/>
      </c>
      <c r="I2710" s="22" t="str">
        <f aca="false">IF(AND(ISNUMBER(F2710),ISNUMBER(G2710)),IF(D2710=F2710,15,0),"")</f>
        <v/>
      </c>
      <c r="J2710" s="22" t="str">
        <f aca="false">IF(AND(ISNUMBER(F2710),ISNUMBER(G2710)),IF(E2710=G2710,15,0),"")</f>
        <v/>
      </c>
      <c r="K2710" s="22" t="str">
        <f aca="false">IF(AND(ISNUMBER(F2710),ISNUMBER(G2710)),IF(ABS(D2710-E2710)=ABS(F2710-G2710),12,0),"")</f>
        <v/>
      </c>
      <c r="L2710" s="23" t="str">
        <f aca="false">IF(ISNUMBER(H2710),H2710+I2710+J2710+K2710,"")</f>
        <v/>
      </c>
    </row>
    <row r="2711" customFormat="false" ht="18" hidden="false" customHeight="true" outlineLevel="0" collapsed="false">
      <c r="A2711" s="17" t="s">
        <v>9</v>
      </c>
      <c r="B2711" s="18" t="s">
        <v>193</v>
      </c>
      <c r="C2711" s="19" t="s">
        <v>75</v>
      </c>
      <c r="D2711" s="20" t="n">
        <v>1</v>
      </c>
      <c r="E2711" s="20" t="n">
        <v>2</v>
      </c>
      <c r="F2711" s="21" t="n">
        <f aca="false">'📋 Matches'!E23</f>
        <v>0</v>
      </c>
      <c r="G2711" s="21" t="n">
        <f aca="false">'📋 Matches'!F23</f>
        <v>0</v>
      </c>
      <c r="H2711" s="22" t="str">
        <f aca="false">IF(AND(ISNUMBER(F2711),ISNUMBER(G2711)),IF(SIGN(D2711-E2711)=SIGN(F2711-G2711),48,0),"")</f>
        <v/>
      </c>
      <c r="I2711" s="22" t="str">
        <f aca="false">IF(AND(ISNUMBER(F2711),ISNUMBER(G2711)),IF(D2711=F2711,15,0),"")</f>
        <v/>
      </c>
      <c r="J2711" s="22" t="str">
        <f aca="false">IF(AND(ISNUMBER(F2711),ISNUMBER(G2711)),IF(E2711=G2711,15,0),"")</f>
        <v/>
      </c>
      <c r="K2711" s="22" t="str">
        <f aca="false">IF(AND(ISNUMBER(F2711),ISNUMBER(G2711)),IF(ABS(D2711-E2711)=ABS(F2711-G2711),12,0),"")</f>
        <v/>
      </c>
      <c r="L2711" s="23" t="str">
        <f aca="false">IF(ISNUMBER(H2711),H2711+I2711+J2711+K2711,"")</f>
        <v/>
      </c>
    </row>
    <row r="2712" customFormat="false" ht="18" hidden="false" customHeight="true" outlineLevel="0" collapsed="false">
      <c r="A2712" s="17" t="s">
        <v>9</v>
      </c>
      <c r="B2712" s="18" t="s">
        <v>193</v>
      </c>
      <c r="C2712" s="19" t="s">
        <v>78</v>
      </c>
      <c r="D2712" s="20" t="n">
        <v>1</v>
      </c>
      <c r="E2712" s="20" t="n">
        <v>1</v>
      </c>
      <c r="F2712" s="21" t="n">
        <f aca="false">'📋 Matches'!E24</f>
        <v>0</v>
      </c>
      <c r="G2712" s="21" t="n">
        <f aca="false">'📋 Matches'!F24</f>
        <v>0</v>
      </c>
      <c r="H2712" s="22" t="str">
        <f aca="false">IF(AND(ISNUMBER(F2712),ISNUMBER(G2712)),IF(SIGN(D2712-E2712)=SIGN(F2712-G2712),48,0),"")</f>
        <v/>
      </c>
      <c r="I2712" s="22" t="str">
        <f aca="false">IF(AND(ISNUMBER(F2712),ISNUMBER(G2712)),IF(D2712=F2712,15,0),"")</f>
        <v/>
      </c>
      <c r="J2712" s="22" t="str">
        <f aca="false">IF(AND(ISNUMBER(F2712),ISNUMBER(G2712)),IF(E2712=G2712,15,0),"")</f>
        <v/>
      </c>
      <c r="K2712" s="22" t="str">
        <f aca="false">IF(AND(ISNUMBER(F2712),ISNUMBER(G2712)),IF(ABS(D2712-E2712)=ABS(F2712-G2712),12,0),"")</f>
        <v/>
      </c>
      <c r="L2712" s="23" t="str">
        <f aca="false">IF(ISNUMBER(H2712),H2712+I2712+J2712+K2712,"")</f>
        <v/>
      </c>
    </row>
    <row r="2713" customFormat="false" ht="18" hidden="false" customHeight="true" outlineLevel="0" collapsed="false">
      <c r="A2713" s="17" t="s">
        <v>9</v>
      </c>
      <c r="B2713" s="18" t="s">
        <v>193</v>
      </c>
      <c r="C2713" s="19" t="s">
        <v>81</v>
      </c>
      <c r="D2713" s="20" t="n">
        <v>1</v>
      </c>
      <c r="E2713" s="20" t="n">
        <v>1</v>
      </c>
      <c r="F2713" s="21" t="n">
        <f aca="false">'📋 Matches'!E25</f>
        <v>0</v>
      </c>
      <c r="G2713" s="21" t="n">
        <f aca="false">'📋 Matches'!F25</f>
        <v>0</v>
      </c>
      <c r="H2713" s="22" t="str">
        <f aca="false">IF(AND(ISNUMBER(F2713),ISNUMBER(G2713)),IF(SIGN(D2713-E2713)=SIGN(F2713-G2713),48,0),"")</f>
        <v/>
      </c>
      <c r="I2713" s="22" t="str">
        <f aca="false">IF(AND(ISNUMBER(F2713),ISNUMBER(G2713)),IF(D2713=F2713,15,0),"")</f>
        <v/>
      </c>
      <c r="J2713" s="22" t="str">
        <f aca="false">IF(AND(ISNUMBER(F2713),ISNUMBER(G2713)),IF(E2713=G2713,15,0),"")</f>
        <v/>
      </c>
      <c r="K2713" s="22" t="str">
        <f aca="false">IF(AND(ISNUMBER(F2713),ISNUMBER(G2713)),IF(ABS(D2713-E2713)=ABS(F2713-G2713),12,0),"")</f>
        <v/>
      </c>
      <c r="L2713" s="23" t="str">
        <f aca="false">IF(ISNUMBER(H2713),H2713+I2713+J2713+K2713,"")</f>
        <v/>
      </c>
    </row>
    <row r="2714" customFormat="false" ht="18" hidden="false" customHeight="true" outlineLevel="0" collapsed="false">
      <c r="A2714" s="25" t="s">
        <v>9</v>
      </c>
      <c r="B2714" s="26" t="s">
        <v>194</v>
      </c>
      <c r="C2714" s="27" t="s">
        <v>10</v>
      </c>
      <c r="D2714" s="28" t="n">
        <v>1</v>
      </c>
      <c r="E2714" s="28" t="n">
        <v>0</v>
      </c>
      <c r="F2714" s="29" t="n">
        <f aca="false">'📋 Matches'!E2</f>
        <v>2</v>
      </c>
      <c r="G2714" s="29" t="n">
        <f aca="false">'📋 Matches'!F2</f>
        <v>0</v>
      </c>
      <c r="H2714" s="22" t="n">
        <f aca="false">IF(AND(ISNUMBER(F2714),ISNUMBER(G2714)),IF(SIGN(D2714-E2714)=SIGN(F2714-G2714),48,0),"")</f>
        <v>48</v>
      </c>
      <c r="I2714" s="22" t="n">
        <f aca="false">IF(AND(ISNUMBER(F2714),ISNUMBER(G2714)),IF(D2714=F2714,15,0),"")</f>
        <v>0</v>
      </c>
      <c r="J2714" s="22" t="n">
        <f aca="false">IF(AND(ISNUMBER(F2714),ISNUMBER(G2714)),IF(E2714=G2714,15,0),"")</f>
        <v>15</v>
      </c>
      <c r="K2714" s="22" t="n">
        <f aca="false">IF(AND(ISNUMBER(F2714),ISNUMBER(G2714)),IF(ABS(D2714-E2714)=ABS(F2714-G2714),12,0),"")</f>
        <v>0</v>
      </c>
      <c r="L2714" s="23" t="n">
        <f aca="false">IF(ISNUMBER(H2714),H2714+I2714+J2714+K2714,"")</f>
        <v>63</v>
      </c>
    </row>
    <row r="2715" customFormat="false" ht="18" hidden="false" customHeight="true" outlineLevel="0" collapsed="false">
      <c r="A2715" s="25" t="s">
        <v>9</v>
      </c>
      <c r="B2715" s="26" t="s">
        <v>194</v>
      </c>
      <c r="C2715" s="27" t="s">
        <v>14</v>
      </c>
      <c r="D2715" s="28" t="n">
        <v>2</v>
      </c>
      <c r="E2715" s="28" t="n">
        <v>1</v>
      </c>
      <c r="F2715" s="29" t="n">
        <f aca="false">'📋 Matches'!E3</f>
        <v>2</v>
      </c>
      <c r="G2715" s="29" t="n">
        <f aca="false">'📋 Matches'!F3</f>
        <v>1</v>
      </c>
      <c r="H2715" s="22" t="n">
        <f aca="false">IF(AND(ISNUMBER(F2715),ISNUMBER(G2715)),IF(SIGN(D2715-E2715)=SIGN(F2715-G2715),48,0),"")</f>
        <v>48</v>
      </c>
      <c r="I2715" s="22" t="n">
        <f aca="false">IF(AND(ISNUMBER(F2715),ISNUMBER(G2715)),IF(D2715=F2715,15,0),"")</f>
        <v>15</v>
      </c>
      <c r="J2715" s="22" t="n">
        <f aca="false">IF(AND(ISNUMBER(F2715),ISNUMBER(G2715)),IF(E2715=G2715,15,0),"")</f>
        <v>15</v>
      </c>
      <c r="K2715" s="22" t="n">
        <f aca="false">IF(AND(ISNUMBER(F2715),ISNUMBER(G2715)),IF(ABS(D2715-E2715)=ABS(F2715-G2715),12,0),"")</f>
        <v>12</v>
      </c>
      <c r="L2715" s="23" t="n">
        <f aca="false">IF(ISNUMBER(H2715),H2715+I2715+J2715+K2715,"")</f>
        <v>90</v>
      </c>
    </row>
    <row r="2716" customFormat="false" ht="18" hidden="false" customHeight="true" outlineLevel="0" collapsed="false">
      <c r="A2716" s="25" t="s">
        <v>9</v>
      </c>
      <c r="B2716" s="26" t="s">
        <v>194</v>
      </c>
      <c r="C2716" s="27" t="s">
        <v>17</v>
      </c>
      <c r="D2716" s="28" t="n">
        <v>2</v>
      </c>
      <c r="E2716" s="28" t="n">
        <v>0</v>
      </c>
      <c r="F2716" s="29" t="n">
        <f aca="false">'📋 Matches'!E4</f>
        <v>1</v>
      </c>
      <c r="G2716" s="29" t="n">
        <f aca="false">'📋 Matches'!F4</f>
        <v>1</v>
      </c>
      <c r="H2716" s="22" t="n">
        <f aca="false">IF(AND(ISNUMBER(F2716),ISNUMBER(G2716)),IF(SIGN(D2716-E2716)=SIGN(F2716-G2716),48,0),"")</f>
        <v>0</v>
      </c>
      <c r="I2716" s="22" t="n">
        <f aca="false">IF(AND(ISNUMBER(F2716),ISNUMBER(G2716)),IF(D2716=F2716,15,0),"")</f>
        <v>0</v>
      </c>
      <c r="J2716" s="22" t="n">
        <f aca="false">IF(AND(ISNUMBER(F2716),ISNUMBER(G2716)),IF(E2716=G2716,15,0),"")</f>
        <v>0</v>
      </c>
      <c r="K2716" s="22" t="n">
        <f aca="false">IF(AND(ISNUMBER(F2716),ISNUMBER(G2716)),IF(ABS(D2716-E2716)=ABS(F2716-G2716),12,0),"")</f>
        <v>0</v>
      </c>
      <c r="L2716" s="23" t="n">
        <f aca="false">IF(ISNUMBER(H2716),H2716+I2716+J2716+K2716,"")</f>
        <v>0</v>
      </c>
    </row>
    <row r="2717" customFormat="false" ht="18" hidden="false" customHeight="true" outlineLevel="0" collapsed="false">
      <c r="A2717" s="25" t="s">
        <v>9</v>
      </c>
      <c r="B2717" s="26" t="s">
        <v>194</v>
      </c>
      <c r="C2717" s="27" t="s">
        <v>20</v>
      </c>
      <c r="D2717" s="28" t="n">
        <v>1</v>
      </c>
      <c r="E2717" s="28" t="n">
        <v>1</v>
      </c>
      <c r="F2717" s="29" t="n">
        <f aca="false">'📋 Matches'!E5</f>
        <v>4</v>
      </c>
      <c r="G2717" s="29" t="n">
        <f aca="false">'📋 Matches'!F5</f>
        <v>1</v>
      </c>
      <c r="H2717" s="22" t="n">
        <f aca="false">IF(AND(ISNUMBER(F2717),ISNUMBER(G2717)),IF(SIGN(D2717-E2717)=SIGN(F2717-G2717),48,0),"")</f>
        <v>0</v>
      </c>
      <c r="I2717" s="22" t="n">
        <f aca="false">IF(AND(ISNUMBER(F2717),ISNUMBER(G2717)),IF(D2717=F2717,15,0),"")</f>
        <v>0</v>
      </c>
      <c r="J2717" s="22" t="n">
        <f aca="false">IF(AND(ISNUMBER(F2717),ISNUMBER(G2717)),IF(E2717=G2717,15,0),"")</f>
        <v>15</v>
      </c>
      <c r="K2717" s="22" t="n">
        <f aca="false">IF(AND(ISNUMBER(F2717),ISNUMBER(G2717)),IF(ABS(D2717-E2717)=ABS(F2717-G2717),12,0),"")</f>
        <v>0</v>
      </c>
      <c r="L2717" s="23" t="n">
        <f aca="false">IF(ISNUMBER(H2717),H2717+I2717+J2717+K2717,"")</f>
        <v>15</v>
      </c>
    </row>
    <row r="2718" customFormat="false" ht="18" hidden="false" customHeight="true" outlineLevel="0" collapsed="false">
      <c r="A2718" s="25" t="s">
        <v>9</v>
      </c>
      <c r="B2718" s="26" t="s">
        <v>194</v>
      </c>
      <c r="C2718" s="27" t="s">
        <v>23</v>
      </c>
      <c r="D2718" s="28" t="n">
        <v>0</v>
      </c>
      <c r="E2718" s="28" t="n">
        <v>2</v>
      </c>
      <c r="F2718" s="29" t="n">
        <f aca="false">'📋 Matches'!E6</f>
        <v>0</v>
      </c>
      <c r="G2718" s="29" t="n">
        <f aca="false">'📋 Matches'!F6</f>
        <v>0</v>
      </c>
      <c r="H2718" s="22" t="str">
        <f aca="false">IF(AND(ISNUMBER(F2718),ISNUMBER(G2718)),IF(SIGN(D2718-E2718)=SIGN(F2718-G2718),48,0),"")</f>
        <v/>
      </c>
      <c r="I2718" s="22" t="str">
        <f aca="false">IF(AND(ISNUMBER(F2718),ISNUMBER(G2718)),IF(D2718=F2718,15,0),"")</f>
        <v/>
      </c>
      <c r="J2718" s="22" t="str">
        <f aca="false">IF(AND(ISNUMBER(F2718),ISNUMBER(G2718)),IF(E2718=G2718,15,0),"")</f>
        <v/>
      </c>
      <c r="K2718" s="22" t="str">
        <f aca="false">IF(AND(ISNUMBER(F2718),ISNUMBER(G2718)),IF(ABS(D2718-E2718)=ABS(F2718-G2718),12,0),"")</f>
        <v/>
      </c>
      <c r="L2718" s="23" t="str">
        <f aca="false">IF(ISNUMBER(H2718),H2718+I2718+J2718+K2718,"")</f>
        <v/>
      </c>
    </row>
    <row r="2719" customFormat="false" ht="18" hidden="false" customHeight="true" outlineLevel="0" collapsed="false">
      <c r="A2719" s="25" t="s">
        <v>9</v>
      </c>
      <c r="B2719" s="26" t="s">
        <v>194</v>
      </c>
      <c r="C2719" s="27" t="s">
        <v>27</v>
      </c>
      <c r="D2719" s="28" t="n">
        <v>4</v>
      </c>
      <c r="E2719" s="28" t="n">
        <v>2</v>
      </c>
      <c r="F2719" s="29" t="n">
        <f aca="false">'📋 Matches'!E7</f>
        <v>0</v>
      </c>
      <c r="G2719" s="29" t="n">
        <f aca="false">'📋 Matches'!F7</f>
        <v>0</v>
      </c>
      <c r="H2719" s="22" t="str">
        <f aca="false">IF(AND(ISNUMBER(F2719),ISNUMBER(G2719)),IF(SIGN(D2719-E2719)=SIGN(F2719-G2719),48,0),"")</f>
        <v/>
      </c>
      <c r="I2719" s="22" t="str">
        <f aca="false">IF(AND(ISNUMBER(F2719),ISNUMBER(G2719)),IF(D2719=F2719,15,0),"")</f>
        <v/>
      </c>
      <c r="J2719" s="22" t="str">
        <f aca="false">IF(AND(ISNUMBER(F2719),ISNUMBER(G2719)),IF(E2719=G2719,15,0),"")</f>
        <v/>
      </c>
      <c r="K2719" s="22" t="str">
        <f aca="false">IF(AND(ISNUMBER(F2719),ISNUMBER(G2719)),IF(ABS(D2719-E2719)=ABS(F2719-G2719),12,0),"")</f>
        <v/>
      </c>
      <c r="L2719" s="23" t="str">
        <f aca="false">IF(ISNUMBER(H2719),H2719+I2719+J2719+K2719,"")</f>
        <v/>
      </c>
    </row>
    <row r="2720" customFormat="false" ht="18" hidden="false" customHeight="true" outlineLevel="0" collapsed="false">
      <c r="A2720" s="25" t="s">
        <v>9</v>
      </c>
      <c r="B2720" s="26" t="s">
        <v>194</v>
      </c>
      <c r="C2720" s="27" t="s">
        <v>30</v>
      </c>
      <c r="D2720" s="28" t="n">
        <v>0</v>
      </c>
      <c r="E2720" s="28" t="n">
        <v>1</v>
      </c>
      <c r="F2720" s="29" t="n">
        <f aca="false">'📋 Matches'!E8</f>
        <v>0</v>
      </c>
      <c r="G2720" s="29" t="n">
        <f aca="false">'📋 Matches'!F8</f>
        <v>0</v>
      </c>
      <c r="H2720" s="22" t="str">
        <f aca="false">IF(AND(ISNUMBER(F2720),ISNUMBER(G2720)),IF(SIGN(D2720-E2720)=SIGN(F2720-G2720),48,0),"")</f>
        <v/>
      </c>
      <c r="I2720" s="22" t="str">
        <f aca="false">IF(AND(ISNUMBER(F2720),ISNUMBER(G2720)),IF(D2720=F2720,15,0),"")</f>
        <v/>
      </c>
      <c r="J2720" s="22" t="str">
        <f aca="false">IF(AND(ISNUMBER(F2720),ISNUMBER(G2720)),IF(E2720=G2720,15,0),"")</f>
        <v/>
      </c>
      <c r="K2720" s="22" t="str">
        <f aca="false">IF(AND(ISNUMBER(F2720),ISNUMBER(G2720)),IF(ABS(D2720-E2720)=ABS(F2720-G2720),12,0),"")</f>
        <v/>
      </c>
      <c r="L2720" s="23" t="str">
        <f aca="false">IF(ISNUMBER(H2720),H2720+I2720+J2720+K2720,"")</f>
        <v/>
      </c>
    </row>
    <row r="2721" customFormat="false" ht="18" hidden="false" customHeight="true" outlineLevel="0" collapsed="false">
      <c r="A2721" s="25" t="s">
        <v>9</v>
      </c>
      <c r="B2721" s="26" t="s">
        <v>194</v>
      </c>
      <c r="C2721" s="27" t="s">
        <v>33</v>
      </c>
      <c r="D2721" s="28" t="n">
        <v>1</v>
      </c>
      <c r="E2721" s="28" t="n">
        <v>1</v>
      </c>
      <c r="F2721" s="29" t="n">
        <f aca="false">'📋 Matches'!E9</f>
        <v>0</v>
      </c>
      <c r="G2721" s="29" t="n">
        <f aca="false">'📋 Matches'!F9</f>
        <v>0</v>
      </c>
      <c r="H2721" s="22" t="str">
        <f aca="false">IF(AND(ISNUMBER(F2721),ISNUMBER(G2721)),IF(SIGN(D2721-E2721)=SIGN(F2721-G2721),48,0),"")</f>
        <v/>
      </c>
      <c r="I2721" s="22" t="str">
        <f aca="false">IF(AND(ISNUMBER(F2721),ISNUMBER(G2721)),IF(D2721=F2721,15,0),"")</f>
        <v/>
      </c>
      <c r="J2721" s="22" t="str">
        <f aca="false">IF(AND(ISNUMBER(F2721),ISNUMBER(G2721)),IF(E2721=G2721,15,0),"")</f>
        <v/>
      </c>
      <c r="K2721" s="22" t="str">
        <f aca="false">IF(AND(ISNUMBER(F2721),ISNUMBER(G2721)),IF(ABS(D2721-E2721)=ABS(F2721-G2721),12,0),"")</f>
        <v/>
      </c>
      <c r="L2721" s="23" t="str">
        <f aca="false">IF(ISNUMBER(H2721),H2721+I2721+J2721+K2721,"")</f>
        <v/>
      </c>
    </row>
    <row r="2722" customFormat="false" ht="18" hidden="false" customHeight="true" outlineLevel="0" collapsed="false">
      <c r="A2722" s="25" t="s">
        <v>9</v>
      </c>
      <c r="B2722" s="26" t="s">
        <v>194</v>
      </c>
      <c r="C2722" s="27" t="s">
        <v>36</v>
      </c>
      <c r="D2722" s="28" t="n">
        <v>2</v>
      </c>
      <c r="E2722" s="28" t="n">
        <v>0</v>
      </c>
      <c r="F2722" s="29" t="n">
        <f aca="false">'📋 Matches'!E10</f>
        <v>0</v>
      </c>
      <c r="G2722" s="29" t="n">
        <f aca="false">'📋 Matches'!F10</f>
        <v>0</v>
      </c>
      <c r="H2722" s="22" t="str">
        <f aca="false">IF(AND(ISNUMBER(F2722),ISNUMBER(G2722)),IF(SIGN(D2722-E2722)=SIGN(F2722-G2722),48,0),"")</f>
        <v/>
      </c>
      <c r="I2722" s="22" t="str">
        <f aca="false">IF(AND(ISNUMBER(F2722),ISNUMBER(G2722)),IF(D2722=F2722,15,0),"")</f>
        <v/>
      </c>
      <c r="J2722" s="22" t="str">
        <f aca="false">IF(AND(ISNUMBER(F2722),ISNUMBER(G2722)),IF(E2722=G2722,15,0),"")</f>
        <v/>
      </c>
      <c r="K2722" s="22" t="str">
        <f aca="false">IF(AND(ISNUMBER(F2722),ISNUMBER(G2722)),IF(ABS(D2722-E2722)=ABS(F2722-G2722),12,0),"")</f>
        <v/>
      </c>
      <c r="L2722" s="23" t="str">
        <f aca="false">IF(ISNUMBER(H2722),H2722+I2722+J2722+K2722,"")</f>
        <v/>
      </c>
    </row>
    <row r="2723" customFormat="false" ht="18" hidden="false" customHeight="true" outlineLevel="0" collapsed="false">
      <c r="A2723" s="25" t="s">
        <v>9</v>
      </c>
      <c r="B2723" s="26" t="s">
        <v>194</v>
      </c>
      <c r="C2723" s="27" t="s">
        <v>39</v>
      </c>
      <c r="D2723" s="28" t="n">
        <v>3</v>
      </c>
      <c r="E2723" s="28" t="n">
        <v>2</v>
      </c>
      <c r="F2723" s="29" t="n">
        <f aca="false">'📋 Matches'!E11</f>
        <v>0</v>
      </c>
      <c r="G2723" s="29" t="n">
        <f aca="false">'📋 Matches'!F11</f>
        <v>0</v>
      </c>
      <c r="H2723" s="22" t="str">
        <f aca="false">IF(AND(ISNUMBER(F2723),ISNUMBER(G2723)),IF(SIGN(D2723-E2723)=SIGN(F2723-G2723),48,0),"")</f>
        <v/>
      </c>
      <c r="I2723" s="22" t="str">
        <f aca="false">IF(AND(ISNUMBER(F2723),ISNUMBER(G2723)),IF(D2723=F2723,15,0),"")</f>
        <v/>
      </c>
      <c r="J2723" s="22" t="str">
        <f aca="false">IF(AND(ISNUMBER(F2723),ISNUMBER(G2723)),IF(E2723=G2723,15,0),"")</f>
        <v/>
      </c>
      <c r="K2723" s="22" t="str">
        <f aca="false">IF(AND(ISNUMBER(F2723),ISNUMBER(G2723)),IF(ABS(D2723-E2723)=ABS(F2723-G2723),12,0),"")</f>
        <v/>
      </c>
      <c r="L2723" s="23" t="str">
        <f aca="false">IF(ISNUMBER(H2723),H2723+I2723+J2723+K2723,"")</f>
        <v/>
      </c>
    </row>
    <row r="2724" customFormat="false" ht="18" hidden="false" customHeight="true" outlineLevel="0" collapsed="false">
      <c r="A2724" s="25" t="s">
        <v>9</v>
      </c>
      <c r="B2724" s="26" t="s">
        <v>194</v>
      </c>
      <c r="C2724" s="27" t="s">
        <v>42</v>
      </c>
      <c r="D2724" s="28" t="n">
        <v>2</v>
      </c>
      <c r="E2724" s="28" t="n">
        <v>2</v>
      </c>
      <c r="F2724" s="29" t="n">
        <f aca="false">'📋 Matches'!E12</f>
        <v>0</v>
      </c>
      <c r="G2724" s="29" t="n">
        <f aca="false">'📋 Matches'!F12</f>
        <v>0</v>
      </c>
      <c r="H2724" s="22" t="str">
        <f aca="false">IF(AND(ISNUMBER(F2724),ISNUMBER(G2724)),IF(SIGN(D2724-E2724)=SIGN(F2724-G2724),48,0),"")</f>
        <v/>
      </c>
      <c r="I2724" s="22" t="str">
        <f aca="false">IF(AND(ISNUMBER(F2724),ISNUMBER(G2724)),IF(D2724=F2724,15,0),"")</f>
        <v/>
      </c>
      <c r="J2724" s="22" t="str">
        <f aca="false">IF(AND(ISNUMBER(F2724),ISNUMBER(G2724)),IF(E2724=G2724,15,0),"")</f>
        <v/>
      </c>
      <c r="K2724" s="22" t="str">
        <f aca="false">IF(AND(ISNUMBER(F2724),ISNUMBER(G2724)),IF(ABS(D2724-E2724)=ABS(F2724-G2724),12,0),"")</f>
        <v/>
      </c>
      <c r="L2724" s="23" t="str">
        <f aca="false">IF(ISNUMBER(H2724),H2724+I2724+J2724+K2724,"")</f>
        <v/>
      </c>
    </row>
    <row r="2725" customFormat="false" ht="18" hidden="false" customHeight="true" outlineLevel="0" collapsed="false">
      <c r="A2725" s="25" t="s">
        <v>9</v>
      </c>
      <c r="B2725" s="26" t="s">
        <v>194</v>
      </c>
      <c r="C2725" s="27" t="s">
        <v>45</v>
      </c>
      <c r="D2725" s="28" t="n">
        <v>2</v>
      </c>
      <c r="E2725" s="28" t="n">
        <v>0</v>
      </c>
      <c r="F2725" s="29" t="n">
        <f aca="false">'📋 Matches'!E13</f>
        <v>0</v>
      </c>
      <c r="G2725" s="29" t="n">
        <f aca="false">'📋 Matches'!F13</f>
        <v>0</v>
      </c>
      <c r="H2725" s="22" t="str">
        <f aca="false">IF(AND(ISNUMBER(F2725),ISNUMBER(G2725)),IF(SIGN(D2725-E2725)=SIGN(F2725-G2725),48,0),"")</f>
        <v/>
      </c>
      <c r="I2725" s="22" t="str">
        <f aca="false">IF(AND(ISNUMBER(F2725),ISNUMBER(G2725)),IF(D2725=F2725,15,0),"")</f>
        <v/>
      </c>
      <c r="J2725" s="22" t="str">
        <f aca="false">IF(AND(ISNUMBER(F2725),ISNUMBER(G2725)),IF(E2725=G2725,15,0),"")</f>
        <v/>
      </c>
      <c r="K2725" s="22" t="str">
        <f aca="false">IF(AND(ISNUMBER(F2725),ISNUMBER(G2725)),IF(ABS(D2725-E2725)=ABS(F2725-G2725),12,0),"")</f>
        <v/>
      </c>
      <c r="L2725" s="23" t="str">
        <f aca="false">IF(ISNUMBER(H2725),H2725+I2725+J2725+K2725,"")</f>
        <v/>
      </c>
    </row>
    <row r="2726" customFormat="false" ht="18" hidden="false" customHeight="true" outlineLevel="0" collapsed="false">
      <c r="A2726" s="25" t="s">
        <v>9</v>
      </c>
      <c r="B2726" s="26" t="s">
        <v>194</v>
      </c>
      <c r="C2726" s="27" t="s">
        <v>48</v>
      </c>
      <c r="D2726" s="28" t="n">
        <v>4</v>
      </c>
      <c r="E2726" s="28" t="n">
        <v>1</v>
      </c>
      <c r="F2726" s="29" t="n">
        <f aca="false">'📋 Matches'!E14</f>
        <v>0</v>
      </c>
      <c r="G2726" s="29" t="n">
        <f aca="false">'📋 Matches'!F14</f>
        <v>0</v>
      </c>
      <c r="H2726" s="22" t="str">
        <f aca="false">IF(AND(ISNUMBER(F2726),ISNUMBER(G2726)),IF(SIGN(D2726-E2726)=SIGN(F2726-G2726),48,0),"")</f>
        <v/>
      </c>
      <c r="I2726" s="22" t="str">
        <f aca="false">IF(AND(ISNUMBER(F2726),ISNUMBER(G2726)),IF(D2726=F2726,15,0),"")</f>
        <v/>
      </c>
      <c r="J2726" s="22" t="str">
        <f aca="false">IF(AND(ISNUMBER(F2726),ISNUMBER(G2726)),IF(E2726=G2726,15,0),"")</f>
        <v/>
      </c>
      <c r="K2726" s="22" t="str">
        <f aca="false">IF(AND(ISNUMBER(F2726),ISNUMBER(G2726)),IF(ABS(D2726-E2726)=ABS(F2726-G2726),12,0),"")</f>
        <v/>
      </c>
      <c r="L2726" s="23" t="str">
        <f aca="false">IF(ISNUMBER(H2726),H2726+I2726+J2726+K2726,"")</f>
        <v/>
      </c>
    </row>
    <row r="2727" customFormat="false" ht="18" hidden="false" customHeight="true" outlineLevel="0" collapsed="false">
      <c r="A2727" s="25" t="s">
        <v>9</v>
      </c>
      <c r="B2727" s="26" t="s">
        <v>194</v>
      </c>
      <c r="C2727" s="27" t="s">
        <v>51</v>
      </c>
      <c r="D2727" s="28" t="n">
        <v>1</v>
      </c>
      <c r="E2727" s="28" t="n">
        <v>2</v>
      </c>
      <c r="F2727" s="29" t="n">
        <f aca="false">'📋 Matches'!E15</f>
        <v>0</v>
      </c>
      <c r="G2727" s="29" t="n">
        <f aca="false">'📋 Matches'!F15</f>
        <v>0</v>
      </c>
      <c r="H2727" s="22" t="str">
        <f aca="false">IF(AND(ISNUMBER(F2727),ISNUMBER(G2727)),IF(SIGN(D2727-E2727)=SIGN(F2727-G2727),48,0),"")</f>
        <v/>
      </c>
      <c r="I2727" s="22" t="str">
        <f aca="false">IF(AND(ISNUMBER(F2727),ISNUMBER(G2727)),IF(D2727=F2727,15,0),"")</f>
        <v/>
      </c>
      <c r="J2727" s="22" t="str">
        <f aca="false">IF(AND(ISNUMBER(F2727),ISNUMBER(G2727)),IF(E2727=G2727,15,0),"")</f>
        <v/>
      </c>
      <c r="K2727" s="22" t="str">
        <f aca="false">IF(AND(ISNUMBER(F2727),ISNUMBER(G2727)),IF(ABS(D2727-E2727)=ABS(F2727-G2727),12,0),"")</f>
        <v/>
      </c>
      <c r="L2727" s="23" t="str">
        <f aca="false">IF(ISNUMBER(H2727),H2727+I2727+J2727+K2727,"")</f>
        <v/>
      </c>
    </row>
    <row r="2728" customFormat="false" ht="18" hidden="false" customHeight="true" outlineLevel="0" collapsed="false">
      <c r="A2728" s="25" t="s">
        <v>9</v>
      </c>
      <c r="B2728" s="26" t="s">
        <v>194</v>
      </c>
      <c r="C2728" s="27" t="s">
        <v>54</v>
      </c>
      <c r="D2728" s="28" t="n">
        <v>1</v>
      </c>
      <c r="E2728" s="28" t="n">
        <v>3</v>
      </c>
      <c r="F2728" s="29" t="n">
        <f aca="false">'📋 Matches'!E16</f>
        <v>0</v>
      </c>
      <c r="G2728" s="29" t="n">
        <f aca="false">'📋 Matches'!F16</f>
        <v>0</v>
      </c>
      <c r="H2728" s="22" t="str">
        <f aca="false">IF(AND(ISNUMBER(F2728),ISNUMBER(G2728)),IF(SIGN(D2728-E2728)=SIGN(F2728-G2728),48,0),"")</f>
        <v/>
      </c>
      <c r="I2728" s="22" t="str">
        <f aca="false">IF(AND(ISNUMBER(F2728),ISNUMBER(G2728)),IF(D2728=F2728,15,0),"")</f>
        <v/>
      </c>
      <c r="J2728" s="22" t="str">
        <f aca="false">IF(AND(ISNUMBER(F2728),ISNUMBER(G2728)),IF(E2728=G2728,15,0),"")</f>
        <v/>
      </c>
      <c r="K2728" s="22" t="str">
        <f aca="false">IF(AND(ISNUMBER(F2728),ISNUMBER(G2728)),IF(ABS(D2728-E2728)=ABS(F2728-G2728),12,0),"")</f>
        <v/>
      </c>
      <c r="L2728" s="23" t="str">
        <f aca="false">IF(ISNUMBER(H2728),H2728+I2728+J2728+K2728,"")</f>
        <v/>
      </c>
    </row>
    <row r="2729" customFormat="false" ht="18" hidden="false" customHeight="true" outlineLevel="0" collapsed="false">
      <c r="A2729" s="25" t="s">
        <v>9</v>
      </c>
      <c r="B2729" s="26" t="s">
        <v>194</v>
      </c>
      <c r="C2729" s="27" t="s">
        <v>57</v>
      </c>
      <c r="D2729" s="28" t="n">
        <v>1</v>
      </c>
      <c r="E2729" s="28" t="n">
        <v>0</v>
      </c>
      <c r="F2729" s="29" t="n">
        <f aca="false">'📋 Matches'!E17</f>
        <v>0</v>
      </c>
      <c r="G2729" s="29" t="n">
        <f aca="false">'📋 Matches'!F17</f>
        <v>0</v>
      </c>
      <c r="H2729" s="22" t="str">
        <f aca="false">IF(AND(ISNUMBER(F2729),ISNUMBER(G2729)),IF(SIGN(D2729-E2729)=SIGN(F2729-G2729),48,0),"")</f>
        <v/>
      </c>
      <c r="I2729" s="22" t="str">
        <f aca="false">IF(AND(ISNUMBER(F2729),ISNUMBER(G2729)),IF(D2729=F2729,15,0),"")</f>
        <v/>
      </c>
      <c r="J2729" s="22" t="str">
        <f aca="false">IF(AND(ISNUMBER(F2729),ISNUMBER(G2729)),IF(E2729=G2729,15,0),"")</f>
        <v/>
      </c>
      <c r="K2729" s="22" t="str">
        <f aca="false">IF(AND(ISNUMBER(F2729),ISNUMBER(G2729)),IF(ABS(D2729-E2729)=ABS(F2729-G2729),12,0),"")</f>
        <v/>
      </c>
      <c r="L2729" s="23" t="str">
        <f aca="false">IF(ISNUMBER(H2729),H2729+I2729+J2729+K2729,"")</f>
        <v/>
      </c>
    </row>
    <row r="2730" customFormat="false" ht="18" hidden="false" customHeight="true" outlineLevel="0" collapsed="false">
      <c r="A2730" s="25" t="s">
        <v>9</v>
      </c>
      <c r="B2730" s="26" t="s">
        <v>194</v>
      </c>
      <c r="C2730" s="27" t="s">
        <v>60</v>
      </c>
      <c r="D2730" s="28" t="n">
        <v>3</v>
      </c>
      <c r="E2730" s="28" t="n">
        <v>0</v>
      </c>
      <c r="F2730" s="29" t="n">
        <f aca="false">'📋 Matches'!E18</f>
        <v>0</v>
      </c>
      <c r="G2730" s="29" t="n">
        <f aca="false">'📋 Matches'!F18</f>
        <v>0</v>
      </c>
      <c r="H2730" s="22" t="str">
        <f aca="false">IF(AND(ISNUMBER(F2730),ISNUMBER(G2730)),IF(SIGN(D2730-E2730)=SIGN(F2730-G2730),48,0),"")</f>
        <v/>
      </c>
      <c r="I2730" s="22" t="str">
        <f aca="false">IF(AND(ISNUMBER(F2730),ISNUMBER(G2730)),IF(D2730=F2730,15,0),"")</f>
        <v/>
      </c>
      <c r="J2730" s="22" t="str">
        <f aca="false">IF(AND(ISNUMBER(F2730),ISNUMBER(G2730)),IF(E2730=G2730,15,0),"")</f>
        <v/>
      </c>
      <c r="K2730" s="22" t="str">
        <f aca="false">IF(AND(ISNUMBER(F2730),ISNUMBER(G2730)),IF(ABS(D2730-E2730)=ABS(F2730-G2730),12,0),"")</f>
        <v/>
      </c>
      <c r="L2730" s="23" t="str">
        <f aca="false">IF(ISNUMBER(H2730),H2730+I2730+J2730+K2730,"")</f>
        <v/>
      </c>
    </row>
    <row r="2731" customFormat="false" ht="18" hidden="false" customHeight="true" outlineLevel="0" collapsed="false">
      <c r="A2731" s="25" t="s">
        <v>9</v>
      </c>
      <c r="B2731" s="26" t="s">
        <v>194</v>
      </c>
      <c r="C2731" s="27" t="s">
        <v>63</v>
      </c>
      <c r="D2731" s="28" t="n">
        <v>0</v>
      </c>
      <c r="E2731" s="28" t="n">
        <v>3</v>
      </c>
      <c r="F2731" s="29" t="n">
        <f aca="false">'📋 Matches'!E19</f>
        <v>0</v>
      </c>
      <c r="G2731" s="29" t="n">
        <f aca="false">'📋 Matches'!F19</f>
        <v>0</v>
      </c>
      <c r="H2731" s="22" t="str">
        <f aca="false">IF(AND(ISNUMBER(F2731),ISNUMBER(G2731)),IF(SIGN(D2731-E2731)=SIGN(F2731-G2731),48,0),"")</f>
        <v/>
      </c>
      <c r="I2731" s="22" t="str">
        <f aca="false">IF(AND(ISNUMBER(F2731),ISNUMBER(G2731)),IF(D2731=F2731,15,0),"")</f>
        <v/>
      </c>
      <c r="J2731" s="22" t="str">
        <f aca="false">IF(AND(ISNUMBER(F2731),ISNUMBER(G2731)),IF(E2731=G2731,15,0),"")</f>
        <v/>
      </c>
      <c r="K2731" s="22" t="str">
        <f aca="false">IF(AND(ISNUMBER(F2731),ISNUMBER(G2731)),IF(ABS(D2731-E2731)=ABS(F2731-G2731),12,0),"")</f>
        <v/>
      </c>
      <c r="L2731" s="23" t="str">
        <f aca="false">IF(ISNUMBER(H2731),H2731+I2731+J2731+K2731,"")</f>
        <v/>
      </c>
    </row>
    <row r="2732" customFormat="false" ht="18" hidden="false" customHeight="true" outlineLevel="0" collapsed="false">
      <c r="A2732" s="25" t="s">
        <v>9</v>
      </c>
      <c r="B2732" s="26" t="s">
        <v>194</v>
      </c>
      <c r="C2732" s="27" t="s">
        <v>66</v>
      </c>
      <c r="D2732" s="28" t="n">
        <v>2</v>
      </c>
      <c r="E2732" s="28" t="n">
        <v>0</v>
      </c>
      <c r="F2732" s="29" t="n">
        <f aca="false">'📋 Matches'!E20</f>
        <v>0</v>
      </c>
      <c r="G2732" s="29" t="n">
        <f aca="false">'📋 Matches'!F20</f>
        <v>0</v>
      </c>
      <c r="H2732" s="22" t="str">
        <f aca="false">IF(AND(ISNUMBER(F2732),ISNUMBER(G2732)),IF(SIGN(D2732-E2732)=SIGN(F2732-G2732),48,0),"")</f>
        <v/>
      </c>
      <c r="I2732" s="22" t="str">
        <f aca="false">IF(AND(ISNUMBER(F2732),ISNUMBER(G2732)),IF(D2732=F2732,15,0),"")</f>
        <v/>
      </c>
      <c r="J2732" s="22" t="str">
        <f aca="false">IF(AND(ISNUMBER(F2732),ISNUMBER(G2732)),IF(E2732=G2732,15,0),"")</f>
        <v/>
      </c>
      <c r="K2732" s="22" t="str">
        <f aca="false">IF(AND(ISNUMBER(F2732),ISNUMBER(G2732)),IF(ABS(D2732-E2732)=ABS(F2732-G2732),12,0),"")</f>
        <v/>
      </c>
      <c r="L2732" s="23" t="str">
        <f aca="false">IF(ISNUMBER(H2732),H2732+I2732+J2732+K2732,"")</f>
        <v/>
      </c>
    </row>
    <row r="2733" customFormat="false" ht="18" hidden="false" customHeight="true" outlineLevel="0" collapsed="false">
      <c r="A2733" s="25" t="s">
        <v>9</v>
      </c>
      <c r="B2733" s="26" t="s">
        <v>194</v>
      </c>
      <c r="C2733" s="27" t="s">
        <v>69</v>
      </c>
      <c r="D2733" s="28" t="n">
        <v>1</v>
      </c>
      <c r="E2733" s="28" t="n">
        <v>0</v>
      </c>
      <c r="F2733" s="29" t="n">
        <f aca="false">'📋 Matches'!E21</f>
        <v>0</v>
      </c>
      <c r="G2733" s="29" t="n">
        <f aca="false">'📋 Matches'!F21</f>
        <v>0</v>
      </c>
      <c r="H2733" s="22" t="str">
        <f aca="false">IF(AND(ISNUMBER(F2733),ISNUMBER(G2733)),IF(SIGN(D2733-E2733)=SIGN(F2733-G2733),48,0),"")</f>
        <v/>
      </c>
      <c r="I2733" s="22" t="str">
        <f aca="false">IF(AND(ISNUMBER(F2733),ISNUMBER(G2733)),IF(D2733=F2733,15,0),"")</f>
        <v/>
      </c>
      <c r="J2733" s="22" t="str">
        <f aca="false">IF(AND(ISNUMBER(F2733),ISNUMBER(G2733)),IF(E2733=G2733,15,0),"")</f>
        <v/>
      </c>
      <c r="K2733" s="22" t="str">
        <f aca="false">IF(AND(ISNUMBER(F2733),ISNUMBER(G2733)),IF(ABS(D2733-E2733)=ABS(F2733-G2733),12,0),"")</f>
        <v/>
      </c>
      <c r="L2733" s="23" t="str">
        <f aca="false">IF(ISNUMBER(H2733),H2733+I2733+J2733+K2733,"")</f>
        <v/>
      </c>
    </row>
    <row r="2734" customFormat="false" ht="18" hidden="false" customHeight="true" outlineLevel="0" collapsed="false">
      <c r="A2734" s="25" t="s">
        <v>9</v>
      </c>
      <c r="B2734" s="26" t="s">
        <v>194</v>
      </c>
      <c r="C2734" s="27" t="s">
        <v>72</v>
      </c>
      <c r="D2734" s="28" t="n">
        <v>2</v>
      </c>
      <c r="E2734" s="28" t="n">
        <v>0</v>
      </c>
      <c r="F2734" s="29" t="n">
        <f aca="false">'📋 Matches'!E22</f>
        <v>0</v>
      </c>
      <c r="G2734" s="29" t="n">
        <f aca="false">'📋 Matches'!F22</f>
        <v>0</v>
      </c>
      <c r="H2734" s="22" t="str">
        <f aca="false">IF(AND(ISNUMBER(F2734),ISNUMBER(G2734)),IF(SIGN(D2734-E2734)=SIGN(F2734-G2734),48,0),"")</f>
        <v/>
      </c>
      <c r="I2734" s="22" t="str">
        <f aca="false">IF(AND(ISNUMBER(F2734),ISNUMBER(G2734)),IF(D2734=F2734,15,0),"")</f>
        <v/>
      </c>
      <c r="J2734" s="22" t="str">
        <f aca="false">IF(AND(ISNUMBER(F2734),ISNUMBER(G2734)),IF(E2734=G2734,15,0),"")</f>
        <v/>
      </c>
      <c r="K2734" s="22" t="str">
        <f aca="false">IF(AND(ISNUMBER(F2734),ISNUMBER(G2734)),IF(ABS(D2734-E2734)=ABS(F2734-G2734),12,0),"")</f>
        <v/>
      </c>
      <c r="L2734" s="23" t="str">
        <f aca="false">IF(ISNUMBER(H2734),H2734+I2734+J2734+K2734,"")</f>
        <v/>
      </c>
    </row>
    <row r="2735" customFormat="false" ht="18" hidden="false" customHeight="true" outlineLevel="0" collapsed="false">
      <c r="A2735" s="25" t="s">
        <v>9</v>
      </c>
      <c r="B2735" s="26" t="s">
        <v>194</v>
      </c>
      <c r="C2735" s="27" t="s">
        <v>75</v>
      </c>
      <c r="D2735" s="28" t="n">
        <v>2</v>
      </c>
      <c r="E2735" s="28" t="n">
        <v>0</v>
      </c>
      <c r="F2735" s="29" t="n">
        <f aca="false">'📋 Matches'!E23</f>
        <v>0</v>
      </c>
      <c r="G2735" s="29" t="n">
        <f aca="false">'📋 Matches'!F23</f>
        <v>0</v>
      </c>
      <c r="H2735" s="22" t="str">
        <f aca="false">IF(AND(ISNUMBER(F2735),ISNUMBER(G2735)),IF(SIGN(D2735-E2735)=SIGN(F2735-G2735),48,0),"")</f>
        <v/>
      </c>
      <c r="I2735" s="22" t="str">
        <f aca="false">IF(AND(ISNUMBER(F2735),ISNUMBER(G2735)),IF(D2735=F2735,15,0),"")</f>
        <v/>
      </c>
      <c r="J2735" s="22" t="str">
        <f aca="false">IF(AND(ISNUMBER(F2735),ISNUMBER(G2735)),IF(E2735=G2735,15,0),"")</f>
        <v/>
      </c>
      <c r="K2735" s="22" t="str">
        <f aca="false">IF(AND(ISNUMBER(F2735),ISNUMBER(G2735)),IF(ABS(D2735-E2735)=ABS(F2735-G2735),12,0),"")</f>
        <v/>
      </c>
      <c r="L2735" s="23" t="str">
        <f aca="false">IF(ISNUMBER(H2735),H2735+I2735+J2735+K2735,"")</f>
        <v/>
      </c>
    </row>
    <row r="2736" customFormat="false" ht="18" hidden="false" customHeight="true" outlineLevel="0" collapsed="false">
      <c r="A2736" s="25" t="s">
        <v>9</v>
      </c>
      <c r="B2736" s="26" t="s">
        <v>194</v>
      </c>
      <c r="C2736" s="27" t="s">
        <v>78</v>
      </c>
      <c r="D2736" s="28" t="n">
        <v>1</v>
      </c>
      <c r="E2736" s="28" t="n">
        <v>1</v>
      </c>
      <c r="F2736" s="29" t="n">
        <f aca="false">'📋 Matches'!E24</f>
        <v>0</v>
      </c>
      <c r="G2736" s="29" t="n">
        <f aca="false">'📋 Matches'!F24</f>
        <v>0</v>
      </c>
      <c r="H2736" s="22" t="str">
        <f aca="false">IF(AND(ISNUMBER(F2736),ISNUMBER(G2736)),IF(SIGN(D2736-E2736)=SIGN(F2736-G2736),48,0),"")</f>
        <v/>
      </c>
      <c r="I2736" s="22" t="str">
        <f aca="false">IF(AND(ISNUMBER(F2736),ISNUMBER(G2736)),IF(D2736=F2736,15,0),"")</f>
        <v/>
      </c>
      <c r="J2736" s="22" t="str">
        <f aca="false">IF(AND(ISNUMBER(F2736),ISNUMBER(G2736)),IF(E2736=G2736,15,0),"")</f>
        <v/>
      </c>
      <c r="K2736" s="22" t="str">
        <f aca="false">IF(AND(ISNUMBER(F2736),ISNUMBER(G2736)),IF(ABS(D2736-E2736)=ABS(F2736-G2736),12,0),"")</f>
        <v/>
      </c>
      <c r="L2736" s="23" t="str">
        <f aca="false">IF(ISNUMBER(H2736),H2736+I2736+J2736+K2736,"")</f>
        <v/>
      </c>
    </row>
    <row r="2737" customFormat="false" ht="18" hidden="false" customHeight="true" outlineLevel="0" collapsed="false">
      <c r="A2737" s="25" t="s">
        <v>9</v>
      </c>
      <c r="B2737" s="26" t="s">
        <v>194</v>
      </c>
      <c r="C2737" s="27" t="s">
        <v>81</v>
      </c>
      <c r="D2737" s="28" t="n">
        <v>0</v>
      </c>
      <c r="E2737" s="28" t="n">
        <v>1</v>
      </c>
      <c r="F2737" s="29" t="n">
        <f aca="false">'📋 Matches'!E25</f>
        <v>0</v>
      </c>
      <c r="G2737" s="29" t="n">
        <f aca="false">'📋 Matches'!F25</f>
        <v>0</v>
      </c>
      <c r="H2737" s="22" t="str">
        <f aca="false">IF(AND(ISNUMBER(F2737),ISNUMBER(G2737)),IF(SIGN(D2737-E2737)=SIGN(F2737-G2737),48,0),"")</f>
        <v/>
      </c>
      <c r="I2737" s="22" t="str">
        <f aca="false">IF(AND(ISNUMBER(F2737),ISNUMBER(G2737)),IF(D2737=F2737,15,0),"")</f>
        <v/>
      </c>
      <c r="J2737" s="22" t="str">
        <f aca="false">IF(AND(ISNUMBER(F2737),ISNUMBER(G2737)),IF(E2737=G2737,15,0),"")</f>
        <v/>
      </c>
      <c r="K2737" s="22" t="str">
        <f aca="false">IF(AND(ISNUMBER(F2737),ISNUMBER(G2737)),IF(ABS(D2737-E2737)=ABS(F2737-G2737),12,0),"")</f>
        <v/>
      </c>
      <c r="L2737" s="23" t="str">
        <f aca="false">IF(ISNUMBER(H2737),H2737+I2737+J2737+K2737,"")</f>
        <v/>
      </c>
    </row>
    <row r="2738" customFormat="false" ht="18" hidden="false" customHeight="true" outlineLevel="0" collapsed="false">
      <c r="A2738" s="17" t="s">
        <v>9</v>
      </c>
      <c r="B2738" s="31" t="s">
        <v>195</v>
      </c>
      <c r="C2738" s="19" t="s">
        <v>10</v>
      </c>
      <c r="D2738" s="20" t="n">
        <v>2</v>
      </c>
      <c r="E2738" s="20" t="n">
        <v>1</v>
      </c>
      <c r="F2738" s="21" t="n">
        <f aca="false">'📋 Matches'!E2</f>
        <v>2</v>
      </c>
      <c r="G2738" s="21" t="n">
        <f aca="false">'📋 Matches'!F2</f>
        <v>0</v>
      </c>
      <c r="H2738" s="22" t="n">
        <f aca="false">IF(AND(ISNUMBER(F2738),ISNUMBER(G2738)),IF(SIGN(D2738-E2738)=SIGN(F2738-G2738),48,0),"")</f>
        <v>48</v>
      </c>
      <c r="I2738" s="22" t="n">
        <f aca="false">IF(AND(ISNUMBER(F2738),ISNUMBER(G2738)),IF(D2738=F2738,15,0),"")</f>
        <v>15</v>
      </c>
      <c r="J2738" s="22" t="n">
        <f aca="false">IF(AND(ISNUMBER(F2738),ISNUMBER(G2738)),IF(E2738=G2738,15,0),"")</f>
        <v>0</v>
      </c>
      <c r="K2738" s="22" t="n">
        <f aca="false">IF(AND(ISNUMBER(F2738),ISNUMBER(G2738)),IF(ABS(D2738-E2738)=ABS(F2738-G2738),12,0),"")</f>
        <v>0</v>
      </c>
      <c r="L2738" s="23" t="n">
        <f aca="false">IF(ISNUMBER(H2738),H2738+I2738+J2738+K2738,"")</f>
        <v>63</v>
      </c>
    </row>
    <row r="2739" customFormat="false" ht="18" hidden="false" customHeight="true" outlineLevel="0" collapsed="false">
      <c r="A2739" s="17" t="s">
        <v>9</v>
      </c>
      <c r="B2739" s="31" t="s">
        <v>195</v>
      </c>
      <c r="C2739" s="19" t="s">
        <v>14</v>
      </c>
      <c r="D2739" s="20" t="n">
        <v>3</v>
      </c>
      <c r="E2739" s="20" t="n">
        <v>1</v>
      </c>
      <c r="F2739" s="21" t="n">
        <f aca="false">'📋 Matches'!E3</f>
        <v>2</v>
      </c>
      <c r="G2739" s="21" t="n">
        <f aca="false">'📋 Matches'!F3</f>
        <v>1</v>
      </c>
      <c r="H2739" s="22" t="n">
        <f aca="false">IF(AND(ISNUMBER(F2739),ISNUMBER(G2739)),IF(SIGN(D2739-E2739)=SIGN(F2739-G2739),48,0),"")</f>
        <v>48</v>
      </c>
      <c r="I2739" s="22" t="n">
        <f aca="false">IF(AND(ISNUMBER(F2739),ISNUMBER(G2739)),IF(D2739=F2739,15,0),"")</f>
        <v>0</v>
      </c>
      <c r="J2739" s="22" t="n">
        <f aca="false">IF(AND(ISNUMBER(F2739),ISNUMBER(G2739)),IF(E2739=G2739,15,0),"")</f>
        <v>15</v>
      </c>
      <c r="K2739" s="22" t="n">
        <f aca="false">IF(AND(ISNUMBER(F2739),ISNUMBER(G2739)),IF(ABS(D2739-E2739)=ABS(F2739-G2739),12,0),"")</f>
        <v>0</v>
      </c>
      <c r="L2739" s="23" t="n">
        <f aca="false">IF(ISNUMBER(H2739),H2739+I2739+J2739+K2739,"")</f>
        <v>63</v>
      </c>
    </row>
    <row r="2740" customFormat="false" ht="18" hidden="false" customHeight="true" outlineLevel="0" collapsed="false">
      <c r="A2740" s="17" t="s">
        <v>9</v>
      </c>
      <c r="B2740" s="31" t="s">
        <v>195</v>
      </c>
      <c r="C2740" s="19" t="s">
        <v>17</v>
      </c>
      <c r="D2740" s="20" t="n">
        <v>2</v>
      </c>
      <c r="E2740" s="20" t="n">
        <v>0</v>
      </c>
      <c r="F2740" s="21" t="n">
        <f aca="false">'📋 Matches'!E4</f>
        <v>1</v>
      </c>
      <c r="G2740" s="21" t="n">
        <f aca="false">'📋 Matches'!F4</f>
        <v>1</v>
      </c>
      <c r="H2740" s="22" t="n">
        <f aca="false">IF(AND(ISNUMBER(F2740),ISNUMBER(G2740)),IF(SIGN(D2740-E2740)=SIGN(F2740-G2740),48,0),"")</f>
        <v>0</v>
      </c>
      <c r="I2740" s="22" t="n">
        <f aca="false">IF(AND(ISNUMBER(F2740),ISNUMBER(G2740)),IF(D2740=F2740,15,0),"")</f>
        <v>0</v>
      </c>
      <c r="J2740" s="22" t="n">
        <f aca="false">IF(AND(ISNUMBER(F2740),ISNUMBER(G2740)),IF(E2740=G2740,15,0),"")</f>
        <v>0</v>
      </c>
      <c r="K2740" s="22" t="n">
        <f aca="false">IF(AND(ISNUMBER(F2740),ISNUMBER(G2740)),IF(ABS(D2740-E2740)=ABS(F2740-G2740),12,0),"")</f>
        <v>0</v>
      </c>
      <c r="L2740" s="23" t="n">
        <f aca="false">IF(ISNUMBER(H2740),H2740+I2740+J2740+K2740,"")</f>
        <v>0</v>
      </c>
    </row>
    <row r="2741" customFormat="false" ht="18" hidden="false" customHeight="true" outlineLevel="0" collapsed="false">
      <c r="A2741" s="17" t="s">
        <v>9</v>
      </c>
      <c r="B2741" s="31" t="s">
        <v>195</v>
      </c>
      <c r="C2741" s="19" t="s">
        <v>20</v>
      </c>
      <c r="D2741" s="20" t="n">
        <v>3</v>
      </c>
      <c r="E2741" s="20" t="n">
        <v>1</v>
      </c>
      <c r="F2741" s="21" t="n">
        <f aca="false">'📋 Matches'!E5</f>
        <v>4</v>
      </c>
      <c r="G2741" s="21" t="n">
        <f aca="false">'📋 Matches'!F5</f>
        <v>1</v>
      </c>
      <c r="H2741" s="22" t="n">
        <f aca="false">IF(AND(ISNUMBER(F2741),ISNUMBER(G2741)),IF(SIGN(D2741-E2741)=SIGN(F2741-G2741),48,0),"")</f>
        <v>48</v>
      </c>
      <c r="I2741" s="22" t="n">
        <f aca="false">IF(AND(ISNUMBER(F2741),ISNUMBER(G2741)),IF(D2741=F2741,15,0),"")</f>
        <v>0</v>
      </c>
      <c r="J2741" s="22" t="n">
        <f aca="false">IF(AND(ISNUMBER(F2741),ISNUMBER(G2741)),IF(E2741=G2741,15,0),"")</f>
        <v>15</v>
      </c>
      <c r="K2741" s="22" t="n">
        <f aca="false">IF(AND(ISNUMBER(F2741),ISNUMBER(G2741)),IF(ABS(D2741-E2741)=ABS(F2741-G2741),12,0),"")</f>
        <v>0</v>
      </c>
      <c r="L2741" s="23" t="n">
        <f aca="false">IF(ISNUMBER(H2741),H2741+I2741+J2741+K2741,"")</f>
        <v>63</v>
      </c>
    </row>
    <row r="2742" customFormat="false" ht="18" hidden="false" customHeight="true" outlineLevel="0" collapsed="false">
      <c r="A2742" s="17" t="s">
        <v>9</v>
      </c>
      <c r="B2742" s="31" t="s">
        <v>195</v>
      </c>
      <c r="C2742" s="19" t="s">
        <v>23</v>
      </c>
      <c r="D2742" s="20" t="n">
        <v>2</v>
      </c>
      <c r="E2742" s="20" t="n">
        <v>1</v>
      </c>
      <c r="F2742" s="21" t="n">
        <f aca="false">'📋 Matches'!E6</f>
        <v>0</v>
      </c>
      <c r="G2742" s="21" t="n">
        <f aca="false">'📋 Matches'!F6</f>
        <v>0</v>
      </c>
      <c r="H2742" s="22" t="str">
        <f aca="false">IF(AND(ISNUMBER(F2742),ISNUMBER(G2742)),IF(SIGN(D2742-E2742)=SIGN(F2742-G2742),48,0),"")</f>
        <v/>
      </c>
      <c r="I2742" s="22" t="str">
        <f aca="false">IF(AND(ISNUMBER(F2742),ISNUMBER(G2742)),IF(D2742=F2742,15,0),"")</f>
        <v/>
      </c>
      <c r="J2742" s="22" t="str">
        <f aca="false">IF(AND(ISNUMBER(F2742),ISNUMBER(G2742)),IF(E2742=G2742,15,0),"")</f>
        <v/>
      </c>
      <c r="K2742" s="22" t="str">
        <f aca="false">IF(AND(ISNUMBER(F2742),ISNUMBER(G2742)),IF(ABS(D2742-E2742)=ABS(F2742-G2742),12,0),"")</f>
        <v/>
      </c>
      <c r="L2742" s="23" t="str">
        <f aca="false">IF(ISNUMBER(H2742),H2742+I2742+J2742+K2742,"")</f>
        <v/>
      </c>
    </row>
    <row r="2743" customFormat="false" ht="18" hidden="false" customHeight="true" outlineLevel="0" collapsed="false">
      <c r="A2743" s="17" t="s">
        <v>9</v>
      </c>
      <c r="B2743" s="31" t="s">
        <v>195</v>
      </c>
      <c r="C2743" s="19" t="s">
        <v>27</v>
      </c>
      <c r="D2743" s="20" t="n">
        <v>2</v>
      </c>
      <c r="E2743" s="20" t="n">
        <v>2</v>
      </c>
      <c r="F2743" s="21" t="n">
        <f aca="false">'📋 Matches'!E7</f>
        <v>0</v>
      </c>
      <c r="G2743" s="21" t="n">
        <f aca="false">'📋 Matches'!F7</f>
        <v>0</v>
      </c>
      <c r="H2743" s="22" t="str">
        <f aca="false">IF(AND(ISNUMBER(F2743),ISNUMBER(G2743)),IF(SIGN(D2743-E2743)=SIGN(F2743-G2743),48,0),"")</f>
        <v/>
      </c>
      <c r="I2743" s="22" t="str">
        <f aca="false">IF(AND(ISNUMBER(F2743),ISNUMBER(G2743)),IF(D2743=F2743,15,0),"")</f>
        <v/>
      </c>
      <c r="J2743" s="22" t="str">
        <f aca="false">IF(AND(ISNUMBER(F2743),ISNUMBER(G2743)),IF(E2743=G2743,15,0),"")</f>
        <v/>
      </c>
      <c r="K2743" s="22" t="str">
        <f aca="false">IF(AND(ISNUMBER(F2743),ISNUMBER(G2743)),IF(ABS(D2743-E2743)=ABS(F2743-G2743),12,0),"")</f>
        <v/>
      </c>
      <c r="L2743" s="23" t="str">
        <f aca="false">IF(ISNUMBER(H2743),H2743+I2743+J2743+K2743,"")</f>
        <v/>
      </c>
    </row>
    <row r="2744" customFormat="false" ht="18" hidden="false" customHeight="true" outlineLevel="0" collapsed="false">
      <c r="A2744" s="17" t="s">
        <v>9</v>
      </c>
      <c r="B2744" s="31" t="s">
        <v>195</v>
      </c>
      <c r="C2744" s="19" t="s">
        <v>30</v>
      </c>
      <c r="D2744" s="20" t="n">
        <v>1</v>
      </c>
      <c r="E2744" s="20" t="n">
        <v>2</v>
      </c>
      <c r="F2744" s="21" t="n">
        <f aca="false">'📋 Matches'!E8</f>
        <v>0</v>
      </c>
      <c r="G2744" s="21" t="n">
        <f aca="false">'📋 Matches'!F8</f>
        <v>0</v>
      </c>
      <c r="H2744" s="22" t="str">
        <f aca="false">IF(AND(ISNUMBER(F2744),ISNUMBER(G2744)),IF(SIGN(D2744-E2744)=SIGN(F2744-G2744),48,0),"")</f>
        <v/>
      </c>
      <c r="I2744" s="22" t="str">
        <f aca="false">IF(AND(ISNUMBER(F2744),ISNUMBER(G2744)),IF(D2744=F2744,15,0),"")</f>
        <v/>
      </c>
      <c r="J2744" s="22" t="str">
        <f aca="false">IF(AND(ISNUMBER(F2744),ISNUMBER(G2744)),IF(E2744=G2744,15,0),"")</f>
        <v/>
      </c>
      <c r="K2744" s="22" t="str">
        <f aca="false">IF(AND(ISNUMBER(F2744),ISNUMBER(G2744)),IF(ABS(D2744-E2744)=ABS(F2744-G2744),12,0),"")</f>
        <v/>
      </c>
      <c r="L2744" s="23" t="str">
        <f aca="false">IF(ISNUMBER(H2744),H2744+I2744+J2744+K2744,"")</f>
        <v/>
      </c>
    </row>
    <row r="2745" customFormat="false" ht="18" hidden="false" customHeight="true" outlineLevel="0" collapsed="false">
      <c r="A2745" s="17" t="s">
        <v>9</v>
      </c>
      <c r="B2745" s="31" t="s">
        <v>195</v>
      </c>
      <c r="C2745" s="19" t="s">
        <v>33</v>
      </c>
      <c r="D2745" s="20" t="n">
        <v>2</v>
      </c>
      <c r="E2745" s="20" t="n">
        <v>1</v>
      </c>
      <c r="F2745" s="21" t="n">
        <f aca="false">'📋 Matches'!E9</f>
        <v>0</v>
      </c>
      <c r="G2745" s="21" t="n">
        <f aca="false">'📋 Matches'!F9</f>
        <v>0</v>
      </c>
      <c r="H2745" s="22" t="str">
        <f aca="false">IF(AND(ISNUMBER(F2745),ISNUMBER(G2745)),IF(SIGN(D2745-E2745)=SIGN(F2745-G2745),48,0),"")</f>
        <v/>
      </c>
      <c r="I2745" s="22" t="str">
        <f aca="false">IF(AND(ISNUMBER(F2745),ISNUMBER(G2745)),IF(D2745=F2745,15,0),"")</f>
        <v/>
      </c>
      <c r="J2745" s="22" t="str">
        <f aca="false">IF(AND(ISNUMBER(F2745),ISNUMBER(G2745)),IF(E2745=G2745,15,0),"")</f>
        <v/>
      </c>
      <c r="K2745" s="22" t="str">
        <f aca="false">IF(AND(ISNUMBER(F2745),ISNUMBER(G2745)),IF(ABS(D2745-E2745)=ABS(F2745-G2745),12,0),"")</f>
        <v/>
      </c>
      <c r="L2745" s="23" t="str">
        <f aca="false">IF(ISNUMBER(H2745),H2745+I2745+J2745+K2745,"")</f>
        <v/>
      </c>
    </row>
    <row r="2746" customFormat="false" ht="18" hidden="false" customHeight="true" outlineLevel="0" collapsed="false">
      <c r="A2746" s="17" t="s">
        <v>9</v>
      </c>
      <c r="B2746" s="31" t="s">
        <v>195</v>
      </c>
      <c r="C2746" s="19" t="s">
        <v>36</v>
      </c>
      <c r="D2746" s="20" t="n">
        <v>1</v>
      </c>
      <c r="E2746" s="20" t="n">
        <v>0</v>
      </c>
      <c r="F2746" s="21" t="n">
        <f aca="false">'📋 Matches'!E10</f>
        <v>0</v>
      </c>
      <c r="G2746" s="21" t="n">
        <f aca="false">'📋 Matches'!F10</f>
        <v>0</v>
      </c>
      <c r="H2746" s="22" t="str">
        <f aca="false">IF(AND(ISNUMBER(F2746),ISNUMBER(G2746)),IF(SIGN(D2746-E2746)=SIGN(F2746-G2746),48,0),"")</f>
        <v/>
      </c>
      <c r="I2746" s="22" t="str">
        <f aca="false">IF(AND(ISNUMBER(F2746),ISNUMBER(G2746)),IF(D2746=F2746,15,0),"")</f>
        <v/>
      </c>
      <c r="J2746" s="22" t="str">
        <f aca="false">IF(AND(ISNUMBER(F2746),ISNUMBER(G2746)),IF(E2746=G2746,15,0),"")</f>
        <v/>
      </c>
      <c r="K2746" s="22" t="str">
        <f aca="false">IF(AND(ISNUMBER(F2746),ISNUMBER(G2746)),IF(ABS(D2746-E2746)=ABS(F2746-G2746),12,0),"")</f>
        <v/>
      </c>
      <c r="L2746" s="23" t="str">
        <f aca="false">IF(ISNUMBER(H2746),H2746+I2746+J2746+K2746,"")</f>
        <v/>
      </c>
    </row>
    <row r="2747" customFormat="false" ht="18" hidden="false" customHeight="true" outlineLevel="0" collapsed="false">
      <c r="A2747" s="17" t="s">
        <v>9</v>
      </c>
      <c r="B2747" s="31" t="s">
        <v>195</v>
      </c>
      <c r="C2747" s="19" t="s">
        <v>39</v>
      </c>
      <c r="D2747" s="20" t="n">
        <v>1</v>
      </c>
      <c r="E2747" s="20" t="n">
        <v>2</v>
      </c>
      <c r="F2747" s="21" t="n">
        <f aca="false">'📋 Matches'!E11</f>
        <v>0</v>
      </c>
      <c r="G2747" s="21" t="n">
        <f aca="false">'📋 Matches'!F11</f>
        <v>0</v>
      </c>
      <c r="H2747" s="22" t="str">
        <f aca="false">IF(AND(ISNUMBER(F2747),ISNUMBER(G2747)),IF(SIGN(D2747-E2747)=SIGN(F2747-G2747),48,0),"")</f>
        <v/>
      </c>
      <c r="I2747" s="22" t="str">
        <f aca="false">IF(AND(ISNUMBER(F2747),ISNUMBER(G2747)),IF(D2747=F2747,15,0),"")</f>
        <v/>
      </c>
      <c r="J2747" s="22" t="str">
        <f aca="false">IF(AND(ISNUMBER(F2747),ISNUMBER(G2747)),IF(E2747=G2747,15,0),"")</f>
        <v/>
      </c>
      <c r="K2747" s="22" t="str">
        <f aca="false">IF(AND(ISNUMBER(F2747),ISNUMBER(G2747)),IF(ABS(D2747-E2747)=ABS(F2747-G2747),12,0),"")</f>
        <v/>
      </c>
      <c r="L2747" s="23" t="str">
        <f aca="false">IF(ISNUMBER(H2747),H2747+I2747+J2747+K2747,"")</f>
        <v/>
      </c>
    </row>
    <row r="2748" customFormat="false" ht="18" hidden="false" customHeight="true" outlineLevel="0" collapsed="false">
      <c r="A2748" s="17" t="s">
        <v>9</v>
      </c>
      <c r="B2748" s="31" t="s">
        <v>195</v>
      </c>
      <c r="C2748" s="19" t="s">
        <v>42</v>
      </c>
      <c r="D2748" s="20" t="n">
        <v>1</v>
      </c>
      <c r="E2748" s="20" t="n">
        <v>1</v>
      </c>
      <c r="F2748" s="21" t="n">
        <f aca="false">'📋 Matches'!E12</f>
        <v>0</v>
      </c>
      <c r="G2748" s="21" t="n">
        <f aca="false">'📋 Matches'!F12</f>
        <v>0</v>
      </c>
      <c r="H2748" s="22" t="str">
        <f aca="false">IF(AND(ISNUMBER(F2748),ISNUMBER(G2748)),IF(SIGN(D2748-E2748)=SIGN(F2748-G2748),48,0),"")</f>
        <v/>
      </c>
      <c r="I2748" s="22" t="str">
        <f aca="false">IF(AND(ISNUMBER(F2748),ISNUMBER(G2748)),IF(D2748=F2748,15,0),"")</f>
        <v/>
      </c>
      <c r="J2748" s="22" t="str">
        <f aca="false">IF(AND(ISNUMBER(F2748),ISNUMBER(G2748)),IF(E2748=G2748,15,0),"")</f>
        <v/>
      </c>
      <c r="K2748" s="22" t="str">
        <f aca="false">IF(AND(ISNUMBER(F2748),ISNUMBER(G2748)),IF(ABS(D2748-E2748)=ABS(F2748-G2748),12,0),"")</f>
        <v/>
      </c>
      <c r="L2748" s="23" t="str">
        <f aca="false">IF(ISNUMBER(H2748),H2748+I2748+J2748+K2748,"")</f>
        <v/>
      </c>
    </row>
    <row r="2749" customFormat="false" ht="18" hidden="false" customHeight="true" outlineLevel="0" collapsed="false">
      <c r="A2749" s="17" t="s">
        <v>9</v>
      </c>
      <c r="B2749" s="31" t="s">
        <v>195</v>
      </c>
      <c r="C2749" s="19" t="s">
        <v>45</v>
      </c>
      <c r="D2749" s="20" t="n">
        <v>0</v>
      </c>
      <c r="E2749" s="20" t="n">
        <v>0</v>
      </c>
      <c r="F2749" s="21" t="n">
        <f aca="false">'📋 Matches'!E13</f>
        <v>0</v>
      </c>
      <c r="G2749" s="21" t="n">
        <f aca="false">'📋 Matches'!F13</f>
        <v>0</v>
      </c>
      <c r="H2749" s="22" t="str">
        <f aca="false">IF(AND(ISNUMBER(F2749),ISNUMBER(G2749)),IF(SIGN(D2749-E2749)=SIGN(F2749-G2749),48,0),"")</f>
        <v/>
      </c>
      <c r="I2749" s="22" t="str">
        <f aca="false">IF(AND(ISNUMBER(F2749),ISNUMBER(G2749)),IF(D2749=F2749,15,0),"")</f>
        <v/>
      </c>
      <c r="J2749" s="22" t="str">
        <f aca="false">IF(AND(ISNUMBER(F2749),ISNUMBER(G2749)),IF(E2749=G2749,15,0),"")</f>
        <v/>
      </c>
      <c r="K2749" s="22" t="str">
        <f aca="false">IF(AND(ISNUMBER(F2749),ISNUMBER(G2749)),IF(ABS(D2749-E2749)=ABS(F2749-G2749),12,0),"")</f>
        <v/>
      </c>
      <c r="L2749" s="23" t="str">
        <f aca="false">IF(ISNUMBER(H2749),H2749+I2749+J2749+K2749,"")</f>
        <v/>
      </c>
    </row>
    <row r="2750" customFormat="false" ht="18" hidden="false" customHeight="true" outlineLevel="0" collapsed="false">
      <c r="A2750" s="17" t="s">
        <v>9</v>
      </c>
      <c r="B2750" s="31" t="s">
        <v>195</v>
      </c>
      <c r="C2750" s="19" t="s">
        <v>48</v>
      </c>
      <c r="D2750" s="20" t="n">
        <v>2</v>
      </c>
      <c r="E2750" s="20" t="n">
        <v>1</v>
      </c>
      <c r="F2750" s="21" t="n">
        <f aca="false">'📋 Matches'!E14</f>
        <v>0</v>
      </c>
      <c r="G2750" s="21" t="n">
        <f aca="false">'📋 Matches'!F14</f>
        <v>0</v>
      </c>
      <c r="H2750" s="22" t="str">
        <f aca="false">IF(AND(ISNUMBER(F2750),ISNUMBER(G2750)),IF(SIGN(D2750-E2750)=SIGN(F2750-G2750),48,0),"")</f>
        <v/>
      </c>
      <c r="I2750" s="22" t="str">
        <f aca="false">IF(AND(ISNUMBER(F2750),ISNUMBER(G2750)),IF(D2750=F2750,15,0),"")</f>
        <v/>
      </c>
      <c r="J2750" s="22" t="str">
        <f aca="false">IF(AND(ISNUMBER(F2750),ISNUMBER(G2750)),IF(E2750=G2750,15,0),"")</f>
        <v/>
      </c>
      <c r="K2750" s="22" t="str">
        <f aca="false">IF(AND(ISNUMBER(F2750),ISNUMBER(G2750)),IF(ABS(D2750-E2750)=ABS(F2750-G2750),12,0),"")</f>
        <v/>
      </c>
      <c r="L2750" s="23" t="str">
        <f aca="false">IF(ISNUMBER(H2750),H2750+I2750+J2750+K2750,"")</f>
        <v/>
      </c>
    </row>
    <row r="2751" customFormat="false" ht="18" hidden="false" customHeight="true" outlineLevel="0" collapsed="false">
      <c r="A2751" s="17" t="s">
        <v>9</v>
      </c>
      <c r="B2751" s="31" t="s">
        <v>195</v>
      </c>
      <c r="C2751" s="19" t="s">
        <v>51</v>
      </c>
      <c r="D2751" s="20" t="n">
        <v>1</v>
      </c>
      <c r="E2751" s="20" t="n">
        <v>2</v>
      </c>
      <c r="F2751" s="21" t="n">
        <f aca="false">'📋 Matches'!E15</f>
        <v>0</v>
      </c>
      <c r="G2751" s="21" t="n">
        <f aca="false">'📋 Matches'!F15</f>
        <v>0</v>
      </c>
      <c r="H2751" s="22" t="str">
        <f aca="false">IF(AND(ISNUMBER(F2751),ISNUMBER(G2751)),IF(SIGN(D2751-E2751)=SIGN(F2751-G2751),48,0),"")</f>
        <v/>
      </c>
      <c r="I2751" s="22" t="str">
        <f aca="false">IF(AND(ISNUMBER(F2751),ISNUMBER(G2751)),IF(D2751=F2751,15,0),"")</f>
        <v/>
      </c>
      <c r="J2751" s="22" t="str">
        <f aca="false">IF(AND(ISNUMBER(F2751),ISNUMBER(G2751)),IF(E2751=G2751,15,0),"")</f>
        <v/>
      </c>
      <c r="K2751" s="22" t="str">
        <f aca="false">IF(AND(ISNUMBER(F2751),ISNUMBER(G2751)),IF(ABS(D2751-E2751)=ABS(F2751-G2751),12,0),"")</f>
        <v/>
      </c>
      <c r="L2751" s="23" t="str">
        <f aca="false">IF(ISNUMBER(H2751),H2751+I2751+J2751+K2751,"")</f>
        <v/>
      </c>
    </row>
    <row r="2752" customFormat="false" ht="18" hidden="false" customHeight="true" outlineLevel="0" collapsed="false">
      <c r="A2752" s="17" t="s">
        <v>9</v>
      </c>
      <c r="B2752" s="31" t="s">
        <v>195</v>
      </c>
      <c r="C2752" s="19" t="s">
        <v>54</v>
      </c>
      <c r="D2752" s="20" t="n">
        <v>2</v>
      </c>
      <c r="E2752" s="20" t="n">
        <v>1</v>
      </c>
      <c r="F2752" s="21" t="n">
        <f aca="false">'📋 Matches'!E16</f>
        <v>0</v>
      </c>
      <c r="G2752" s="21" t="n">
        <f aca="false">'📋 Matches'!F16</f>
        <v>0</v>
      </c>
      <c r="H2752" s="22" t="str">
        <f aca="false">IF(AND(ISNUMBER(F2752),ISNUMBER(G2752)),IF(SIGN(D2752-E2752)=SIGN(F2752-G2752),48,0),"")</f>
        <v/>
      </c>
      <c r="I2752" s="22" t="str">
        <f aca="false">IF(AND(ISNUMBER(F2752),ISNUMBER(G2752)),IF(D2752=F2752,15,0),"")</f>
        <v/>
      </c>
      <c r="J2752" s="22" t="str">
        <f aca="false">IF(AND(ISNUMBER(F2752),ISNUMBER(G2752)),IF(E2752=G2752,15,0),"")</f>
        <v/>
      </c>
      <c r="K2752" s="22" t="str">
        <f aca="false">IF(AND(ISNUMBER(F2752),ISNUMBER(G2752)),IF(ABS(D2752-E2752)=ABS(F2752-G2752),12,0),"")</f>
        <v/>
      </c>
      <c r="L2752" s="23" t="str">
        <f aca="false">IF(ISNUMBER(H2752),H2752+I2752+J2752+K2752,"")</f>
        <v/>
      </c>
    </row>
    <row r="2753" customFormat="false" ht="18" hidden="false" customHeight="true" outlineLevel="0" collapsed="false">
      <c r="A2753" s="17" t="s">
        <v>9</v>
      </c>
      <c r="B2753" s="31" t="s">
        <v>195</v>
      </c>
      <c r="C2753" s="19" t="s">
        <v>57</v>
      </c>
      <c r="D2753" s="20" t="n">
        <v>2</v>
      </c>
      <c r="E2753" s="20" t="n">
        <v>1</v>
      </c>
      <c r="F2753" s="21" t="n">
        <f aca="false">'📋 Matches'!E17</f>
        <v>0</v>
      </c>
      <c r="G2753" s="21" t="n">
        <f aca="false">'📋 Matches'!F17</f>
        <v>0</v>
      </c>
      <c r="H2753" s="22" t="str">
        <f aca="false">IF(AND(ISNUMBER(F2753),ISNUMBER(G2753)),IF(SIGN(D2753-E2753)=SIGN(F2753-G2753),48,0),"")</f>
        <v/>
      </c>
      <c r="I2753" s="22" t="str">
        <f aca="false">IF(AND(ISNUMBER(F2753),ISNUMBER(G2753)),IF(D2753=F2753,15,0),"")</f>
        <v/>
      </c>
      <c r="J2753" s="22" t="str">
        <f aca="false">IF(AND(ISNUMBER(F2753),ISNUMBER(G2753)),IF(E2753=G2753,15,0),"")</f>
        <v/>
      </c>
      <c r="K2753" s="22" t="str">
        <f aca="false">IF(AND(ISNUMBER(F2753),ISNUMBER(G2753)),IF(ABS(D2753-E2753)=ABS(F2753-G2753),12,0),"")</f>
        <v/>
      </c>
      <c r="L2753" s="23" t="str">
        <f aca="false">IF(ISNUMBER(H2753),H2753+I2753+J2753+K2753,"")</f>
        <v/>
      </c>
    </row>
    <row r="2754" customFormat="false" ht="18" hidden="false" customHeight="true" outlineLevel="0" collapsed="false">
      <c r="A2754" s="17" t="s">
        <v>9</v>
      </c>
      <c r="B2754" s="31" t="s">
        <v>195</v>
      </c>
      <c r="C2754" s="19" t="s">
        <v>60</v>
      </c>
      <c r="D2754" s="20" t="n">
        <v>3</v>
      </c>
      <c r="E2754" s="20" t="n">
        <v>2</v>
      </c>
      <c r="F2754" s="21" t="n">
        <f aca="false">'📋 Matches'!E18</f>
        <v>0</v>
      </c>
      <c r="G2754" s="21" t="n">
        <f aca="false">'📋 Matches'!F18</f>
        <v>0</v>
      </c>
      <c r="H2754" s="22" t="str">
        <f aca="false">IF(AND(ISNUMBER(F2754),ISNUMBER(G2754)),IF(SIGN(D2754-E2754)=SIGN(F2754-G2754),48,0),"")</f>
        <v/>
      </c>
      <c r="I2754" s="22" t="str">
        <f aca="false">IF(AND(ISNUMBER(F2754),ISNUMBER(G2754)),IF(D2754=F2754,15,0),"")</f>
        <v/>
      </c>
      <c r="J2754" s="22" t="str">
        <f aca="false">IF(AND(ISNUMBER(F2754),ISNUMBER(G2754)),IF(E2754=G2754,15,0),"")</f>
        <v/>
      </c>
      <c r="K2754" s="22" t="str">
        <f aca="false">IF(AND(ISNUMBER(F2754),ISNUMBER(G2754)),IF(ABS(D2754-E2754)=ABS(F2754-G2754),12,0),"")</f>
        <v/>
      </c>
      <c r="L2754" s="23" t="str">
        <f aca="false">IF(ISNUMBER(H2754),H2754+I2754+J2754+K2754,"")</f>
        <v/>
      </c>
    </row>
    <row r="2755" customFormat="false" ht="18" hidden="false" customHeight="true" outlineLevel="0" collapsed="false">
      <c r="A2755" s="17" t="s">
        <v>9</v>
      </c>
      <c r="B2755" s="31" t="s">
        <v>195</v>
      </c>
      <c r="C2755" s="19" t="s">
        <v>63</v>
      </c>
      <c r="D2755" s="20" t="n">
        <v>1</v>
      </c>
      <c r="E2755" s="20" t="n">
        <v>2</v>
      </c>
      <c r="F2755" s="21" t="n">
        <f aca="false">'📋 Matches'!E19</f>
        <v>0</v>
      </c>
      <c r="G2755" s="21" t="n">
        <f aca="false">'📋 Matches'!F19</f>
        <v>0</v>
      </c>
      <c r="H2755" s="22" t="str">
        <f aca="false">IF(AND(ISNUMBER(F2755),ISNUMBER(G2755)),IF(SIGN(D2755-E2755)=SIGN(F2755-G2755),48,0),"")</f>
        <v/>
      </c>
      <c r="I2755" s="22" t="str">
        <f aca="false">IF(AND(ISNUMBER(F2755),ISNUMBER(G2755)),IF(D2755=F2755,15,0),"")</f>
        <v/>
      </c>
      <c r="J2755" s="22" t="str">
        <f aca="false">IF(AND(ISNUMBER(F2755),ISNUMBER(G2755)),IF(E2755=G2755,15,0),"")</f>
        <v/>
      </c>
      <c r="K2755" s="22" t="str">
        <f aca="false">IF(AND(ISNUMBER(F2755),ISNUMBER(G2755)),IF(ABS(D2755-E2755)=ABS(F2755-G2755),12,0),"")</f>
        <v/>
      </c>
      <c r="L2755" s="23" t="str">
        <f aca="false">IF(ISNUMBER(H2755),H2755+I2755+J2755+K2755,"")</f>
        <v/>
      </c>
    </row>
    <row r="2756" customFormat="false" ht="18" hidden="false" customHeight="true" outlineLevel="0" collapsed="false">
      <c r="A2756" s="17" t="s">
        <v>9</v>
      </c>
      <c r="B2756" s="31" t="s">
        <v>195</v>
      </c>
      <c r="C2756" s="19" t="s">
        <v>66</v>
      </c>
      <c r="D2756" s="20" t="n">
        <v>2</v>
      </c>
      <c r="E2756" s="20" t="n">
        <v>0</v>
      </c>
      <c r="F2756" s="21" t="n">
        <f aca="false">'📋 Matches'!E20</f>
        <v>0</v>
      </c>
      <c r="G2756" s="21" t="n">
        <f aca="false">'📋 Matches'!F20</f>
        <v>0</v>
      </c>
      <c r="H2756" s="22" t="str">
        <f aca="false">IF(AND(ISNUMBER(F2756),ISNUMBER(G2756)),IF(SIGN(D2756-E2756)=SIGN(F2756-G2756),48,0),"")</f>
        <v/>
      </c>
      <c r="I2756" s="22" t="str">
        <f aca="false">IF(AND(ISNUMBER(F2756),ISNUMBER(G2756)),IF(D2756=F2756,15,0),"")</f>
        <v/>
      </c>
      <c r="J2756" s="22" t="str">
        <f aca="false">IF(AND(ISNUMBER(F2756),ISNUMBER(G2756)),IF(E2756=G2756,15,0),"")</f>
        <v/>
      </c>
      <c r="K2756" s="22" t="str">
        <f aca="false">IF(AND(ISNUMBER(F2756),ISNUMBER(G2756)),IF(ABS(D2756-E2756)=ABS(F2756-G2756),12,0),"")</f>
        <v/>
      </c>
      <c r="L2756" s="23" t="str">
        <f aca="false">IF(ISNUMBER(H2756),H2756+I2756+J2756+K2756,"")</f>
        <v/>
      </c>
    </row>
    <row r="2757" customFormat="false" ht="18" hidden="false" customHeight="true" outlineLevel="0" collapsed="false">
      <c r="A2757" s="17" t="s">
        <v>9</v>
      </c>
      <c r="B2757" s="31" t="s">
        <v>195</v>
      </c>
      <c r="C2757" s="19" t="s">
        <v>69</v>
      </c>
      <c r="D2757" s="20" t="n">
        <v>1</v>
      </c>
      <c r="E2757" s="20" t="n">
        <v>2</v>
      </c>
      <c r="F2757" s="21" t="n">
        <f aca="false">'📋 Matches'!E21</f>
        <v>0</v>
      </c>
      <c r="G2757" s="21" t="n">
        <f aca="false">'📋 Matches'!F21</f>
        <v>0</v>
      </c>
      <c r="H2757" s="22" t="str">
        <f aca="false">IF(AND(ISNUMBER(F2757),ISNUMBER(G2757)),IF(SIGN(D2757-E2757)=SIGN(F2757-G2757),48,0),"")</f>
        <v/>
      </c>
      <c r="I2757" s="22" t="str">
        <f aca="false">IF(AND(ISNUMBER(F2757),ISNUMBER(G2757)),IF(D2757=F2757,15,0),"")</f>
        <v/>
      </c>
      <c r="J2757" s="22" t="str">
        <f aca="false">IF(AND(ISNUMBER(F2757),ISNUMBER(G2757)),IF(E2757=G2757,15,0),"")</f>
        <v/>
      </c>
      <c r="K2757" s="22" t="str">
        <f aca="false">IF(AND(ISNUMBER(F2757),ISNUMBER(G2757)),IF(ABS(D2757-E2757)=ABS(F2757-G2757),12,0),"")</f>
        <v/>
      </c>
      <c r="L2757" s="23" t="str">
        <f aca="false">IF(ISNUMBER(H2757),H2757+I2757+J2757+K2757,"")</f>
        <v/>
      </c>
    </row>
    <row r="2758" customFormat="false" ht="18" hidden="false" customHeight="true" outlineLevel="0" collapsed="false">
      <c r="A2758" s="17" t="s">
        <v>9</v>
      </c>
      <c r="B2758" s="31" t="s">
        <v>195</v>
      </c>
      <c r="C2758" s="19" t="s">
        <v>72</v>
      </c>
      <c r="D2758" s="20" t="n">
        <v>2</v>
      </c>
      <c r="E2758" s="20" t="n">
        <v>1</v>
      </c>
      <c r="F2758" s="21" t="n">
        <f aca="false">'📋 Matches'!E22</f>
        <v>0</v>
      </c>
      <c r="G2758" s="21" t="n">
        <f aca="false">'📋 Matches'!F22</f>
        <v>0</v>
      </c>
      <c r="H2758" s="22" t="str">
        <f aca="false">IF(AND(ISNUMBER(F2758),ISNUMBER(G2758)),IF(SIGN(D2758-E2758)=SIGN(F2758-G2758),48,0),"")</f>
        <v/>
      </c>
      <c r="I2758" s="22" t="str">
        <f aca="false">IF(AND(ISNUMBER(F2758),ISNUMBER(G2758)),IF(D2758=F2758,15,0),"")</f>
        <v/>
      </c>
      <c r="J2758" s="22" t="str">
        <f aca="false">IF(AND(ISNUMBER(F2758),ISNUMBER(G2758)),IF(E2758=G2758,15,0),"")</f>
        <v/>
      </c>
      <c r="K2758" s="22" t="str">
        <f aca="false">IF(AND(ISNUMBER(F2758),ISNUMBER(G2758)),IF(ABS(D2758-E2758)=ABS(F2758-G2758),12,0),"")</f>
        <v/>
      </c>
      <c r="L2758" s="23" t="str">
        <f aca="false">IF(ISNUMBER(H2758),H2758+I2758+J2758+K2758,"")</f>
        <v/>
      </c>
    </row>
    <row r="2759" customFormat="false" ht="18" hidden="false" customHeight="true" outlineLevel="0" collapsed="false">
      <c r="A2759" s="17" t="s">
        <v>9</v>
      </c>
      <c r="B2759" s="31" t="s">
        <v>195</v>
      </c>
      <c r="C2759" s="19" t="s">
        <v>75</v>
      </c>
      <c r="D2759" s="20" t="n">
        <v>1</v>
      </c>
      <c r="E2759" s="20" t="n">
        <v>0</v>
      </c>
      <c r="F2759" s="21" t="n">
        <f aca="false">'📋 Matches'!E23</f>
        <v>0</v>
      </c>
      <c r="G2759" s="21" t="n">
        <f aca="false">'📋 Matches'!F23</f>
        <v>0</v>
      </c>
      <c r="H2759" s="22" t="str">
        <f aca="false">IF(AND(ISNUMBER(F2759),ISNUMBER(G2759)),IF(SIGN(D2759-E2759)=SIGN(F2759-G2759),48,0),"")</f>
        <v/>
      </c>
      <c r="I2759" s="22" t="str">
        <f aca="false">IF(AND(ISNUMBER(F2759),ISNUMBER(G2759)),IF(D2759=F2759,15,0),"")</f>
        <v/>
      </c>
      <c r="J2759" s="22" t="str">
        <f aca="false">IF(AND(ISNUMBER(F2759),ISNUMBER(G2759)),IF(E2759=G2759,15,0),"")</f>
        <v/>
      </c>
      <c r="K2759" s="22" t="str">
        <f aca="false">IF(AND(ISNUMBER(F2759),ISNUMBER(G2759)),IF(ABS(D2759-E2759)=ABS(F2759-G2759),12,0),"")</f>
        <v/>
      </c>
      <c r="L2759" s="23" t="str">
        <f aca="false">IF(ISNUMBER(H2759),H2759+I2759+J2759+K2759,"")</f>
        <v/>
      </c>
    </row>
    <row r="2760" customFormat="false" ht="18" hidden="false" customHeight="true" outlineLevel="0" collapsed="false">
      <c r="A2760" s="17" t="s">
        <v>9</v>
      </c>
      <c r="B2760" s="31" t="s">
        <v>195</v>
      </c>
      <c r="C2760" s="19" t="s">
        <v>78</v>
      </c>
      <c r="D2760" s="20" t="n">
        <v>1</v>
      </c>
      <c r="E2760" s="20" t="n">
        <v>0</v>
      </c>
      <c r="F2760" s="21" t="n">
        <f aca="false">'📋 Matches'!E24</f>
        <v>0</v>
      </c>
      <c r="G2760" s="21" t="n">
        <f aca="false">'📋 Matches'!F24</f>
        <v>0</v>
      </c>
      <c r="H2760" s="22" t="str">
        <f aca="false">IF(AND(ISNUMBER(F2760),ISNUMBER(G2760)),IF(SIGN(D2760-E2760)=SIGN(F2760-G2760),48,0),"")</f>
        <v/>
      </c>
      <c r="I2760" s="22" t="str">
        <f aca="false">IF(AND(ISNUMBER(F2760),ISNUMBER(G2760)),IF(D2760=F2760,15,0),"")</f>
        <v/>
      </c>
      <c r="J2760" s="22" t="str">
        <f aca="false">IF(AND(ISNUMBER(F2760),ISNUMBER(G2760)),IF(E2760=G2760,15,0),"")</f>
        <v/>
      </c>
      <c r="K2760" s="22" t="str">
        <f aca="false">IF(AND(ISNUMBER(F2760),ISNUMBER(G2760)),IF(ABS(D2760-E2760)=ABS(F2760-G2760),12,0),"")</f>
        <v/>
      </c>
      <c r="L2760" s="23" t="str">
        <f aca="false">IF(ISNUMBER(H2760),H2760+I2760+J2760+K2760,"")</f>
        <v/>
      </c>
    </row>
    <row r="2761" customFormat="false" ht="18" hidden="false" customHeight="true" outlineLevel="0" collapsed="false">
      <c r="A2761" s="17" t="s">
        <v>9</v>
      </c>
      <c r="B2761" s="31" t="s">
        <v>195</v>
      </c>
      <c r="C2761" s="19" t="s">
        <v>81</v>
      </c>
      <c r="D2761" s="20" t="n">
        <v>0</v>
      </c>
      <c r="E2761" s="20" t="n">
        <v>1</v>
      </c>
      <c r="F2761" s="21" t="n">
        <f aca="false">'📋 Matches'!E25</f>
        <v>0</v>
      </c>
      <c r="G2761" s="21" t="n">
        <f aca="false">'📋 Matches'!F25</f>
        <v>0</v>
      </c>
      <c r="H2761" s="22" t="str">
        <f aca="false">IF(AND(ISNUMBER(F2761),ISNUMBER(G2761)),IF(SIGN(D2761-E2761)=SIGN(F2761-G2761),48,0),"")</f>
        <v/>
      </c>
      <c r="I2761" s="22" t="str">
        <f aca="false">IF(AND(ISNUMBER(F2761),ISNUMBER(G2761)),IF(D2761=F2761,15,0),"")</f>
        <v/>
      </c>
      <c r="J2761" s="22" t="str">
        <f aca="false">IF(AND(ISNUMBER(F2761),ISNUMBER(G2761)),IF(E2761=G2761,15,0),"")</f>
        <v/>
      </c>
      <c r="K2761" s="22" t="str">
        <f aca="false">IF(AND(ISNUMBER(F2761),ISNUMBER(G2761)),IF(ABS(D2761-E2761)=ABS(F2761-G2761),12,0),"")</f>
        <v/>
      </c>
      <c r="L2761" s="23" t="str">
        <f aca="false">IF(ISNUMBER(H2761),H2761+I2761+J2761+K2761,"")</f>
        <v/>
      </c>
    </row>
    <row r="2762" customFormat="false" ht="18" hidden="false" customHeight="true" outlineLevel="0" collapsed="false">
      <c r="A2762" s="25" t="s">
        <v>9</v>
      </c>
      <c r="B2762" s="32" t="s">
        <v>196</v>
      </c>
      <c r="C2762" s="27" t="s">
        <v>10</v>
      </c>
      <c r="D2762" s="28" t="n">
        <v>3</v>
      </c>
      <c r="E2762" s="28" t="n">
        <v>1</v>
      </c>
      <c r="F2762" s="29" t="n">
        <f aca="false">'📋 Matches'!E2</f>
        <v>2</v>
      </c>
      <c r="G2762" s="29" t="n">
        <f aca="false">'📋 Matches'!F2</f>
        <v>0</v>
      </c>
      <c r="H2762" s="22" t="n">
        <f aca="false">IF(AND(ISNUMBER(F2762),ISNUMBER(G2762)),IF(SIGN(D2762-E2762)=SIGN(F2762-G2762),48,0),"")</f>
        <v>48</v>
      </c>
      <c r="I2762" s="22" t="n">
        <f aca="false">IF(AND(ISNUMBER(F2762),ISNUMBER(G2762)),IF(D2762=F2762,15,0),"")</f>
        <v>0</v>
      </c>
      <c r="J2762" s="22" t="n">
        <f aca="false">IF(AND(ISNUMBER(F2762),ISNUMBER(G2762)),IF(E2762=G2762,15,0),"")</f>
        <v>0</v>
      </c>
      <c r="K2762" s="22" t="n">
        <f aca="false">IF(AND(ISNUMBER(F2762),ISNUMBER(G2762)),IF(ABS(D2762-E2762)=ABS(F2762-G2762),12,0),"")</f>
        <v>12</v>
      </c>
      <c r="L2762" s="23" t="n">
        <f aca="false">IF(ISNUMBER(H2762),H2762+I2762+J2762+K2762,"")</f>
        <v>60</v>
      </c>
    </row>
    <row r="2763" customFormat="false" ht="18" hidden="false" customHeight="true" outlineLevel="0" collapsed="false">
      <c r="A2763" s="25" t="s">
        <v>9</v>
      </c>
      <c r="B2763" s="32" t="s">
        <v>196</v>
      </c>
      <c r="C2763" s="27" t="s">
        <v>14</v>
      </c>
      <c r="D2763" s="28" t="n">
        <v>1</v>
      </c>
      <c r="E2763" s="28" t="n">
        <v>2</v>
      </c>
      <c r="F2763" s="29" t="n">
        <f aca="false">'📋 Matches'!E3</f>
        <v>2</v>
      </c>
      <c r="G2763" s="29" t="n">
        <f aca="false">'📋 Matches'!F3</f>
        <v>1</v>
      </c>
      <c r="H2763" s="22" t="n">
        <f aca="false">IF(AND(ISNUMBER(F2763),ISNUMBER(G2763)),IF(SIGN(D2763-E2763)=SIGN(F2763-G2763),48,0),"")</f>
        <v>0</v>
      </c>
      <c r="I2763" s="22" t="n">
        <f aca="false">IF(AND(ISNUMBER(F2763),ISNUMBER(G2763)),IF(D2763=F2763,15,0),"")</f>
        <v>0</v>
      </c>
      <c r="J2763" s="22" t="n">
        <f aca="false">IF(AND(ISNUMBER(F2763),ISNUMBER(G2763)),IF(E2763=G2763,15,0),"")</f>
        <v>0</v>
      </c>
      <c r="K2763" s="22" t="n">
        <f aca="false">IF(AND(ISNUMBER(F2763),ISNUMBER(G2763)),IF(ABS(D2763-E2763)=ABS(F2763-G2763),12,0),"")</f>
        <v>12</v>
      </c>
      <c r="L2763" s="23" t="n">
        <f aca="false">IF(ISNUMBER(H2763),H2763+I2763+J2763+K2763,"")</f>
        <v>12</v>
      </c>
    </row>
    <row r="2764" customFormat="false" ht="18" hidden="false" customHeight="true" outlineLevel="0" collapsed="false">
      <c r="A2764" s="25" t="s">
        <v>9</v>
      </c>
      <c r="B2764" s="32" t="s">
        <v>196</v>
      </c>
      <c r="C2764" s="27" t="s">
        <v>17</v>
      </c>
      <c r="D2764" s="28" t="n">
        <v>1</v>
      </c>
      <c r="E2764" s="28" t="n">
        <v>0</v>
      </c>
      <c r="F2764" s="29" t="n">
        <f aca="false">'📋 Matches'!E4</f>
        <v>1</v>
      </c>
      <c r="G2764" s="29" t="n">
        <f aca="false">'📋 Matches'!F4</f>
        <v>1</v>
      </c>
      <c r="H2764" s="22" t="n">
        <f aca="false">IF(AND(ISNUMBER(F2764),ISNUMBER(G2764)),IF(SIGN(D2764-E2764)=SIGN(F2764-G2764),48,0),"")</f>
        <v>0</v>
      </c>
      <c r="I2764" s="22" t="n">
        <f aca="false">IF(AND(ISNUMBER(F2764),ISNUMBER(G2764)),IF(D2764=F2764,15,0),"")</f>
        <v>15</v>
      </c>
      <c r="J2764" s="22" t="n">
        <f aca="false">IF(AND(ISNUMBER(F2764),ISNUMBER(G2764)),IF(E2764=G2764,15,0),"")</f>
        <v>0</v>
      </c>
      <c r="K2764" s="22" t="n">
        <f aca="false">IF(AND(ISNUMBER(F2764),ISNUMBER(G2764)),IF(ABS(D2764-E2764)=ABS(F2764-G2764),12,0),"")</f>
        <v>0</v>
      </c>
      <c r="L2764" s="23" t="n">
        <f aca="false">IF(ISNUMBER(H2764),H2764+I2764+J2764+K2764,"")</f>
        <v>15</v>
      </c>
    </row>
    <row r="2765" customFormat="false" ht="18" hidden="false" customHeight="true" outlineLevel="0" collapsed="false">
      <c r="A2765" s="25" t="s">
        <v>9</v>
      </c>
      <c r="B2765" s="32" t="s">
        <v>196</v>
      </c>
      <c r="C2765" s="27" t="s">
        <v>20</v>
      </c>
      <c r="D2765" s="28" t="n">
        <v>2</v>
      </c>
      <c r="E2765" s="28" t="n">
        <v>0</v>
      </c>
      <c r="F2765" s="29" t="n">
        <f aca="false">'📋 Matches'!E5</f>
        <v>4</v>
      </c>
      <c r="G2765" s="29" t="n">
        <f aca="false">'📋 Matches'!F5</f>
        <v>1</v>
      </c>
      <c r="H2765" s="22" t="n">
        <f aca="false">IF(AND(ISNUMBER(F2765),ISNUMBER(G2765)),IF(SIGN(D2765-E2765)=SIGN(F2765-G2765),48,0),"")</f>
        <v>48</v>
      </c>
      <c r="I2765" s="22" t="n">
        <f aca="false">IF(AND(ISNUMBER(F2765),ISNUMBER(G2765)),IF(D2765=F2765,15,0),"")</f>
        <v>0</v>
      </c>
      <c r="J2765" s="22" t="n">
        <f aca="false">IF(AND(ISNUMBER(F2765),ISNUMBER(G2765)),IF(E2765=G2765,15,0),"")</f>
        <v>0</v>
      </c>
      <c r="K2765" s="22" t="n">
        <f aca="false">IF(AND(ISNUMBER(F2765),ISNUMBER(G2765)),IF(ABS(D2765-E2765)=ABS(F2765-G2765),12,0),"")</f>
        <v>0</v>
      </c>
      <c r="L2765" s="23" t="n">
        <f aca="false">IF(ISNUMBER(H2765),H2765+I2765+J2765+K2765,"")</f>
        <v>48</v>
      </c>
    </row>
    <row r="2766" customFormat="false" ht="18" hidden="false" customHeight="true" outlineLevel="0" collapsed="false">
      <c r="A2766" s="25" t="s">
        <v>9</v>
      </c>
      <c r="B2766" s="32" t="s">
        <v>196</v>
      </c>
      <c r="C2766" s="27" t="s">
        <v>23</v>
      </c>
      <c r="D2766" s="28" t="n">
        <v>1</v>
      </c>
      <c r="E2766" s="28" t="n">
        <v>3</v>
      </c>
      <c r="F2766" s="29" t="n">
        <f aca="false">'📋 Matches'!E6</f>
        <v>0</v>
      </c>
      <c r="G2766" s="29" t="n">
        <f aca="false">'📋 Matches'!F6</f>
        <v>0</v>
      </c>
      <c r="H2766" s="22" t="str">
        <f aca="false">IF(AND(ISNUMBER(F2766),ISNUMBER(G2766)),IF(SIGN(D2766-E2766)=SIGN(F2766-G2766),48,0),"")</f>
        <v/>
      </c>
      <c r="I2766" s="22" t="str">
        <f aca="false">IF(AND(ISNUMBER(F2766),ISNUMBER(G2766)),IF(D2766=F2766,15,0),"")</f>
        <v/>
      </c>
      <c r="J2766" s="22" t="str">
        <f aca="false">IF(AND(ISNUMBER(F2766),ISNUMBER(G2766)),IF(E2766=G2766,15,0),"")</f>
        <v/>
      </c>
      <c r="K2766" s="22" t="str">
        <f aca="false">IF(AND(ISNUMBER(F2766),ISNUMBER(G2766)),IF(ABS(D2766-E2766)=ABS(F2766-G2766),12,0),"")</f>
        <v/>
      </c>
      <c r="L2766" s="23" t="str">
        <f aca="false">IF(ISNUMBER(H2766),H2766+I2766+J2766+K2766,"")</f>
        <v/>
      </c>
    </row>
    <row r="2767" customFormat="false" ht="18" hidden="false" customHeight="true" outlineLevel="0" collapsed="false">
      <c r="A2767" s="25" t="s">
        <v>9</v>
      </c>
      <c r="B2767" s="32" t="s">
        <v>196</v>
      </c>
      <c r="C2767" s="27" t="s">
        <v>27</v>
      </c>
      <c r="D2767" s="28" t="n">
        <v>3</v>
      </c>
      <c r="E2767" s="28" t="n">
        <v>2</v>
      </c>
      <c r="F2767" s="29" t="n">
        <f aca="false">'📋 Matches'!E7</f>
        <v>0</v>
      </c>
      <c r="G2767" s="29" t="n">
        <f aca="false">'📋 Matches'!F7</f>
        <v>0</v>
      </c>
      <c r="H2767" s="22" t="str">
        <f aca="false">IF(AND(ISNUMBER(F2767),ISNUMBER(G2767)),IF(SIGN(D2767-E2767)=SIGN(F2767-G2767),48,0),"")</f>
        <v/>
      </c>
      <c r="I2767" s="22" t="str">
        <f aca="false">IF(AND(ISNUMBER(F2767),ISNUMBER(G2767)),IF(D2767=F2767,15,0),"")</f>
        <v/>
      </c>
      <c r="J2767" s="22" t="str">
        <f aca="false">IF(AND(ISNUMBER(F2767),ISNUMBER(G2767)),IF(E2767=G2767,15,0),"")</f>
        <v/>
      </c>
      <c r="K2767" s="22" t="str">
        <f aca="false">IF(AND(ISNUMBER(F2767),ISNUMBER(G2767)),IF(ABS(D2767-E2767)=ABS(F2767-G2767),12,0),"")</f>
        <v/>
      </c>
      <c r="L2767" s="23" t="str">
        <f aca="false">IF(ISNUMBER(H2767),H2767+I2767+J2767+K2767,"")</f>
        <v/>
      </c>
    </row>
    <row r="2768" customFormat="false" ht="18" hidden="false" customHeight="true" outlineLevel="0" collapsed="false">
      <c r="A2768" s="25" t="s">
        <v>9</v>
      </c>
      <c r="B2768" s="32" t="s">
        <v>196</v>
      </c>
      <c r="C2768" s="27" t="s">
        <v>30</v>
      </c>
      <c r="D2768" s="28" t="n">
        <v>0</v>
      </c>
      <c r="E2768" s="28" t="n">
        <v>2</v>
      </c>
      <c r="F2768" s="29" t="n">
        <f aca="false">'📋 Matches'!E8</f>
        <v>0</v>
      </c>
      <c r="G2768" s="29" t="n">
        <f aca="false">'📋 Matches'!F8</f>
        <v>0</v>
      </c>
      <c r="H2768" s="22" t="str">
        <f aca="false">IF(AND(ISNUMBER(F2768),ISNUMBER(G2768)),IF(SIGN(D2768-E2768)=SIGN(F2768-G2768),48,0),"")</f>
        <v/>
      </c>
      <c r="I2768" s="22" t="str">
        <f aca="false">IF(AND(ISNUMBER(F2768),ISNUMBER(G2768)),IF(D2768=F2768,15,0),"")</f>
        <v/>
      </c>
      <c r="J2768" s="22" t="str">
        <f aca="false">IF(AND(ISNUMBER(F2768),ISNUMBER(G2768)),IF(E2768=G2768,15,0),"")</f>
        <v/>
      </c>
      <c r="K2768" s="22" t="str">
        <f aca="false">IF(AND(ISNUMBER(F2768),ISNUMBER(G2768)),IF(ABS(D2768-E2768)=ABS(F2768-G2768),12,0),"")</f>
        <v/>
      </c>
      <c r="L2768" s="23" t="str">
        <f aca="false">IF(ISNUMBER(H2768),H2768+I2768+J2768+K2768,"")</f>
        <v/>
      </c>
    </row>
    <row r="2769" customFormat="false" ht="18" hidden="false" customHeight="true" outlineLevel="0" collapsed="false">
      <c r="A2769" s="25" t="s">
        <v>9</v>
      </c>
      <c r="B2769" s="32" t="s">
        <v>196</v>
      </c>
      <c r="C2769" s="27" t="s">
        <v>33</v>
      </c>
      <c r="D2769" s="28" t="n">
        <v>0</v>
      </c>
      <c r="E2769" s="28" t="n">
        <v>2</v>
      </c>
      <c r="F2769" s="29" t="n">
        <f aca="false">'📋 Matches'!E9</f>
        <v>0</v>
      </c>
      <c r="G2769" s="29" t="n">
        <f aca="false">'📋 Matches'!F9</f>
        <v>0</v>
      </c>
      <c r="H2769" s="22" t="str">
        <f aca="false">IF(AND(ISNUMBER(F2769),ISNUMBER(G2769)),IF(SIGN(D2769-E2769)=SIGN(F2769-G2769),48,0),"")</f>
        <v/>
      </c>
      <c r="I2769" s="22" t="str">
        <f aca="false">IF(AND(ISNUMBER(F2769),ISNUMBER(G2769)),IF(D2769=F2769,15,0),"")</f>
        <v/>
      </c>
      <c r="J2769" s="22" t="str">
        <f aca="false">IF(AND(ISNUMBER(F2769),ISNUMBER(G2769)),IF(E2769=G2769,15,0),"")</f>
        <v/>
      </c>
      <c r="K2769" s="22" t="str">
        <f aca="false">IF(AND(ISNUMBER(F2769),ISNUMBER(G2769)),IF(ABS(D2769-E2769)=ABS(F2769-G2769),12,0),"")</f>
        <v/>
      </c>
      <c r="L2769" s="23" t="str">
        <f aca="false">IF(ISNUMBER(H2769),H2769+I2769+J2769+K2769,"")</f>
        <v/>
      </c>
    </row>
    <row r="2770" customFormat="false" ht="18" hidden="false" customHeight="true" outlineLevel="0" collapsed="false">
      <c r="A2770" s="25" t="s">
        <v>9</v>
      </c>
      <c r="B2770" s="32" t="s">
        <v>196</v>
      </c>
      <c r="C2770" s="27" t="s">
        <v>36</v>
      </c>
      <c r="D2770" s="28" t="n">
        <v>5</v>
      </c>
      <c r="E2770" s="28" t="n">
        <v>0</v>
      </c>
      <c r="F2770" s="29" t="n">
        <f aca="false">'📋 Matches'!E10</f>
        <v>0</v>
      </c>
      <c r="G2770" s="29" t="n">
        <f aca="false">'📋 Matches'!F10</f>
        <v>0</v>
      </c>
      <c r="H2770" s="22" t="str">
        <f aca="false">IF(AND(ISNUMBER(F2770),ISNUMBER(G2770)),IF(SIGN(D2770-E2770)=SIGN(F2770-G2770),48,0),"")</f>
        <v/>
      </c>
      <c r="I2770" s="22" t="str">
        <f aca="false">IF(AND(ISNUMBER(F2770),ISNUMBER(G2770)),IF(D2770=F2770,15,0),"")</f>
        <v/>
      </c>
      <c r="J2770" s="22" t="str">
        <f aca="false">IF(AND(ISNUMBER(F2770),ISNUMBER(G2770)),IF(E2770=G2770,15,0),"")</f>
        <v/>
      </c>
      <c r="K2770" s="22" t="str">
        <f aca="false">IF(AND(ISNUMBER(F2770),ISNUMBER(G2770)),IF(ABS(D2770-E2770)=ABS(F2770-G2770),12,0),"")</f>
        <v/>
      </c>
      <c r="L2770" s="23" t="str">
        <f aca="false">IF(ISNUMBER(H2770),H2770+I2770+J2770+K2770,"")</f>
        <v/>
      </c>
    </row>
    <row r="2771" customFormat="false" ht="18" hidden="false" customHeight="true" outlineLevel="0" collapsed="false">
      <c r="A2771" s="25" t="s">
        <v>9</v>
      </c>
      <c r="B2771" s="32" t="s">
        <v>196</v>
      </c>
      <c r="C2771" s="27" t="s">
        <v>39</v>
      </c>
      <c r="D2771" s="28" t="n">
        <v>2</v>
      </c>
      <c r="E2771" s="28" t="n">
        <v>1</v>
      </c>
      <c r="F2771" s="29" t="n">
        <f aca="false">'📋 Matches'!E11</f>
        <v>0</v>
      </c>
      <c r="G2771" s="29" t="n">
        <f aca="false">'📋 Matches'!F11</f>
        <v>0</v>
      </c>
      <c r="H2771" s="22" t="str">
        <f aca="false">IF(AND(ISNUMBER(F2771),ISNUMBER(G2771)),IF(SIGN(D2771-E2771)=SIGN(F2771-G2771),48,0),"")</f>
        <v/>
      </c>
      <c r="I2771" s="22" t="str">
        <f aca="false">IF(AND(ISNUMBER(F2771),ISNUMBER(G2771)),IF(D2771=F2771,15,0),"")</f>
        <v/>
      </c>
      <c r="J2771" s="22" t="str">
        <f aca="false">IF(AND(ISNUMBER(F2771),ISNUMBER(G2771)),IF(E2771=G2771,15,0),"")</f>
        <v/>
      </c>
      <c r="K2771" s="22" t="str">
        <f aca="false">IF(AND(ISNUMBER(F2771),ISNUMBER(G2771)),IF(ABS(D2771-E2771)=ABS(F2771-G2771),12,0),"")</f>
        <v/>
      </c>
      <c r="L2771" s="23" t="str">
        <f aca="false">IF(ISNUMBER(H2771),H2771+I2771+J2771+K2771,"")</f>
        <v/>
      </c>
    </row>
    <row r="2772" customFormat="false" ht="18" hidden="false" customHeight="true" outlineLevel="0" collapsed="false">
      <c r="A2772" s="25" t="s">
        <v>9</v>
      </c>
      <c r="B2772" s="32" t="s">
        <v>196</v>
      </c>
      <c r="C2772" s="27" t="s">
        <v>42</v>
      </c>
      <c r="D2772" s="28" t="n">
        <v>1</v>
      </c>
      <c r="E2772" s="28" t="n">
        <v>1</v>
      </c>
      <c r="F2772" s="29" t="n">
        <f aca="false">'📋 Matches'!E12</f>
        <v>0</v>
      </c>
      <c r="G2772" s="29" t="n">
        <f aca="false">'📋 Matches'!F12</f>
        <v>0</v>
      </c>
      <c r="H2772" s="22" t="str">
        <f aca="false">IF(AND(ISNUMBER(F2772),ISNUMBER(G2772)),IF(SIGN(D2772-E2772)=SIGN(F2772-G2772),48,0),"")</f>
        <v/>
      </c>
      <c r="I2772" s="22" t="str">
        <f aca="false">IF(AND(ISNUMBER(F2772),ISNUMBER(G2772)),IF(D2772=F2772,15,0),"")</f>
        <v/>
      </c>
      <c r="J2772" s="22" t="str">
        <f aca="false">IF(AND(ISNUMBER(F2772),ISNUMBER(G2772)),IF(E2772=G2772,15,0),"")</f>
        <v/>
      </c>
      <c r="K2772" s="22" t="str">
        <f aca="false">IF(AND(ISNUMBER(F2772),ISNUMBER(G2772)),IF(ABS(D2772-E2772)=ABS(F2772-G2772),12,0),"")</f>
        <v/>
      </c>
      <c r="L2772" s="23" t="str">
        <f aca="false">IF(ISNUMBER(H2772),H2772+I2772+J2772+K2772,"")</f>
        <v/>
      </c>
    </row>
    <row r="2773" customFormat="false" ht="18" hidden="false" customHeight="true" outlineLevel="0" collapsed="false">
      <c r="A2773" s="25" t="s">
        <v>9</v>
      </c>
      <c r="B2773" s="32" t="s">
        <v>196</v>
      </c>
      <c r="C2773" s="27" t="s">
        <v>45</v>
      </c>
      <c r="D2773" s="28" t="n">
        <v>2</v>
      </c>
      <c r="E2773" s="28" t="n">
        <v>0</v>
      </c>
      <c r="F2773" s="29" t="n">
        <f aca="false">'📋 Matches'!E13</f>
        <v>0</v>
      </c>
      <c r="G2773" s="29" t="n">
        <f aca="false">'📋 Matches'!F13</f>
        <v>0</v>
      </c>
      <c r="H2773" s="22" t="str">
        <f aca="false">IF(AND(ISNUMBER(F2773),ISNUMBER(G2773)),IF(SIGN(D2773-E2773)=SIGN(F2773-G2773),48,0),"")</f>
        <v/>
      </c>
      <c r="I2773" s="22" t="str">
        <f aca="false">IF(AND(ISNUMBER(F2773),ISNUMBER(G2773)),IF(D2773=F2773,15,0),"")</f>
        <v/>
      </c>
      <c r="J2773" s="22" t="str">
        <f aca="false">IF(AND(ISNUMBER(F2773),ISNUMBER(G2773)),IF(E2773=G2773,15,0),"")</f>
        <v/>
      </c>
      <c r="K2773" s="22" t="str">
        <f aca="false">IF(AND(ISNUMBER(F2773),ISNUMBER(G2773)),IF(ABS(D2773-E2773)=ABS(F2773-G2773),12,0),"")</f>
        <v/>
      </c>
      <c r="L2773" s="23" t="str">
        <f aca="false">IF(ISNUMBER(H2773),H2773+I2773+J2773+K2773,"")</f>
        <v/>
      </c>
    </row>
    <row r="2774" customFormat="false" ht="18" hidden="false" customHeight="true" outlineLevel="0" collapsed="false">
      <c r="A2774" s="25" t="s">
        <v>9</v>
      </c>
      <c r="B2774" s="32" t="s">
        <v>196</v>
      </c>
      <c r="C2774" s="27" t="s">
        <v>48</v>
      </c>
      <c r="D2774" s="28" t="n">
        <v>5</v>
      </c>
      <c r="E2774" s="28" t="n">
        <v>0</v>
      </c>
      <c r="F2774" s="29" t="n">
        <f aca="false">'📋 Matches'!E14</f>
        <v>0</v>
      </c>
      <c r="G2774" s="29" t="n">
        <f aca="false">'📋 Matches'!F14</f>
        <v>0</v>
      </c>
      <c r="H2774" s="22" t="str">
        <f aca="false">IF(AND(ISNUMBER(F2774),ISNUMBER(G2774)),IF(SIGN(D2774-E2774)=SIGN(F2774-G2774),48,0),"")</f>
        <v/>
      </c>
      <c r="I2774" s="22" t="str">
        <f aca="false">IF(AND(ISNUMBER(F2774),ISNUMBER(G2774)),IF(D2774=F2774,15,0),"")</f>
        <v/>
      </c>
      <c r="J2774" s="22" t="str">
        <f aca="false">IF(AND(ISNUMBER(F2774),ISNUMBER(G2774)),IF(E2774=G2774,15,0),"")</f>
        <v/>
      </c>
      <c r="K2774" s="22" t="str">
        <f aca="false">IF(AND(ISNUMBER(F2774),ISNUMBER(G2774)),IF(ABS(D2774-E2774)=ABS(F2774-G2774),12,0),"")</f>
        <v/>
      </c>
      <c r="L2774" s="23" t="str">
        <f aca="false">IF(ISNUMBER(H2774),H2774+I2774+J2774+K2774,"")</f>
        <v/>
      </c>
    </row>
    <row r="2775" customFormat="false" ht="18" hidden="false" customHeight="true" outlineLevel="0" collapsed="false">
      <c r="A2775" s="25" t="s">
        <v>9</v>
      </c>
      <c r="B2775" s="32" t="s">
        <v>196</v>
      </c>
      <c r="C2775" s="27" t="s">
        <v>51</v>
      </c>
      <c r="D2775" s="28" t="n">
        <v>2</v>
      </c>
      <c r="E2775" s="28" t="n">
        <v>1</v>
      </c>
      <c r="F2775" s="29" t="n">
        <f aca="false">'📋 Matches'!E15</f>
        <v>0</v>
      </c>
      <c r="G2775" s="29" t="n">
        <f aca="false">'📋 Matches'!F15</f>
        <v>0</v>
      </c>
      <c r="H2775" s="22" t="str">
        <f aca="false">IF(AND(ISNUMBER(F2775),ISNUMBER(G2775)),IF(SIGN(D2775-E2775)=SIGN(F2775-G2775),48,0),"")</f>
        <v/>
      </c>
      <c r="I2775" s="22" t="str">
        <f aca="false">IF(AND(ISNUMBER(F2775),ISNUMBER(G2775)),IF(D2775=F2775,15,0),"")</f>
        <v/>
      </c>
      <c r="J2775" s="22" t="str">
        <f aca="false">IF(AND(ISNUMBER(F2775),ISNUMBER(G2775)),IF(E2775=G2775,15,0),"")</f>
        <v/>
      </c>
      <c r="K2775" s="22" t="str">
        <f aca="false">IF(AND(ISNUMBER(F2775),ISNUMBER(G2775)),IF(ABS(D2775-E2775)=ABS(F2775-G2775),12,0),"")</f>
        <v/>
      </c>
      <c r="L2775" s="23" t="str">
        <f aca="false">IF(ISNUMBER(H2775),H2775+I2775+J2775+K2775,"")</f>
        <v/>
      </c>
    </row>
    <row r="2776" customFormat="false" ht="18" hidden="false" customHeight="true" outlineLevel="0" collapsed="false">
      <c r="A2776" s="25" t="s">
        <v>9</v>
      </c>
      <c r="B2776" s="32" t="s">
        <v>196</v>
      </c>
      <c r="C2776" s="27" t="s">
        <v>54</v>
      </c>
      <c r="D2776" s="28" t="n">
        <v>3</v>
      </c>
      <c r="E2776" s="28" t="n">
        <v>1</v>
      </c>
      <c r="F2776" s="29" t="n">
        <f aca="false">'📋 Matches'!E16</f>
        <v>0</v>
      </c>
      <c r="G2776" s="29" t="n">
        <f aca="false">'📋 Matches'!F16</f>
        <v>0</v>
      </c>
      <c r="H2776" s="22" t="str">
        <f aca="false">IF(AND(ISNUMBER(F2776),ISNUMBER(G2776)),IF(SIGN(D2776-E2776)=SIGN(F2776-G2776),48,0),"")</f>
        <v/>
      </c>
      <c r="I2776" s="22" t="str">
        <f aca="false">IF(AND(ISNUMBER(F2776),ISNUMBER(G2776)),IF(D2776=F2776,15,0),"")</f>
        <v/>
      </c>
      <c r="J2776" s="22" t="str">
        <f aca="false">IF(AND(ISNUMBER(F2776),ISNUMBER(G2776)),IF(E2776=G2776,15,0),"")</f>
        <v/>
      </c>
      <c r="K2776" s="22" t="str">
        <f aca="false">IF(AND(ISNUMBER(F2776),ISNUMBER(G2776)),IF(ABS(D2776-E2776)=ABS(F2776-G2776),12,0),"")</f>
        <v/>
      </c>
      <c r="L2776" s="23" t="str">
        <f aca="false">IF(ISNUMBER(H2776),H2776+I2776+J2776+K2776,"")</f>
        <v/>
      </c>
    </row>
    <row r="2777" customFormat="false" ht="18" hidden="false" customHeight="true" outlineLevel="0" collapsed="false">
      <c r="A2777" s="25" t="s">
        <v>9</v>
      </c>
      <c r="B2777" s="32" t="s">
        <v>196</v>
      </c>
      <c r="C2777" s="27" t="s">
        <v>57</v>
      </c>
      <c r="D2777" s="28" t="n">
        <v>1</v>
      </c>
      <c r="E2777" s="28" t="n">
        <v>1</v>
      </c>
      <c r="F2777" s="29" t="n">
        <f aca="false">'📋 Matches'!E17</f>
        <v>0</v>
      </c>
      <c r="G2777" s="29" t="n">
        <f aca="false">'📋 Matches'!F17</f>
        <v>0</v>
      </c>
      <c r="H2777" s="22" t="str">
        <f aca="false">IF(AND(ISNUMBER(F2777),ISNUMBER(G2777)),IF(SIGN(D2777-E2777)=SIGN(F2777-G2777),48,0),"")</f>
        <v/>
      </c>
      <c r="I2777" s="22" t="str">
        <f aca="false">IF(AND(ISNUMBER(F2777),ISNUMBER(G2777)),IF(D2777=F2777,15,0),"")</f>
        <v/>
      </c>
      <c r="J2777" s="22" t="str">
        <f aca="false">IF(AND(ISNUMBER(F2777),ISNUMBER(G2777)),IF(E2777=G2777,15,0),"")</f>
        <v/>
      </c>
      <c r="K2777" s="22" t="str">
        <f aca="false">IF(AND(ISNUMBER(F2777),ISNUMBER(G2777)),IF(ABS(D2777-E2777)=ABS(F2777-G2777),12,0),"")</f>
        <v/>
      </c>
      <c r="L2777" s="23" t="str">
        <f aca="false">IF(ISNUMBER(H2777),H2777+I2777+J2777+K2777,"")</f>
        <v/>
      </c>
    </row>
    <row r="2778" customFormat="false" ht="18" hidden="false" customHeight="true" outlineLevel="0" collapsed="false">
      <c r="A2778" s="25" t="s">
        <v>9</v>
      </c>
      <c r="B2778" s="32" t="s">
        <v>196</v>
      </c>
      <c r="C2778" s="27" t="s">
        <v>60</v>
      </c>
      <c r="D2778" s="28" t="n">
        <v>4</v>
      </c>
      <c r="E2778" s="28" t="n">
        <v>1</v>
      </c>
      <c r="F2778" s="29" t="n">
        <f aca="false">'📋 Matches'!E18</f>
        <v>0</v>
      </c>
      <c r="G2778" s="29" t="n">
        <f aca="false">'📋 Matches'!F18</f>
        <v>0</v>
      </c>
      <c r="H2778" s="22" t="str">
        <f aca="false">IF(AND(ISNUMBER(F2778),ISNUMBER(G2778)),IF(SIGN(D2778-E2778)=SIGN(F2778-G2778),48,0),"")</f>
        <v/>
      </c>
      <c r="I2778" s="22" t="str">
        <f aca="false">IF(AND(ISNUMBER(F2778),ISNUMBER(G2778)),IF(D2778=F2778,15,0),"")</f>
        <v/>
      </c>
      <c r="J2778" s="22" t="str">
        <f aca="false">IF(AND(ISNUMBER(F2778),ISNUMBER(G2778)),IF(E2778=G2778,15,0),"")</f>
        <v/>
      </c>
      <c r="K2778" s="22" t="str">
        <f aca="false">IF(AND(ISNUMBER(F2778),ISNUMBER(G2778)),IF(ABS(D2778-E2778)=ABS(F2778-G2778),12,0),"")</f>
        <v/>
      </c>
      <c r="L2778" s="23" t="str">
        <f aca="false">IF(ISNUMBER(H2778),H2778+I2778+J2778+K2778,"")</f>
        <v/>
      </c>
    </row>
    <row r="2779" customFormat="false" ht="18" hidden="false" customHeight="true" outlineLevel="0" collapsed="false">
      <c r="A2779" s="25" t="s">
        <v>9</v>
      </c>
      <c r="B2779" s="32" t="s">
        <v>196</v>
      </c>
      <c r="C2779" s="27" t="s">
        <v>63</v>
      </c>
      <c r="D2779" s="28" t="n">
        <v>0</v>
      </c>
      <c r="E2779" s="28" t="n">
        <v>3</v>
      </c>
      <c r="F2779" s="29" t="n">
        <f aca="false">'📋 Matches'!E19</f>
        <v>0</v>
      </c>
      <c r="G2779" s="29" t="n">
        <f aca="false">'📋 Matches'!F19</f>
        <v>0</v>
      </c>
      <c r="H2779" s="22" t="str">
        <f aca="false">IF(AND(ISNUMBER(F2779),ISNUMBER(G2779)),IF(SIGN(D2779-E2779)=SIGN(F2779-G2779),48,0),"")</f>
        <v/>
      </c>
      <c r="I2779" s="22" t="str">
        <f aca="false">IF(AND(ISNUMBER(F2779),ISNUMBER(G2779)),IF(D2779=F2779,15,0),"")</f>
        <v/>
      </c>
      <c r="J2779" s="22" t="str">
        <f aca="false">IF(AND(ISNUMBER(F2779),ISNUMBER(G2779)),IF(E2779=G2779,15,0),"")</f>
        <v/>
      </c>
      <c r="K2779" s="22" t="str">
        <f aca="false">IF(AND(ISNUMBER(F2779),ISNUMBER(G2779)),IF(ABS(D2779-E2779)=ABS(F2779-G2779),12,0),"")</f>
        <v/>
      </c>
      <c r="L2779" s="23" t="str">
        <f aca="false">IF(ISNUMBER(H2779),H2779+I2779+J2779+K2779,"")</f>
        <v/>
      </c>
    </row>
    <row r="2780" customFormat="false" ht="18" hidden="false" customHeight="true" outlineLevel="0" collapsed="false">
      <c r="A2780" s="25" t="s">
        <v>9</v>
      </c>
      <c r="B2780" s="32" t="s">
        <v>196</v>
      </c>
      <c r="C2780" s="27" t="s">
        <v>66</v>
      </c>
      <c r="D2780" s="28" t="n">
        <v>3</v>
      </c>
      <c r="E2780" s="28" t="n">
        <v>2</v>
      </c>
      <c r="F2780" s="29" t="n">
        <f aca="false">'📋 Matches'!E20</f>
        <v>0</v>
      </c>
      <c r="G2780" s="29" t="n">
        <f aca="false">'📋 Matches'!F20</f>
        <v>0</v>
      </c>
      <c r="H2780" s="22" t="str">
        <f aca="false">IF(AND(ISNUMBER(F2780),ISNUMBER(G2780)),IF(SIGN(D2780-E2780)=SIGN(F2780-G2780),48,0),"")</f>
        <v/>
      </c>
      <c r="I2780" s="22" t="str">
        <f aca="false">IF(AND(ISNUMBER(F2780),ISNUMBER(G2780)),IF(D2780=F2780,15,0),"")</f>
        <v/>
      </c>
      <c r="J2780" s="22" t="str">
        <f aca="false">IF(AND(ISNUMBER(F2780),ISNUMBER(G2780)),IF(E2780=G2780,15,0),"")</f>
        <v/>
      </c>
      <c r="K2780" s="22" t="str">
        <f aca="false">IF(AND(ISNUMBER(F2780),ISNUMBER(G2780)),IF(ABS(D2780-E2780)=ABS(F2780-G2780),12,0),"")</f>
        <v/>
      </c>
      <c r="L2780" s="23" t="str">
        <f aca="false">IF(ISNUMBER(H2780),H2780+I2780+J2780+K2780,"")</f>
        <v/>
      </c>
    </row>
    <row r="2781" customFormat="false" ht="18" hidden="false" customHeight="true" outlineLevel="0" collapsed="false">
      <c r="A2781" s="25" t="s">
        <v>9</v>
      </c>
      <c r="B2781" s="32" t="s">
        <v>196</v>
      </c>
      <c r="C2781" s="27" t="s">
        <v>69</v>
      </c>
      <c r="D2781" s="28" t="n">
        <v>2</v>
      </c>
      <c r="E2781" s="28" t="n">
        <v>0</v>
      </c>
      <c r="F2781" s="29" t="n">
        <f aca="false">'📋 Matches'!E21</f>
        <v>0</v>
      </c>
      <c r="G2781" s="29" t="n">
        <f aca="false">'📋 Matches'!F21</f>
        <v>0</v>
      </c>
      <c r="H2781" s="22" t="str">
        <f aca="false">IF(AND(ISNUMBER(F2781),ISNUMBER(G2781)),IF(SIGN(D2781-E2781)=SIGN(F2781-G2781),48,0),"")</f>
        <v/>
      </c>
      <c r="I2781" s="22" t="str">
        <f aca="false">IF(AND(ISNUMBER(F2781),ISNUMBER(G2781)),IF(D2781=F2781,15,0),"")</f>
        <v/>
      </c>
      <c r="J2781" s="22" t="str">
        <f aca="false">IF(AND(ISNUMBER(F2781),ISNUMBER(G2781)),IF(E2781=G2781,15,0),"")</f>
        <v/>
      </c>
      <c r="K2781" s="22" t="str">
        <f aca="false">IF(AND(ISNUMBER(F2781),ISNUMBER(G2781)),IF(ABS(D2781-E2781)=ABS(F2781-G2781),12,0),"")</f>
        <v/>
      </c>
      <c r="L2781" s="23" t="str">
        <f aca="false">IF(ISNUMBER(H2781),H2781+I2781+J2781+K2781,"")</f>
        <v/>
      </c>
    </row>
    <row r="2782" customFormat="false" ht="18" hidden="false" customHeight="true" outlineLevel="0" collapsed="false">
      <c r="A2782" s="25" t="s">
        <v>9</v>
      </c>
      <c r="B2782" s="32" t="s">
        <v>196</v>
      </c>
      <c r="C2782" s="27" t="s">
        <v>72</v>
      </c>
      <c r="D2782" s="28" t="n">
        <v>5</v>
      </c>
      <c r="E2782" s="28" t="n">
        <v>0</v>
      </c>
      <c r="F2782" s="29" t="n">
        <f aca="false">'📋 Matches'!E22</f>
        <v>0</v>
      </c>
      <c r="G2782" s="29" t="n">
        <f aca="false">'📋 Matches'!F22</f>
        <v>0</v>
      </c>
      <c r="H2782" s="22" t="str">
        <f aca="false">IF(AND(ISNUMBER(F2782),ISNUMBER(G2782)),IF(SIGN(D2782-E2782)=SIGN(F2782-G2782),48,0),"")</f>
        <v/>
      </c>
      <c r="I2782" s="22" t="str">
        <f aca="false">IF(AND(ISNUMBER(F2782),ISNUMBER(G2782)),IF(D2782=F2782,15,0),"")</f>
        <v/>
      </c>
      <c r="J2782" s="22" t="str">
        <f aca="false">IF(AND(ISNUMBER(F2782),ISNUMBER(G2782)),IF(E2782=G2782,15,0),"")</f>
        <v/>
      </c>
      <c r="K2782" s="22" t="str">
        <f aca="false">IF(AND(ISNUMBER(F2782),ISNUMBER(G2782)),IF(ABS(D2782-E2782)=ABS(F2782-G2782),12,0),"")</f>
        <v/>
      </c>
      <c r="L2782" s="23" t="str">
        <f aca="false">IF(ISNUMBER(H2782),H2782+I2782+J2782+K2782,"")</f>
        <v/>
      </c>
    </row>
    <row r="2783" customFormat="false" ht="18" hidden="false" customHeight="true" outlineLevel="0" collapsed="false">
      <c r="A2783" s="25" t="s">
        <v>9</v>
      </c>
      <c r="B2783" s="32" t="s">
        <v>196</v>
      </c>
      <c r="C2783" s="27" t="s">
        <v>75</v>
      </c>
      <c r="D2783" s="28" t="n">
        <v>3</v>
      </c>
      <c r="E2783" s="28" t="n">
        <v>2</v>
      </c>
      <c r="F2783" s="29" t="n">
        <f aca="false">'📋 Matches'!E23</f>
        <v>0</v>
      </c>
      <c r="G2783" s="29" t="n">
        <f aca="false">'📋 Matches'!F23</f>
        <v>0</v>
      </c>
      <c r="H2783" s="22" t="str">
        <f aca="false">IF(AND(ISNUMBER(F2783),ISNUMBER(G2783)),IF(SIGN(D2783-E2783)=SIGN(F2783-G2783),48,0),"")</f>
        <v/>
      </c>
      <c r="I2783" s="22" t="str">
        <f aca="false">IF(AND(ISNUMBER(F2783),ISNUMBER(G2783)),IF(D2783=F2783,15,0),"")</f>
        <v/>
      </c>
      <c r="J2783" s="22" t="str">
        <f aca="false">IF(AND(ISNUMBER(F2783),ISNUMBER(G2783)),IF(E2783=G2783,15,0),"")</f>
        <v/>
      </c>
      <c r="K2783" s="22" t="str">
        <f aca="false">IF(AND(ISNUMBER(F2783),ISNUMBER(G2783)),IF(ABS(D2783-E2783)=ABS(F2783-G2783),12,0),"")</f>
        <v/>
      </c>
      <c r="L2783" s="23" t="str">
        <f aca="false">IF(ISNUMBER(H2783),H2783+I2783+J2783+K2783,"")</f>
        <v/>
      </c>
    </row>
    <row r="2784" customFormat="false" ht="18" hidden="false" customHeight="true" outlineLevel="0" collapsed="false">
      <c r="A2784" s="25" t="s">
        <v>9</v>
      </c>
      <c r="B2784" s="32" t="s">
        <v>196</v>
      </c>
      <c r="C2784" s="27" t="s">
        <v>78</v>
      </c>
      <c r="D2784" s="28" t="n">
        <v>2</v>
      </c>
      <c r="E2784" s="28" t="n">
        <v>0</v>
      </c>
      <c r="F2784" s="29" t="n">
        <f aca="false">'📋 Matches'!E24</f>
        <v>0</v>
      </c>
      <c r="G2784" s="29" t="n">
        <f aca="false">'📋 Matches'!F24</f>
        <v>0</v>
      </c>
      <c r="H2784" s="22" t="str">
        <f aca="false">IF(AND(ISNUMBER(F2784),ISNUMBER(G2784)),IF(SIGN(D2784-E2784)=SIGN(F2784-G2784),48,0),"")</f>
        <v/>
      </c>
      <c r="I2784" s="22" t="str">
        <f aca="false">IF(AND(ISNUMBER(F2784),ISNUMBER(G2784)),IF(D2784=F2784,15,0),"")</f>
        <v/>
      </c>
      <c r="J2784" s="22" t="str">
        <f aca="false">IF(AND(ISNUMBER(F2784),ISNUMBER(G2784)),IF(E2784=G2784,15,0),"")</f>
        <v/>
      </c>
      <c r="K2784" s="22" t="str">
        <f aca="false">IF(AND(ISNUMBER(F2784),ISNUMBER(G2784)),IF(ABS(D2784-E2784)=ABS(F2784-G2784),12,0),"")</f>
        <v/>
      </c>
      <c r="L2784" s="23" t="str">
        <f aca="false">IF(ISNUMBER(H2784),H2784+I2784+J2784+K2784,"")</f>
        <v/>
      </c>
    </row>
    <row r="2785" customFormat="false" ht="18" hidden="false" customHeight="true" outlineLevel="0" collapsed="false">
      <c r="A2785" s="25" t="s">
        <v>9</v>
      </c>
      <c r="B2785" s="32" t="s">
        <v>196</v>
      </c>
      <c r="C2785" s="27" t="s">
        <v>81</v>
      </c>
      <c r="D2785" s="28" t="n">
        <v>0</v>
      </c>
      <c r="E2785" s="28" t="n">
        <v>3</v>
      </c>
      <c r="F2785" s="29" t="n">
        <f aca="false">'📋 Matches'!E25</f>
        <v>0</v>
      </c>
      <c r="G2785" s="29" t="n">
        <f aca="false">'📋 Matches'!F25</f>
        <v>0</v>
      </c>
      <c r="H2785" s="22" t="str">
        <f aca="false">IF(AND(ISNUMBER(F2785),ISNUMBER(G2785)),IF(SIGN(D2785-E2785)=SIGN(F2785-G2785),48,0),"")</f>
        <v/>
      </c>
      <c r="I2785" s="22" t="str">
        <f aca="false">IF(AND(ISNUMBER(F2785),ISNUMBER(G2785)),IF(D2785=F2785,15,0),"")</f>
        <v/>
      </c>
      <c r="J2785" s="22" t="str">
        <f aca="false">IF(AND(ISNUMBER(F2785),ISNUMBER(G2785)),IF(E2785=G2785,15,0),"")</f>
        <v/>
      </c>
      <c r="K2785" s="22" t="str">
        <f aca="false">IF(AND(ISNUMBER(F2785),ISNUMBER(G2785)),IF(ABS(D2785-E2785)=ABS(F2785-G2785),12,0),"")</f>
        <v/>
      </c>
      <c r="L2785" s="23" t="str">
        <f aca="false">IF(ISNUMBER(H2785),H2785+I2785+J2785+K2785,"")</f>
        <v/>
      </c>
    </row>
    <row r="2786" customFormat="false" ht="18" hidden="false" customHeight="true" outlineLevel="0" collapsed="false">
      <c r="A2786" s="17" t="s">
        <v>9</v>
      </c>
      <c r="B2786" s="18" t="s">
        <v>197</v>
      </c>
      <c r="C2786" s="19" t="s">
        <v>10</v>
      </c>
      <c r="D2786" s="20" t="n">
        <v>3</v>
      </c>
      <c r="E2786" s="20" t="n">
        <v>1</v>
      </c>
      <c r="F2786" s="21" t="n">
        <f aca="false">'📋 Matches'!E2</f>
        <v>2</v>
      </c>
      <c r="G2786" s="21" t="n">
        <f aca="false">'📋 Matches'!F2</f>
        <v>0</v>
      </c>
      <c r="H2786" s="22" t="n">
        <f aca="false">IF(AND(ISNUMBER(F2786),ISNUMBER(G2786)),IF(SIGN(D2786-E2786)=SIGN(F2786-G2786),48,0),"")</f>
        <v>48</v>
      </c>
      <c r="I2786" s="22" t="n">
        <f aca="false">IF(AND(ISNUMBER(F2786),ISNUMBER(G2786)),IF(D2786=F2786,15,0),"")</f>
        <v>0</v>
      </c>
      <c r="J2786" s="22" t="n">
        <f aca="false">IF(AND(ISNUMBER(F2786),ISNUMBER(G2786)),IF(E2786=G2786,15,0),"")</f>
        <v>0</v>
      </c>
      <c r="K2786" s="22" t="n">
        <f aca="false">IF(AND(ISNUMBER(F2786),ISNUMBER(G2786)),IF(ABS(D2786-E2786)=ABS(F2786-G2786),12,0),"")</f>
        <v>12</v>
      </c>
      <c r="L2786" s="23" t="n">
        <f aca="false">IF(ISNUMBER(H2786),H2786+I2786+J2786+K2786,"")</f>
        <v>60</v>
      </c>
    </row>
    <row r="2787" customFormat="false" ht="18" hidden="false" customHeight="true" outlineLevel="0" collapsed="false">
      <c r="A2787" s="17" t="s">
        <v>9</v>
      </c>
      <c r="B2787" s="18" t="s">
        <v>197</v>
      </c>
      <c r="C2787" s="19" t="s">
        <v>14</v>
      </c>
      <c r="D2787" s="20" t="n">
        <v>2</v>
      </c>
      <c r="E2787" s="20" t="n">
        <v>0</v>
      </c>
      <c r="F2787" s="21" t="n">
        <f aca="false">'📋 Matches'!E3</f>
        <v>2</v>
      </c>
      <c r="G2787" s="21" t="n">
        <f aca="false">'📋 Matches'!F3</f>
        <v>1</v>
      </c>
      <c r="H2787" s="22" t="n">
        <f aca="false">IF(AND(ISNUMBER(F2787),ISNUMBER(G2787)),IF(SIGN(D2787-E2787)=SIGN(F2787-G2787),48,0),"")</f>
        <v>48</v>
      </c>
      <c r="I2787" s="22" t="n">
        <f aca="false">IF(AND(ISNUMBER(F2787),ISNUMBER(G2787)),IF(D2787=F2787,15,0),"")</f>
        <v>15</v>
      </c>
      <c r="J2787" s="22" t="n">
        <f aca="false">IF(AND(ISNUMBER(F2787),ISNUMBER(G2787)),IF(E2787=G2787,15,0),"")</f>
        <v>0</v>
      </c>
      <c r="K2787" s="22" t="n">
        <f aca="false">IF(AND(ISNUMBER(F2787),ISNUMBER(G2787)),IF(ABS(D2787-E2787)=ABS(F2787-G2787),12,0),"")</f>
        <v>0</v>
      </c>
      <c r="L2787" s="23" t="n">
        <f aca="false">IF(ISNUMBER(H2787),H2787+I2787+J2787+K2787,"")</f>
        <v>63</v>
      </c>
    </row>
    <row r="2788" customFormat="false" ht="18" hidden="false" customHeight="true" outlineLevel="0" collapsed="false">
      <c r="A2788" s="17" t="s">
        <v>9</v>
      </c>
      <c r="B2788" s="18" t="s">
        <v>197</v>
      </c>
      <c r="C2788" s="19" t="s">
        <v>17</v>
      </c>
      <c r="D2788" s="20" t="n">
        <v>4</v>
      </c>
      <c r="E2788" s="20" t="n">
        <v>2</v>
      </c>
      <c r="F2788" s="21" t="n">
        <f aca="false">'📋 Matches'!E4</f>
        <v>1</v>
      </c>
      <c r="G2788" s="21" t="n">
        <f aca="false">'📋 Matches'!F4</f>
        <v>1</v>
      </c>
      <c r="H2788" s="22" t="n">
        <f aca="false">IF(AND(ISNUMBER(F2788),ISNUMBER(G2788)),IF(SIGN(D2788-E2788)=SIGN(F2788-G2788),48,0),"")</f>
        <v>0</v>
      </c>
      <c r="I2788" s="22" t="n">
        <f aca="false">IF(AND(ISNUMBER(F2788),ISNUMBER(G2788)),IF(D2788=F2788,15,0),"")</f>
        <v>0</v>
      </c>
      <c r="J2788" s="22" t="n">
        <f aca="false">IF(AND(ISNUMBER(F2788),ISNUMBER(G2788)),IF(E2788=G2788,15,0),"")</f>
        <v>0</v>
      </c>
      <c r="K2788" s="22" t="n">
        <f aca="false">IF(AND(ISNUMBER(F2788),ISNUMBER(G2788)),IF(ABS(D2788-E2788)=ABS(F2788-G2788),12,0),"")</f>
        <v>0</v>
      </c>
      <c r="L2788" s="23" t="n">
        <f aca="false">IF(ISNUMBER(H2788),H2788+I2788+J2788+K2788,"")</f>
        <v>0</v>
      </c>
    </row>
    <row r="2789" customFormat="false" ht="18" hidden="false" customHeight="true" outlineLevel="0" collapsed="false">
      <c r="A2789" s="17" t="s">
        <v>9</v>
      </c>
      <c r="B2789" s="18" t="s">
        <v>197</v>
      </c>
      <c r="C2789" s="19" t="s">
        <v>20</v>
      </c>
      <c r="D2789" s="20" t="n">
        <v>2</v>
      </c>
      <c r="E2789" s="20" t="n">
        <v>0</v>
      </c>
      <c r="F2789" s="21" t="n">
        <f aca="false">'📋 Matches'!E5</f>
        <v>4</v>
      </c>
      <c r="G2789" s="21" t="n">
        <f aca="false">'📋 Matches'!F5</f>
        <v>1</v>
      </c>
      <c r="H2789" s="22" t="n">
        <f aca="false">IF(AND(ISNUMBER(F2789),ISNUMBER(G2789)),IF(SIGN(D2789-E2789)=SIGN(F2789-G2789),48,0),"")</f>
        <v>48</v>
      </c>
      <c r="I2789" s="22" t="n">
        <f aca="false">IF(AND(ISNUMBER(F2789),ISNUMBER(G2789)),IF(D2789=F2789,15,0),"")</f>
        <v>0</v>
      </c>
      <c r="J2789" s="22" t="n">
        <f aca="false">IF(AND(ISNUMBER(F2789),ISNUMBER(G2789)),IF(E2789=G2789,15,0),"")</f>
        <v>0</v>
      </c>
      <c r="K2789" s="22" t="n">
        <f aca="false">IF(AND(ISNUMBER(F2789),ISNUMBER(G2789)),IF(ABS(D2789-E2789)=ABS(F2789-G2789),12,0),"")</f>
        <v>0</v>
      </c>
      <c r="L2789" s="23" t="n">
        <f aca="false">IF(ISNUMBER(H2789),H2789+I2789+J2789+K2789,"")</f>
        <v>48</v>
      </c>
    </row>
    <row r="2790" customFormat="false" ht="18" hidden="false" customHeight="true" outlineLevel="0" collapsed="false">
      <c r="A2790" s="17" t="s">
        <v>9</v>
      </c>
      <c r="B2790" s="18" t="s">
        <v>197</v>
      </c>
      <c r="C2790" s="19" t="s">
        <v>23</v>
      </c>
      <c r="D2790" s="20" t="n">
        <v>3</v>
      </c>
      <c r="E2790" s="20" t="n">
        <v>1</v>
      </c>
      <c r="F2790" s="21" t="n">
        <f aca="false">'📋 Matches'!E6</f>
        <v>0</v>
      </c>
      <c r="G2790" s="21" t="n">
        <f aca="false">'📋 Matches'!F6</f>
        <v>0</v>
      </c>
      <c r="H2790" s="22" t="str">
        <f aca="false">IF(AND(ISNUMBER(F2790),ISNUMBER(G2790)),IF(SIGN(D2790-E2790)=SIGN(F2790-G2790),48,0),"")</f>
        <v/>
      </c>
      <c r="I2790" s="22" t="str">
        <f aca="false">IF(AND(ISNUMBER(F2790),ISNUMBER(G2790)),IF(D2790=F2790,15,0),"")</f>
        <v/>
      </c>
      <c r="J2790" s="22" t="str">
        <f aca="false">IF(AND(ISNUMBER(F2790),ISNUMBER(G2790)),IF(E2790=G2790,15,0),"")</f>
        <v/>
      </c>
      <c r="K2790" s="22" t="str">
        <f aca="false">IF(AND(ISNUMBER(F2790),ISNUMBER(G2790)),IF(ABS(D2790-E2790)=ABS(F2790-G2790),12,0),"")</f>
        <v/>
      </c>
      <c r="L2790" s="23" t="str">
        <f aca="false">IF(ISNUMBER(H2790),H2790+I2790+J2790+K2790,"")</f>
        <v/>
      </c>
    </row>
    <row r="2791" customFormat="false" ht="18" hidden="false" customHeight="true" outlineLevel="0" collapsed="false">
      <c r="A2791" s="17" t="s">
        <v>9</v>
      </c>
      <c r="B2791" s="18" t="s">
        <v>197</v>
      </c>
      <c r="C2791" s="19" t="s">
        <v>27</v>
      </c>
      <c r="D2791" s="20" t="n">
        <v>1</v>
      </c>
      <c r="E2791" s="20" t="n">
        <v>1</v>
      </c>
      <c r="F2791" s="21" t="n">
        <f aca="false">'📋 Matches'!E7</f>
        <v>0</v>
      </c>
      <c r="G2791" s="21" t="n">
        <f aca="false">'📋 Matches'!F7</f>
        <v>0</v>
      </c>
      <c r="H2791" s="22" t="str">
        <f aca="false">IF(AND(ISNUMBER(F2791),ISNUMBER(G2791)),IF(SIGN(D2791-E2791)=SIGN(F2791-G2791),48,0),"")</f>
        <v/>
      </c>
      <c r="I2791" s="22" t="str">
        <f aca="false">IF(AND(ISNUMBER(F2791),ISNUMBER(G2791)),IF(D2791=F2791,15,0),"")</f>
        <v/>
      </c>
      <c r="J2791" s="22" t="str">
        <f aca="false">IF(AND(ISNUMBER(F2791),ISNUMBER(G2791)),IF(E2791=G2791,15,0),"")</f>
        <v/>
      </c>
      <c r="K2791" s="22" t="str">
        <f aca="false">IF(AND(ISNUMBER(F2791),ISNUMBER(G2791)),IF(ABS(D2791-E2791)=ABS(F2791-G2791),12,0),"")</f>
        <v/>
      </c>
      <c r="L2791" s="23" t="str">
        <f aca="false">IF(ISNUMBER(H2791),H2791+I2791+J2791+K2791,"")</f>
        <v/>
      </c>
    </row>
    <row r="2792" customFormat="false" ht="18" hidden="false" customHeight="true" outlineLevel="0" collapsed="false">
      <c r="A2792" s="17" t="s">
        <v>9</v>
      </c>
      <c r="B2792" s="18" t="s">
        <v>197</v>
      </c>
      <c r="C2792" s="19" t="s">
        <v>30</v>
      </c>
      <c r="D2792" s="20" t="n">
        <v>1</v>
      </c>
      <c r="E2792" s="20" t="n">
        <v>2</v>
      </c>
      <c r="F2792" s="21" t="n">
        <f aca="false">'📋 Matches'!E8</f>
        <v>0</v>
      </c>
      <c r="G2792" s="21" t="n">
        <f aca="false">'📋 Matches'!F8</f>
        <v>0</v>
      </c>
      <c r="H2792" s="22" t="str">
        <f aca="false">IF(AND(ISNUMBER(F2792),ISNUMBER(G2792)),IF(SIGN(D2792-E2792)=SIGN(F2792-G2792),48,0),"")</f>
        <v/>
      </c>
      <c r="I2792" s="22" t="str">
        <f aca="false">IF(AND(ISNUMBER(F2792),ISNUMBER(G2792)),IF(D2792=F2792,15,0),"")</f>
        <v/>
      </c>
      <c r="J2792" s="22" t="str">
        <f aca="false">IF(AND(ISNUMBER(F2792),ISNUMBER(G2792)),IF(E2792=G2792,15,0),"")</f>
        <v/>
      </c>
      <c r="K2792" s="22" t="str">
        <f aca="false">IF(AND(ISNUMBER(F2792),ISNUMBER(G2792)),IF(ABS(D2792-E2792)=ABS(F2792-G2792),12,0),"")</f>
        <v/>
      </c>
      <c r="L2792" s="23" t="str">
        <f aca="false">IF(ISNUMBER(H2792),H2792+I2792+J2792+K2792,"")</f>
        <v/>
      </c>
    </row>
    <row r="2793" customFormat="false" ht="18" hidden="false" customHeight="true" outlineLevel="0" collapsed="false">
      <c r="A2793" s="17" t="s">
        <v>9</v>
      </c>
      <c r="B2793" s="18" t="s">
        <v>197</v>
      </c>
      <c r="C2793" s="19" t="s">
        <v>33</v>
      </c>
      <c r="D2793" s="20" t="n">
        <v>0</v>
      </c>
      <c r="E2793" s="20" t="n">
        <v>1</v>
      </c>
      <c r="F2793" s="21" t="n">
        <f aca="false">'📋 Matches'!E9</f>
        <v>0</v>
      </c>
      <c r="G2793" s="21" t="n">
        <f aca="false">'📋 Matches'!F9</f>
        <v>0</v>
      </c>
      <c r="H2793" s="22" t="str">
        <f aca="false">IF(AND(ISNUMBER(F2793),ISNUMBER(G2793)),IF(SIGN(D2793-E2793)=SIGN(F2793-G2793),48,0),"")</f>
        <v/>
      </c>
      <c r="I2793" s="22" t="str">
        <f aca="false">IF(AND(ISNUMBER(F2793),ISNUMBER(G2793)),IF(D2793=F2793,15,0),"")</f>
        <v/>
      </c>
      <c r="J2793" s="22" t="str">
        <f aca="false">IF(AND(ISNUMBER(F2793),ISNUMBER(G2793)),IF(E2793=G2793,15,0),"")</f>
        <v/>
      </c>
      <c r="K2793" s="22" t="str">
        <f aca="false">IF(AND(ISNUMBER(F2793),ISNUMBER(G2793)),IF(ABS(D2793-E2793)=ABS(F2793-G2793),12,0),"")</f>
        <v/>
      </c>
      <c r="L2793" s="23" t="str">
        <f aca="false">IF(ISNUMBER(H2793),H2793+I2793+J2793+K2793,"")</f>
        <v/>
      </c>
    </row>
    <row r="2794" customFormat="false" ht="18" hidden="false" customHeight="true" outlineLevel="0" collapsed="false">
      <c r="A2794" s="17" t="s">
        <v>9</v>
      </c>
      <c r="B2794" s="18" t="s">
        <v>197</v>
      </c>
      <c r="C2794" s="19" t="s">
        <v>36</v>
      </c>
      <c r="D2794" s="20" t="n">
        <v>1</v>
      </c>
      <c r="E2794" s="20" t="n">
        <v>0</v>
      </c>
      <c r="F2794" s="21" t="n">
        <f aca="false">'📋 Matches'!E10</f>
        <v>0</v>
      </c>
      <c r="G2794" s="21" t="n">
        <f aca="false">'📋 Matches'!F10</f>
        <v>0</v>
      </c>
      <c r="H2794" s="22" t="str">
        <f aca="false">IF(AND(ISNUMBER(F2794),ISNUMBER(G2794)),IF(SIGN(D2794-E2794)=SIGN(F2794-G2794),48,0),"")</f>
        <v/>
      </c>
      <c r="I2794" s="22" t="str">
        <f aca="false">IF(AND(ISNUMBER(F2794),ISNUMBER(G2794)),IF(D2794=F2794,15,0),"")</f>
        <v/>
      </c>
      <c r="J2794" s="22" t="str">
        <f aca="false">IF(AND(ISNUMBER(F2794),ISNUMBER(G2794)),IF(E2794=G2794,15,0),"")</f>
        <v/>
      </c>
      <c r="K2794" s="22" t="str">
        <f aca="false">IF(AND(ISNUMBER(F2794),ISNUMBER(G2794)),IF(ABS(D2794-E2794)=ABS(F2794-G2794),12,0),"")</f>
        <v/>
      </c>
      <c r="L2794" s="23" t="str">
        <f aca="false">IF(ISNUMBER(H2794),H2794+I2794+J2794+K2794,"")</f>
        <v/>
      </c>
    </row>
    <row r="2795" customFormat="false" ht="18" hidden="false" customHeight="true" outlineLevel="0" collapsed="false">
      <c r="A2795" s="17" t="s">
        <v>9</v>
      </c>
      <c r="B2795" s="18" t="s">
        <v>197</v>
      </c>
      <c r="C2795" s="19" t="s">
        <v>39</v>
      </c>
      <c r="D2795" s="20" t="n">
        <v>2</v>
      </c>
      <c r="E2795" s="20" t="n">
        <v>1</v>
      </c>
      <c r="F2795" s="21" t="n">
        <f aca="false">'📋 Matches'!E11</f>
        <v>0</v>
      </c>
      <c r="G2795" s="21" t="n">
        <f aca="false">'📋 Matches'!F11</f>
        <v>0</v>
      </c>
      <c r="H2795" s="22" t="str">
        <f aca="false">IF(AND(ISNUMBER(F2795),ISNUMBER(G2795)),IF(SIGN(D2795-E2795)=SIGN(F2795-G2795),48,0),"")</f>
        <v/>
      </c>
      <c r="I2795" s="22" t="str">
        <f aca="false">IF(AND(ISNUMBER(F2795),ISNUMBER(G2795)),IF(D2795=F2795,15,0),"")</f>
        <v/>
      </c>
      <c r="J2795" s="22" t="str">
        <f aca="false">IF(AND(ISNUMBER(F2795),ISNUMBER(G2795)),IF(E2795=G2795,15,0),"")</f>
        <v/>
      </c>
      <c r="K2795" s="22" t="str">
        <f aca="false">IF(AND(ISNUMBER(F2795),ISNUMBER(G2795)),IF(ABS(D2795-E2795)=ABS(F2795-G2795),12,0),"")</f>
        <v/>
      </c>
      <c r="L2795" s="23" t="str">
        <f aca="false">IF(ISNUMBER(H2795),H2795+I2795+J2795+K2795,"")</f>
        <v/>
      </c>
    </row>
    <row r="2796" customFormat="false" ht="18" hidden="false" customHeight="true" outlineLevel="0" collapsed="false">
      <c r="A2796" s="17" t="s">
        <v>9</v>
      </c>
      <c r="B2796" s="18" t="s">
        <v>197</v>
      </c>
      <c r="C2796" s="19" t="s">
        <v>42</v>
      </c>
      <c r="D2796" s="20" t="n">
        <v>0</v>
      </c>
      <c r="E2796" s="20" t="n">
        <v>0</v>
      </c>
      <c r="F2796" s="21" t="n">
        <f aca="false">'📋 Matches'!E12</f>
        <v>0</v>
      </c>
      <c r="G2796" s="21" t="n">
        <f aca="false">'📋 Matches'!F12</f>
        <v>0</v>
      </c>
      <c r="H2796" s="22" t="str">
        <f aca="false">IF(AND(ISNUMBER(F2796),ISNUMBER(G2796)),IF(SIGN(D2796-E2796)=SIGN(F2796-G2796),48,0),"")</f>
        <v/>
      </c>
      <c r="I2796" s="22" t="str">
        <f aca="false">IF(AND(ISNUMBER(F2796),ISNUMBER(G2796)),IF(D2796=F2796,15,0),"")</f>
        <v/>
      </c>
      <c r="J2796" s="22" t="str">
        <f aca="false">IF(AND(ISNUMBER(F2796),ISNUMBER(G2796)),IF(E2796=G2796,15,0),"")</f>
        <v/>
      </c>
      <c r="K2796" s="22" t="str">
        <f aca="false">IF(AND(ISNUMBER(F2796),ISNUMBER(G2796)),IF(ABS(D2796-E2796)=ABS(F2796-G2796),12,0),"")</f>
        <v/>
      </c>
      <c r="L2796" s="23" t="str">
        <f aca="false">IF(ISNUMBER(H2796),H2796+I2796+J2796+K2796,"")</f>
        <v/>
      </c>
    </row>
    <row r="2797" customFormat="false" ht="18" hidden="false" customHeight="true" outlineLevel="0" collapsed="false">
      <c r="A2797" s="17" t="s">
        <v>9</v>
      </c>
      <c r="B2797" s="18" t="s">
        <v>197</v>
      </c>
      <c r="C2797" s="19" t="s">
        <v>45</v>
      </c>
      <c r="D2797" s="20" t="n">
        <v>1</v>
      </c>
      <c r="E2797" s="20" t="n">
        <v>1</v>
      </c>
      <c r="F2797" s="21" t="n">
        <f aca="false">'📋 Matches'!E13</f>
        <v>0</v>
      </c>
      <c r="G2797" s="21" t="n">
        <f aca="false">'📋 Matches'!F13</f>
        <v>0</v>
      </c>
      <c r="H2797" s="22" t="str">
        <f aca="false">IF(AND(ISNUMBER(F2797),ISNUMBER(G2797)),IF(SIGN(D2797-E2797)=SIGN(F2797-G2797),48,0),"")</f>
        <v/>
      </c>
      <c r="I2797" s="22" t="str">
        <f aca="false">IF(AND(ISNUMBER(F2797),ISNUMBER(G2797)),IF(D2797=F2797,15,0),"")</f>
        <v/>
      </c>
      <c r="J2797" s="22" t="str">
        <f aca="false">IF(AND(ISNUMBER(F2797),ISNUMBER(G2797)),IF(E2797=G2797,15,0),"")</f>
        <v/>
      </c>
      <c r="K2797" s="22" t="str">
        <f aca="false">IF(AND(ISNUMBER(F2797),ISNUMBER(G2797)),IF(ABS(D2797-E2797)=ABS(F2797-G2797),12,0),"")</f>
        <v/>
      </c>
      <c r="L2797" s="23" t="str">
        <f aca="false">IF(ISNUMBER(H2797),H2797+I2797+J2797+K2797,"")</f>
        <v/>
      </c>
    </row>
    <row r="2798" customFormat="false" ht="18" hidden="false" customHeight="true" outlineLevel="0" collapsed="false">
      <c r="A2798" s="17" t="s">
        <v>9</v>
      </c>
      <c r="B2798" s="18" t="s">
        <v>197</v>
      </c>
      <c r="C2798" s="19" t="s">
        <v>48</v>
      </c>
      <c r="D2798" s="20" t="n">
        <v>2</v>
      </c>
      <c r="E2798" s="20" t="n">
        <v>1</v>
      </c>
      <c r="F2798" s="21" t="n">
        <f aca="false">'📋 Matches'!E14</f>
        <v>0</v>
      </c>
      <c r="G2798" s="21" t="n">
        <f aca="false">'📋 Matches'!F14</f>
        <v>0</v>
      </c>
      <c r="H2798" s="22" t="str">
        <f aca="false">IF(AND(ISNUMBER(F2798),ISNUMBER(G2798)),IF(SIGN(D2798-E2798)=SIGN(F2798-G2798),48,0),"")</f>
        <v/>
      </c>
      <c r="I2798" s="22" t="str">
        <f aca="false">IF(AND(ISNUMBER(F2798),ISNUMBER(G2798)),IF(D2798=F2798,15,0),"")</f>
        <v/>
      </c>
      <c r="J2798" s="22" t="str">
        <f aca="false">IF(AND(ISNUMBER(F2798),ISNUMBER(G2798)),IF(E2798=G2798,15,0),"")</f>
        <v/>
      </c>
      <c r="K2798" s="22" t="str">
        <f aca="false">IF(AND(ISNUMBER(F2798),ISNUMBER(G2798)),IF(ABS(D2798-E2798)=ABS(F2798-G2798),12,0),"")</f>
        <v/>
      </c>
      <c r="L2798" s="23" t="str">
        <f aca="false">IF(ISNUMBER(H2798),H2798+I2798+J2798+K2798,"")</f>
        <v/>
      </c>
    </row>
    <row r="2799" customFormat="false" ht="18" hidden="false" customHeight="true" outlineLevel="0" collapsed="false">
      <c r="A2799" s="17" t="s">
        <v>9</v>
      </c>
      <c r="B2799" s="18" t="s">
        <v>197</v>
      </c>
      <c r="C2799" s="19" t="s">
        <v>51</v>
      </c>
      <c r="D2799" s="20" t="n">
        <v>1</v>
      </c>
      <c r="E2799" s="20" t="n">
        <v>2</v>
      </c>
      <c r="F2799" s="21" t="n">
        <f aca="false">'📋 Matches'!E15</f>
        <v>0</v>
      </c>
      <c r="G2799" s="21" t="n">
        <f aca="false">'📋 Matches'!F15</f>
        <v>0</v>
      </c>
      <c r="H2799" s="22" t="str">
        <f aca="false">IF(AND(ISNUMBER(F2799),ISNUMBER(G2799)),IF(SIGN(D2799-E2799)=SIGN(F2799-G2799),48,0),"")</f>
        <v/>
      </c>
      <c r="I2799" s="22" t="str">
        <f aca="false">IF(AND(ISNUMBER(F2799),ISNUMBER(G2799)),IF(D2799=F2799,15,0),"")</f>
        <v/>
      </c>
      <c r="J2799" s="22" t="str">
        <f aca="false">IF(AND(ISNUMBER(F2799),ISNUMBER(G2799)),IF(E2799=G2799,15,0),"")</f>
        <v/>
      </c>
      <c r="K2799" s="22" t="str">
        <f aca="false">IF(AND(ISNUMBER(F2799),ISNUMBER(G2799)),IF(ABS(D2799-E2799)=ABS(F2799-G2799),12,0),"")</f>
        <v/>
      </c>
      <c r="L2799" s="23" t="str">
        <f aca="false">IF(ISNUMBER(H2799),H2799+I2799+J2799+K2799,"")</f>
        <v/>
      </c>
    </row>
    <row r="2800" customFormat="false" ht="18" hidden="false" customHeight="true" outlineLevel="0" collapsed="false">
      <c r="A2800" s="17" t="s">
        <v>9</v>
      </c>
      <c r="B2800" s="18" t="s">
        <v>197</v>
      </c>
      <c r="C2800" s="19" t="s">
        <v>54</v>
      </c>
      <c r="D2800" s="20" t="n">
        <v>2</v>
      </c>
      <c r="E2800" s="20" t="n">
        <v>0</v>
      </c>
      <c r="F2800" s="21" t="n">
        <f aca="false">'📋 Matches'!E16</f>
        <v>0</v>
      </c>
      <c r="G2800" s="21" t="n">
        <f aca="false">'📋 Matches'!F16</f>
        <v>0</v>
      </c>
      <c r="H2800" s="22" t="str">
        <f aca="false">IF(AND(ISNUMBER(F2800),ISNUMBER(G2800)),IF(SIGN(D2800-E2800)=SIGN(F2800-G2800),48,0),"")</f>
        <v/>
      </c>
      <c r="I2800" s="22" t="str">
        <f aca="false">IF(AND(ISNUMBER(F2800),ISNUMBER(G2800)),IF(D2800=F2800,15,0),"")</f>
        <v/>
      </c>
      <c r="J2800" s="22" t="str">
        <f aca="false">IF(AND(ISNUMBER(F2800),ISNUMBER(G2800)),IF(E2800=G2800,15,0),"")</f>
        <v/>
      </c>
      <c r="K2800" s="22" t="str">
        <f aca="false">IF(AND(ISNUMBER(F2800),ISNUMBER(G2800)),IF(ABS(D2800-E2800)=ABS(F2800-G2800),12,0),"")</f>
        <v/>
      </c>
      <c r="L2800" s="23" t="str">
        <f aca="false">IF(ISNUMBER(H2800),H2800+I2800+J2800+K2800,"")</f>
        <v/>
      </c>
    </row>
    <row r="2801" customFormat="false" ht="18" hidden="false" customHeight="true" outlineLevel="0" collapsed="false">
      <c r="A2801" s="17" t="s">
        <v>9</v>
      </c>
      <c r="B2801" s="18" t="s">
        <v>197</v>
      </c>
      <c r="C2801" s="19" t="s">
        <v>57</v>
      </c>
      <c r="D2801" s="20" t="n">
        <v>3</v>
      </c>
      <c r="E2801" s="20" t="n">
        <v>2</v>
      </c>
      <c r="F2801" s="21" t="n">
        <f aca="false">'📋 Matches'!E17</f>
        <v>0</v>
      </c>
      <c r="G2801" s="21" t="n">
        <f aca="false">'📋 Matches'!F17</f>
        <v>0</v>
      </c>
      <c r="H2801" s="22" t="str">
        <f aca="false">IF(AND(ISNUMBER(F2801),ISNUMBER(G2801)),IF(SIGN(D2801-E2801)=SIGN(F2801-G2801),48,0),"")</f>
        <v/>
      </c>
      <c r="I2801" s="22" t="str">
        <f aca="false">IF(AND(ISNUMBER(F2801),ISNUMBER(G2801)),IF(D2801=F2801,15,0),"")</f>
        <v/>
      </c>
      <c r="J2801" s="22" t="str">
        <f aca="false">IF(AND(ISNUMBER(F2801),ISNUMBER(G2801)),IF(E2801=G2801,15,0),"")</f>
        <v/>
      </c>
      <c r="K2801" s="22" t="str">
        <f aca="false">IF(AND(ISNUMBER(F2801),ISNUMBER(G2801)),IF(ABS(D2801-E2801)=ABS(F2801-G2801),12,0),"")</f>
        <v/>
      </c>
      <c r="L2801" s="23" t="str">
        <f aca="false">IF(ISNUMBER(H2801),H2801+I2801+J2801+K2801,"")</f>
        <v/>
      </c>
    </row>
    <row r="2802" customFormat="false" ht="18" hidden="false" customHeight="true" outlineLevel="0" collapsed="false">
      <c r="A2802" s="17" t="s">
        <v>9</v>
      </c>
      <c r="B2802" s="18" t="s">
        <v>197</v>
      </c>
      <c r="C2802" s="19" t="s">
        <v>60</v>
      </c>
      <c r="D2802" s="20" t="n">
        <v>4</v>
      </c>
      <c r="E2802" s="20" t="n">
        <v>3</v>
      </c>
      <c r="F2802" s="21" t="n">
        <f aca="false">'📋 Matches'!E18</f>
        <v>0</v>
      </c>
      <c r="G2802" s="21" t="n">
        <f aca="false">'📋 Matches'!F18</f>
        <v>0</v>
      </c>
      <c r="H2802" s="22" t="str">
        <f aca="false">IF(AND(ISNUMBER(F2802),ISNUMBER(G2802)),IF(SIGN(D2802-E2802)=SIGN(F2802-G2802),48,0),"")</f>
        <v/>
      </c>
      <c r="I2802" s="22" t="str">
        <f aca="false">IF(AND(ISNUMBER(F2802),ISNUMBER(G2802)),IF(D2802=F2802,15,0),"")</f>
        <v/>
      </c>
      <c r="J2802" s="22" t="str">
        <f aca="false">IF(AND(ISNUMBER(F2802),ISNUMBER(G2802)),IF(E2802=G2802,15,0),"")</f>
        <v/>
      </c>
      <c r="K2802" s="22" t="str">
        <f aca="false">IF(AND(ISNUMBER(F2802),ISNUMBER(G2802)),IF(ABS(D2802-E2802)=ABS(F2802-G2802),12,0),"")</f>
        <v/>
      </c>
      <c r="L2802" s="23" t="str">
        <f aca="false">IF(ISNUMBER(H2802),H2802+I2802+J2802+K2802,"")</f>
        <v/>
      </c>
    </row>
    <row r="2803" customFormat="false" ht="18" hidden="false" customHeight="true" outlineLevel="0" collapsed="false">
      <c r="A2803" s="17" t="s">
        <v>9</v>
      </c>
      <c r="B2803" s="18" t="s">
        <v>197</v>
      </c>
      <c r="C2803" s="19" t="s">
        <v>63</v>
      </c>
      <c r="D2803" s="20" t="n">
        <v>0</v>
      </c>
      <c r="E2803" s="20" t="n">
        <v>1</v>
      </c>
      <c r="F2803" s="21" t="n">
        <f aca="false">'📋 Matches'!E19</f>
        <v>0</v>
      </c>
      <c r="G2803" s="21" t="n">
        <f aca="false">'📋 Matches'!F19</f>
        <v>0</v>
      </c>
      <c r="H2803" s="22" t="str">
        <f aca="false">IF(AND(ISNUMBER(F2803),ISNUMBER(G2803)),IF(SIGN(D2803-E2803)=SIGN(F2803-G2803),48,0),"")</f>
        <v/>
      </c>
      <c r="I2803" s="22" t="str">
        <f aca="false">IF(AND(ISNUMBER(F2803),ISNUMBER(G2803)),IF(D2803=F2803,15,0),"")</f>
        <v/>
      </c>
      <c r="J2803" s="22" t="str">
        <f aca="false">IF(AND(ISNUMBER(F2803),ISNUMBER(G2803)),IF(E2803=G2803,15,0),"")</f>
        <v/>
      </c>
      <c r="K2803" s="22" t="str">
        <f aca="false">IF(AND(ISNUMBER(F2803),ISNUMBER(G2803)),IF(ABS(D2803-E2803)=ABS(F2803-G2803),12,0),"")</f>
        <v/>
      </c>
      <c r="L2803" s="23" t="str">
        <f aca="false">IF(ISNUMBER(H2803),H2803+I2803+J2803+K2803,"")</f>
        <v/>
      </c>
    </row>
    <row r="2804" customFormat="false" ht="18" hidden="false" customHeight="true" outlineLevel="0" collapsed="false">
      <c r="A2804" s="17" t="s">
        <v>9</v>
      </c>
      <c r="B2804" s="18" t="s">
        <v>197</v>
      </c>
      <c r="C2804" s="19" t="s">
        <v>66</v>
      </c>
      <c r="D2804" s="20" t="n">
        <v>2</v>
      </c>
      <c r="E2804" s="20" t="n">
        <v>0</v>
      </c>
      <c r="F2804" s="21" t="n">
        <f aca="false">'📋 Matches'!E20</f>
        <v>0</v>
      </c>
      <c r="G2804" s="21" t="n">
        <f aca="false">'📋 Matches'!F20</f>
        <v>0</v>
      </c>
      <c r="H2804" s="22" t="str">
        <f aca="false">IF(AND(ISNUMBER(F2804),ISNUMBER(G2804)),IF(SIGN(D2804-E2804)=SIGN(F2804-G2804),48,0),"")</f>
        <v/>
      </c>
      <c r="I2804" s="22" t="str">
        <f aca="false">IF(AND(ISNUMBER(F2804),ISNUMBER(G2804)),IF(D2804=F2804,15,0),"")</f>
        <v/>
      </c>
      <c r="J2804" s="22" t="str">
        <f aca="false">IF(AND(ISNUMBER(F2804),ISNUMBER(G2804)),IF(E2804=G2804,15,0),"")</f>
        <v/>
      </c>
      <c r="K2804" s="22" t="str">
        <f aca="false">IF(AND(ISNUMBER(F2804),ISNUMBER(G2804)),IF(ABS(D2804-E2804)=ABS(F2804-G2804),12,0),"")</f>
        <v/>
      </c>
      <c r="L2804" s="23" t="str">
        <f aca="false">IF(ISNUMBER(H2804),H2804+I2804+J2804+K2804,"")</f>
        <v/>
      </c>
    </row>
    <row r="2805" customFormat="false" ht="18" hidden="false" customHeight="true" outlineLevel="0" collapsed="false">
      <c r="A2805" s="17" t="s">
        <v>9</v>
      </c>
      <c r="B2805" s="18" t="s">
        <v>197</v>
      </c>
      <c r="C2805" s="19" t="s">
        <v>69</v>
      </c>
      <c r="D2805" s="20" t="n">
        <v>2</v>
      </c>
      <c r="E2805" s="20" t="n">
        <v>1</v>
      </c>
      <c r="F2805" s="21" t="n">
        <f aca="false">'📋 Matches'!E21</f>
        <v>0</v>
      </c>
      <c r="G2805" s="21" t="n">
        <f aca="false">'📋 Matches'!F21</f>
        <v>0</v>
      </c>
      <c r="H2805" s="22" t="str">
        <f aca="false">IF(AND(ISNUMBER(F2805),ISNUMBER(G2805)),IF(SIGN(D2805-E2805)=SIGN(F2805-G2805),48,0),"")</f>
        <v/>
      </c>
      <c r="I2805" s="22" t="str">
        <f aca="false">IF(AND(ISNUMBER(F2805),ISNUMBER(G2805)),IF(D2805=F2805,15,0),"")</f>
        <v/>
      </c>
      <c r="J2805" s="22" t="str">
        <f aca="false">IF(AND(ISNUMBER(F2805),ISNUMBER(G2805)),IF(E2805=G2805,15,0),"")</f>
        <v/>
      </c>
      <c r="K2805" s="22" t="str">
        <f aca="false">IF(AND(ISNUMBER(F2805),ISNUMBER(G2805)),IF(ABS(D2805-E2805)=ABS(F2805-G2805),12,0),"")</f>
        <v/>
      </c>
      <c r="L2805" s="23" t="str">
        <f aca="false">IF(ISNUMBER(H2805),H2805+I2805+J2805+K2805,"")</f>
        <v/>
      </c>
    </row>
    <row r="2806" customFormat="false" ht="18" hidden="false" customHeight="true" outlineLevel="0" collapsed="false">
      <c r="A2806" s="17" t="s">
        <v>9</v>
      </c>
      <c r="B2806" s="18" t="s">
        <v>197</v>
      </c>
      <c r="C2806" s="19" t="s">
        <v>72</v>
      </c>
      <c r="D2806" s="20" t="n">
        <v>3</v>
      </c>
      <c r="E2806" s="20" t="n">
        <v>2</v>
      </c>
      <c r="F2806" s="21" t="n">
        <f aca="false">'📋 Matches'!E22</f>
        <v>0</v>
      </c>
      <c r="G2806" s="21" t="n">
        <f aca="false">'📋 Matches'!F22</f>
        <v>0</v>
      </c>
      <c r="H2806" s="22" t="str">
        <f aca="false">IF(AND(ISNUMBER(F2806),ISNUMBER(G2806)),IF(SIGN(D2806-E2806)=SIGN(F2806-G2806),48,0),"")</f>
        <v/>
      </c>
      <c r="I2806" s="22" t="str">
        <f aca="false">IF(AND(ISNUMBER(F2806),ISNUMBER(G2806)),IF(D2806=F2806,15,0),"")</f>
        <v/>
      </c>
      <c r="J2806" s="22" t="str">
        <f aca="false">IF(AND(ISNUMBER(F2806),ISNUMBER(G2806)),IF(E2806=G2806,15,0),"")</f>
        <v/>
      </c>
      <c r="K2806" s="22" t="str">
        <f aca="false">IF(AND(ISNUMBER(F2806),ISNUMBER(G2806)),IF(ABS(D2806-E2806)=ABS(F2806-G2806),12,0),"")</f>
        <v/>
      </c>
      <c r="L2806" s="23" t="str">
        <f aca="false">IF(ISNUMBER(H2806),H2806+I2806+J2806+K2806,"")</f>
        <v/>
      </c>
    </row>
    <row r="2807" customFormat="false" ht="18" hidden="false" customHeight="true" outlineLevel="0" collapsed="false">
      <c r="A2807" s="17" t="s">
        <v>9</v>
      </c>
      <c r="B2807" s="18" t="s">
        <v>197</v>
      </c>
      <c r="C2807" s="19" t="s">
        <v>75</v>
      </c>
      <c r="D2807" s="20" t="n">
        <v>2</v>
      </c>
      <c r="E2807" s="20" t="n">
        <v>0</v>
      </c>
      <c r="F2807" s="21" t="n">
        <f aca="false">'📋 Matches'!E23</f>
        <v>0</v>
      </c>
      <c r="G2807" s="21" t="n">
        <f aca="false">'📋 Matches'!F23</f>
        <v>0</v>
      </c>
      <c r="H2807" s="22" t="str">
        <f aca="false">IF(AND(ISNUMBER(F2807),ISNUMBER(G2807)),IF(SIGN(D2807-E2807)=SIGN(F2807-G2807),48,0),"")</f>
        <v/>
      </c>
      <c r="I2807" s="22" t="str">
        <f aca="false">IF(AND(ISNUMBER(F2807),ISNUMBER(G2807)),IF(D2807=F2807,15,0),"")</f>
        <v/>
      </c>
      <c r="J2807" s="22" t="str">
        <f aca="false">IF(AND(ISNUMBER(F2807),ISNUMBER(G2807)),IF(E2807=G2807,15,0),"")</f>
        <v/>
      </c>
      <c r="K2807" s="22" t="str">
        <f aca="false">IF(AND(ISNUMBER(F2807),ISNUMBER(G2807)),IF(ABS(D2807-E2807)=ABS(F2807-G2807),12,0),"")</f>
        <v/>
      </c>
      <c r="L2807" s="23" t="str">
        <f aca="false">IF(ISNUMBER(H2807),H2807+I2807+J2807+K2807,"")</f>
        <v/>
      </c>
    </row>
    <row r="2808" customFormat="false" ht="18" hidden="false" customHeight="true" outlineLevel="0" collapsed="false">
      <c r="A2808" s="17" t="s">
        <v>9</v>
      </c>
      <c r="B2808" s="18" t="s">
        <v>197</v>
      </c>
      <c r="C2808" s="19" t="s">
        <v>78</v>
      </c>
      <c r="D2808" s="20" t="n">
        <v>1</v>
      </c>
      <c r="E2808" s="20" t="n">
        <v>0</v>
      </c>
      <c r="F2808" s="21" t="n">
        <f aca="false">'📋 Matches'!E24</f>
        <v>0</v>
      </c>
      <c r="G2808" s="21" t="n">
        <f aca="false">'📋 Matches'!F24</f>
        <v>0</v>
      </c>
      <c r="H2808" s="22" t="str">
        <f aca="false">IF(AND(ISNUMBER(F2808),ISNUMBER(G2808)),IF(SIGN(D2808-E2808)=SIGN(F2808-G2808),48,0),"")</f>
        <v/>
      </c>
      <c r="I2808" s="22" t="str">
        <f aca="false">IF(AND(ISNUMBER(F2808),ISNUMBER(G2808)),IF(D2808=F2808,15,0),"")</f>
        <v/>
      </c>
      <c r="J2808" s="22" t="str">
        <f aca="false">IF(AND(ISNUMBER(F2808),ISNUMBER(G2808)),IF(E2808=G2808,15,0),"")</f>
        <v/>
      </c>
      <c r="K2808" s="22" t="str">
        <f aca="false">IF(AND(ISNUMBER(F2808),ISNUMBER(G2808)),IF(ABS(D2808-E2808)=ABS(F2808-G2808),12,0),"")</f>
        <v/>
      </c>
      <c r="L2808" s="23" t="str">
        <f aca="false">IF(ISNUMBER(H2808),H2808+I2808+J2808+K2808,"")</f>
        <v/>
      </c>
    </row>
    <row r="2809" customFormat="false" ht="18" hidden="false" customHeight="true" outlineLevel="0" collapsed="false">
      <c r="A2809" s="17" t="s">
        <v>9</v>
      </c>
      <c r="B2809" s="18" t="s">
        <v>197</v>
      </c>
      <c r="C2809" s="19" t="s">
        <v>81</v>
      </c>
      <c r="D2809" s="20" t="n">
        <v>0</v>
      </c>
      <c r="E2809" s="20" t="n">
        <v>1</v>
      </c>
      <c r="F2809" s="21" t="n">
        <f aca="false">'📋 Matches'!E25</f>
        <v>0</v>
      </c>
      <c r="G2809" s="21" t="n">
        <f aca="false">'📋 Matches'!F25</f>
        <v>0</v>
      </c>
      <c r="H2809" s="22" t="str">
        <f aca="false">IF(AND(ISNUMBER(F2809),ISNUMBER(G2809)),IF(SIGN(D2809-E2809)=SIGN(F2809-G2809),48,0),"")</f>
        <v/>
      </c>
      <c r="I2809" s="22" t="str">
        <f aca="false">IF(AND(ISNUMBER(F2809),ISNUMBER(G2809)),IF(D2809=F2809,15,0),"")</f>
        <v/>
      </c>
      <c r="J2809" s="22" t="str">
        <f aca="false">IF(AND(ISNUMBER(F2809),ISNUMBER(G2809)),IF(E2809=G2809,15,0),"")</f>
        <v/>
      </c>
      <c r="K2809" s="22" t="str">
        <f aca="false">IF(AND(ISNUMBER(F2809),ISNUMBER(G2809)),IF(ABS(D2809-E2809)=ABS(F2809-G2809),12,0),"")</f>
        <v/>
      </c>
      <c r="L2809" s="23" t="str">
        <f aca="false">IF(ISNUMBER(H2809),H2809+I2809+J2809+K2809,"")</f>
        <v/>
      </c>
    </row>
    <row r="2810" customFormat="false" ht="18" hidden="false" customHeight="true" outlineLevel="0" collapsed="false">
      <c r="A2810" s="25" t="s">
        <v>9</v>
      </c>
      <c r="B2810" s="32" t="s">
        <v>198</v>
      </c>
      <c r="C2810" s="27" t="s">
        <v>10</v>
      </c>
      <c r="D2810" s="28" t="n">
        <v>2</v>
      </c>
      <c r="E2810" s="28" t="n">
        <v>1</v>
      </c>
      <c r="F2810" s="29" t="n">
        <f aca="false">'📋 Matches'!E2</f>
        <v>2</v>
      </c>
      <c r="G2810" s="29" t="n">
        <f aca="false">'📋 Matches'!F2</f>
        <v>0</v>
      </c>
      <c r="H2810" s="22" t="n">
        <f aca="false">IF(AND(ISNUMBER(F2810),ISNUMBER(G2810)),IF(SIGN(D2810-E2810)=SIGN(F2810-G2810),48,0),"")</f>
        <v>48</v>
      </c>
      <c r="I2810" s="22" t="n">
        <f aca="false">IF(AND(ISNUMBER(F2810),ISNUMBER(G2810)),IF(D2810=F2810,15,0),"")</f>
        <v>15</v>
      </c>
      <c r="J2810" s="22" t="n">
        <f aca="false">IF(AND(ISNUMBER(F2810),ISNUMBER(G2810)),IF(E2810=G2810,15,0),"")</f>
        <v>0</v>
      </c>
      <c r="K2810" s="22" t="n">
        <f aca="false">IF(AND(ISNUMBER(F2810),ISNUMBER(G2810)),IF(ABS(D2810-E2810)=ABS(F2810-G2810),12,0),"")</f>
        <v>0</v>
      </c>
      <c r="L2810" s="23" t="n">
        <f aca="false">IF(ISNUMBER(H2810),H2810+I2810+J2810+K2810,"")</f>
        <v>63</v>
      </c>
    </row>
    <row r="2811" customFormat="false" ht="18" hidden="false" customHeight="true" outlineLevel="0" collapsed="false">
      <c r="A2811" s="25" t="s">
        <v>9</v>
      </c>
      <c r="B2811" s="32" t="s">
        <v>198</v>
      </c>
      <c r="C2811" s="27" t="s">
        <v>14</v>
      </c>
      <c r="D2811" s="28" t="n">
        <v>1</v>
      </c>
      <c r="E2811" s="28" t="n">
        <v>1</v>
      </c>
      <c r="F2811" s="29" t="n">
        <f aca="false">'📋 Matches'!E3</f>
        <v>2</v>
      </c>
      <c r="G2811" s="29" t="n">
        <f aca="false">'📋 Matches'!F3</f>
        <v>1</v>
      </c>
      <c r="H2811" s="22" t="n">
        <f aca="false">IF(AND(ISNUMBER(F2811),ISNUMBER(G2811)),IF(SIGN(D2811-E2811)=SIGN(F2811-G2811),48,0),"")</f>
        <v>0</v>
      </c>
      <c r="I2811" s="22" t="n">
        <f aca="false">IF(AND(ISNUMBER(F2811),ISNUMBER(G2811)),IF(D2811=F2811,15,0),"")</f>
        <v>0</v>
      </c>
      <c r="J2811" s="22" t="n">
        <f aca="false">IF(AND(ISNUMBER(F2811),ISNUMBER(G2811)),IF(E2811=G2811,15,0),"")</f>
        <v>15</v>
      </c>
      <c r="K2811" s="22" t="n">
        <f aca="false">IF(AND(ISNUMBER(F2811),ISNUMBER(G2811)),IF(ABS(D2811-E2811)=ABS(F2811-G2811),12,0),"")</f>
        <v>0</v>
      </c>
      <c r="L2811" s="23" t="n">
        <f aca="false">IF(ISNUMBER(H2811),H2811+I2811+J2811+K2811,"")</f>
        <v>15</v>
      </c>
    </row>
    <row r="2812" customFormat="false" ht="18" hidden="false" customHeight="true" outlineLevel="0" collapsed="false">
      <c r="A2812" s="25" t="s">
        <v>9</v>
      </c>
      <c r="B2812" s="32" t="s">
        <v>198</v>
      </c>
      <c r="C2812" s="27" t="s">
        <v>17</v>
      </c>
      <c r="D2812" s="28" t="n">
        <v>2</v>
      </c>
      <c r="E2812" s="28" t="n">
        <v>3</v>
      </c>
      <c r="F2812" s="29" t="n">
        <f aca="false">'📋 Matches'!E4</f>
        <v>1</v>
      </c>
      <c r="G2812" s="29" t="n">
        <f aca="false">'📋 Matches'!F4</f>
        <v>1</v>
      </c>
      <c r="H2812" s="22" t="n">
        <f aca="false">IF(AND(ISNUMBER(F2812),ISNUMBER(G2812)),IF(SIGN(D2812-E2812)=SIGN(F2812-G2812),48,0),"")</f>
        <v>0</v>
      </c>
      <c r="I2812" s="22" t="n">
        <f aca="false">IF(AND(ISNUMBER(F2812),ISNUMBER(G2812)),IF(D2812=F2812,15,0),"")</f>
        <v>0</v>
      </c>
      <c r="J2812" s="22" t="n">
        <f aca="false">IF(AND(ISNUMBER(F2812),ISNUMBER(G2812)),IF(E2812=G2812,15,0),"")</f>
        <v>0</v>
      </c>
      <c r="K2812" s="22" t="n">
        <f aca="false">IF(AND(ISNUMBER(F2812),ISNUMBER(G2812)),IF(ABS(D2812-E2812)=ABS(F2812-G2812),12,0),"")</f>
        <v>0</v>
      </c>
      <c r="L2812" s="23" t="n">
        <f aca="false">IF(ISNUMBER(H2812),H2812+I2812+J2812+K2812,"")</f>
        <v>0</v>
      </c>
    </row>
    <row r="2813" customFormat="false" ht="18" hidden="false" customHeight="true" outlineLevel="0" collapsed="false">
      <c r="A2813" s="25" t="s">
        <v>9</v>
      </c>
      <c r="B2813" s="32" t="s">
        <v>198</v>
      </c>
      <c r="C2813" s="27" t="s">
        <v>20</v>
      </c>
      <c r="D2813" s="28" t="n">
        <v>2</v>
      </c>
      <c r="E2813" s="28" t="n">
        <v>0</v>
      </c>
      <c r="F2813" s="29" t="n">
        <f aca="false">'📋 Matches'!E5</f>
        <v>4</v>
      </c>
      <c r="G2813" s="29" t="n">
        <f aca="false">'📋 Matches'!F5</f>
        <v>1</v>
      </c>
      <c r="H2813" s="22" t="n">
        <f aca="false">IF(AND(ISNUMBER(F2813),ISNUMBER(G2813)),IF(SIGN(D2813-E2813)=SIGN(F2813-G2813),48,0),"")</f>
        <v>48</v>
      </c>
      <c r="I2813" s="22" t="n">
        <f aca="false">IF(AND(ISNUMBER(F2813),ISNUMBER(G2813)),IF(D2813=F2813,15,0),"")</f>
        <v>0</v>
      </c>
      <c r="J2813" s="22" t="n">
        <f aca="false">IF(AND(ISNUMBER(F2813),ISNUMBER(G2813)),IF(E2813=G2813,15,0),"")</f>
        <v>0</v>
      </c>
      <c r="K2813" s="22" t="n">
        <f aca="false">IF(AND(ISNUMBER(F2813),ISNUMBER(G2813)),IF(ABS(D2813-E2813)=ABS(F2813-G2813),12,0),"")</f>
        <v>0</v>
      </c>
      <c r="L2813" s="23" t="n">
        <f aca="false">IF(ISNUMBER(H2813),H2813+I2813+J2813+K2813,"")</f>
        <v>48</v>
      </c>
    </row>
    <row r="2814" customFormat="false" ht="18" hidden="false" customHeight="true" outlineLevel="0" collapsed="false">
      <c r="A2814" s="25" t="s">
        <v>9</v>
      </c>
      <c r="B2814" s="32" t="s">
        <v>198</v>
      </c>
      <c r="C2814" s="27" t="s">
        <v>23</v>
      </c>
      <c r="D2814" s="28" t="n">
        <v>2</v>
      </c>
      <c r="E2814" s="28" t="n">
        <v>1</v>
      </c>
      <c r="F2814" s="29" t="n">
        <f aca="false">'📋 Matches'!E6</f>
        <v>0</v>
      </c>
      <c r="G2814" s="29" t="n">
        <f aca="false">'📋 Matches'!F6</f>
        <v>0</v>
      </c>
      <c r="H2814" s="22" t="str">
        <f aca="false">IF(AND(ISNUMBER(F2814),ISNUMBER(G2814)),IF(SIGN(D2814-E2814)=SIGN(F2814-G2814),48,0),"")</f>
        <v/>
      </c>
      <c r="I2814" s="22" t="str">
        <f aca="false">IF(AND(ISNUMBER(F2814),ISNUMBER(G2814)),IF(D2814=F2814,15,0),"")</f>
        <v/>
      </c>
      <c r="J2814" s="22" t="str">
        <f aca="false">IF(AND(ISNUMBER(F2814),ISNUMBER(G2814)),IF(E2814=G2814,15,0),"")</f>
        <v/>
      </c>
      <c r="K2814" s="22" t="str">
        <f aca="false">IF(AND(ISNUMBER(F2814),ISNUMBER(G2814)),IF(ABS(D2814-E2814)=ABS(F2814-G2814),12,0),"")</f>
        <v/>
      </c>
      <c r="L2814" s="23" t="str">
        <f aca="false">IF(ISNUMBER(H2814),H2814+I2814+J2814+K2814,"")</f>
        <v/>
      </c>
    </row>
    <row r="2815" customFormat="false" ht="18" hidden="false" customHeight="true" outlineLevel="0" collapsed="false">
      <c r="A2815" s="25" t="s">
        <v>9</v>
      </c>
      <c r="B2815" s="32" t="s">
        <v>198</v>
      </c>
      <c r="C2815" s="27" t="s">
        <v>27</v>
      </c>
      <c r="D2815" s="28" t="n">
        <v>1</v>
      </c>
      <c r="E2815" s="28" t="n">
        <v>1</v>
      </c>
      <c r="F2815" s="29" t="n">
        <f aca="false">'📋 Matches'!E7</f>
        <v>0</v>
      </c>
      <c r="G2815" s="29" t="n">
        <f aca="false">'📋 Matches'!F7</f>
        <v>0</v>
      </c>
      <c r="H2815" s="22" t="str">
        <f aca="false">IF(AND(ISNUMBER(F2815),ISNUMBER(G2815)),IF(SIGN(D2815-E2815)=SIGN(F2815-G2815),48,0),"")</f>
        <v/>
      </c>
      <c r="I2815" s="22" t="str">
        <f aca="false">IF(AND(ISNUMBER(F2815),ISNUMBER(G2815)),IF(D2815=F2815,15,0),"")</f>
        <v/>
      </c>
      <c r="J2815" s="22" t="str">
        <f aca="false">IF(AND(ISNUMBER(F2815),ISNUMBER(G2815)),IF(E2815=G2815,15,0),"")</f>
        <v/>
      </c>
      <c r="K2815" s="22" t="str">
        <f aca="false">IF(AND(ISNUMBER(F2815),ISNUMBER(G2815)),IF(ABS(D2815-E2815)=ABS(F2815-G2815),12,0),"")</f>
        <v/>
      </c>
      <c r="L2815" s="23" t="str">
        <f aca="false">IF(ISNUMBER(H2815),H2815+I2815+J2815+K2815,"")</f>
        <v/>
      </c>
    </row>
    <row r="2816" customFormat="false" ht="18" hidden="false" customHeight="true" outlineLevel="0" collapsed="false">
      <c r="A2816" s="25" t="s">
        <v>9</v>
      </c>
      <c r="B2816" s="32" t="s">
        <v>198</v>
      </c>
      <c r="C2816" s="27" t="s">
        <v>30</v>
      </c>
      <c r="D2816" s="28" t="n">
        <v>1</v>
      </c>
      <c r="E2816" s="28" t="n">
        <v>3</v>
      </c>
      <c r="F2816" s="29" t="n">
        <f aca="false">'📋 Matches'!E8</f>
        <v>0</v>
      </c>
      <c r="G2816" s="29" t="n">
        <f aca="false">'📋 Matches'!F8</f>
        <v>0</v>
      </c>
      <c r="H2816" s="22" t="str">
        <f aca="false">IF(AND(ISNUMBER(F2816),ISNUMBER(G2816)),IF(SIGN(D2816-E2816)=SIGN(F2816-G2816),48,0),"")</f>
        <v/>
      </c>
      <c r="I2816" s="22" t="str">
        <f aca="false">IF(AND(ISNUMBER(F2816),ISNUMBER(G2816)),IF(D2816=F2816,15,0),"")</f>
        <v/>
      </c>
      <c r="J2816" s="22" t="str">
        <f aca="false">IF(AND(ISNUMBER(F2816),ISNUMBER(G2816)),IF(E2816=G2816,15,0),"")</f>
        <v/>
      </c>
      <c r="K2816" s="22" t="str">
        <f aca="false">IF(AND(ISNUMBER(F2816),ISNUMBER(G2816)),IF(ABS(D2816-E2816)=ABS(F2816-G2816),12,0),"")</f>
        <v/>
      </c>
      <c r="L2816" s="23" t="str">
        <f aca="false">IF(ISNUMBER(H2816),H2816+I2816+J2816+K2816,"")</f>
        <v/>
      </c>
    </row>
    <row r="2817" customFormat="false" ht="18" hidden="false" customHeight="true" outlineLevel="0" collapsed="false">
      <c r="A2817" s="25" t="s">
        <v>9</v>
      </c>
      <c r="B2817" s="32" t="s">
        <v>198</v>
      </c>
      <c r="C2817" s="27" t="s">
        <v>33</v>
      </c>
      <c r="D2817" s="28" t="n">
        <v>1</v>
      </c>
      <c r="E2817" s="28" t="n">
        <v>2</v>
      </c>
      <c r="F2817" s="29" t="n">
        <f aca="false">'📋 Matches'!E9</f>
        <v>0</v>
      </c>
      <c r="G2817" s="29" t="n">
        <f aca="false">'📋 Matches'!F9</f>
        <v>0</v>
      </c>
      <c r="H2817" s="22" t="str">
        <f aca="false">IF(AND(ISNUMBER(F2817),ISNUMBER(G2817)),IF(SIGN(D2817-E2817)=SIGN(F2817-G2817),48,0),"")</f>
        <v/>
      </c>
      <c r="I2817" s="22" t="str">
        <f aca="false">IF(AND(ISNUMBER(F2817),ISNUMBER(G2817)),IF(D2817=F2817,15,0),"")</f>
        <v/>
      </c>
      <c r="J2817" s="22" t="str">
        <f aca="false">IF(AND(ISNUMBER(F2817),ISNUMBER(G2817)),IF(E2817=G2817,15,0),"")</f>
        <v/>
      </c>
      <c r="K2817" s="22" t="str">
        <f aca="false">IF(AND(ISNUMBER(F2817),ISNUMBER(G2817)),IF(ABS(D2817-E2817)=ABS(F2817-G2817),12,0),"")</f>
        <v/>
      </c>
      <c r="L2817" s="23" t="str">
        <f aca="false">IF(ISNUMBER(H2817),H2817+I2817+J2817+K2817,"")</f>
        <v/>
      </c>
    </row>
    <row r="2818" customFormat="false" ht="18" hidden="false" customHeight="true" outlineLevel="0" collapsed="false">
      <c r="A2818" s="25" t="s">
        <v>9</v>
      </c>
      <c r="B2818" s="32" t="s">
        <v>198</v>
      </c>
      <c r="C2818" s="27" t="s">
        <v>36</v>
      </c>
      <c r="D2818" s="28" t="n">
        <v>2</v>
      </c>
      <c r="E2818" s="28" t="n">
        <v>1</v>
      </c>
      <c r="F2818" s="29" t="n">
        <f aca="false">'📋 Matches'!E10</f>
        <v>0</v>
      </c>
      <c r="G2818" s="29" t="n">
        <f aca="false">'📋 Matches'!F10</f>
        <v>0</v>
      </c>
      <c r="H2818" s="22" t="str">
        <f aca="false">IF(AND(ISNUMBER(F2818),ISNUMBER(G2818)),IF(SIGN(D2818-E2818)=SIGN(F2818-G2818),48,0),"")</f>
        <v/>
      </c>
      <c r="I2818" s="22" t="str">
        <f aca="false">IF(AND(ISNUMBER(F2818),ISNUMBER(G2818)),IF(D2818=F2818,15,0),"")</f>
        <v/>
      </c>
      <c r="J2818" s="22" t="str">
        <f aca="false">IF(AND(ISNUMBER(F2818),ISNUMBER(G2818)),IF(E2818=G2818,15,0),"")</f>
        <v/>
      </c>
      <c r="K2818" s="22" t="str">
        <f aca="false">IF(AND(ISNUMBER(F2818),ISNUMBER(G2818)),IF(ABS(D2818-E2818)=ABS(F2818-G2818),12,0),"")</f>
        <v/>
      </c>
      <c r="L2818" s="23" t="str">
        <f aca="false">IF(ISNUMBER(H2818),H2818+I2818+J2818+K2818,"")</f>
        <v/>
      </c>
    </row>
    <row r="2819" customFormat="false" ht="18" hidden="false" customHeight="true" outlineLevel="0" collapsed="false">
      <c r="A2819" s="25" t="s">
        <v>9</v>
      </c>
      <c r="B2819" s="32" t="s">
        <v>198</v>
      </c>
      <c r="C2819" s="27" t="s">
        <v>39</v>
      </c>
      <c r="D2819" s="28" t="n">
        <v>3</v>
      </c>
      <c r="E2819" s="28" t="n">
        <v>2</v>
      </c>
      <c r="F2819" s="29" t="n">
        <f aca="false">'📋 Matches'!E11</f>
        <v>0</v>
      </c>
      <c r="G2819" s="29" t="n">
        <f aca="false">'📋 Matches'!F11</f>
        <v>0</v>
      </c>
      <c r="H2819" s="22" t="str">
        <f aca="false">IF(AND(ISNUMBER(F2819),ISNUMBER(G2819)),IF(SIGN(D2819-E2819)=SIGN(F2819-G2819),48,0),"")</f>
        <v/>
      </c>
      <c r="I2819" s="22" t="str">
        <f aca="false">IF(AND(ISNUMBER(F2819),ISNUMBER(G2819)),IF(D2819=F2819,15,0),"")</f>
        <v/>
      </c>
      <c r="J2819" s="22" t="str">
        <f aca="false">IF(AND(ISNUMBER(F2819),ISNUMBER(G2819)),IF(E2819=G2819,15,0),"")</f>
        <v/>
      </c>
      <c r="K2819" s="22" t="str">
        <f aca="false">IF(AND(ISNUMBER(F2819),ISNUMBER(G2819)),IF(ABS(D2819-E2819)=ABS(F2819-G2819),12,0),"")</f>
        <v/>
      </c>
      <c r="L2819" s="23" t="str">
        <f aca="false">IF(ISNUMBER(H2819),H2819+I2819+J2819+K2819,"")</f>
        <v/>
      </c>
    </row>
    <row r="2820" customFormat="false" ht="18" hidden="false" customHeight="true" outlineLevel="0" collapsed="false">
      <c r="A2820" s="25" t="s">
        <v>9</v>
      </c>
      <c r="B2820" s="32" t="s">
        <v>198</v>
      </c>
      <c r="C2820" s="27" t="s">
        <v>42</v>
      </c>
      <c r="D2820" s="28" t="n">
        <v>1</v>
      </c>
      <c r="E2820" s="28" t="n">
        <v>1</v>
      </c>
      <c r="F2820" s="29" t="n">
        <f aca="false">'📋 Matches'!E12</f>
        <v>0</v>
      </c>
      <c r="G2820" s="29" t="n">
        <f aca="false">'📋 Matches'!F12</f>
        <v>0</v>
      </c>
      <c r="H2820" s="22" t="str">
        <f aca="false">IF(AND(ISNUMBER(F2820),ISNUMBER(G2820)),IF(SIGN(D2820-E2820)=SIGN(F2820-G2820),48,0),"")</f>
        <v/>
      </c>
      <c r="I2820" s="22" t="str">
        <f aca="false">IF(AND(ISNUMBER(F2820),ISNUMBER(G2820)),IF(D2820=F2820,15,0),"")</f>
        <v/>
      </c>
      <c r="J2820" s="22" t="str">
        <f aca="false">IF(AND(ISNUMBER(F2820),ISNUMBER(G2820)),IF(E2820=G2820,15,0),"")</f>
        <v/>
      </c>
      <c r="K2820" s="22" t="str">
        <f aca="false">IF(AND(ISNUMBER(F2820),ISNUMBER(G2820)),IF(ABS(D2820-E2820)=ABS(F2820-G2820),12,0),"")</f>
        <v/>
      </c>
      <c r="L2820" s="23" t="str">
        <f aca="false">IF(ISNUMBER(H2820),H2820+I2820+J2820+K2820,"")</f>
        <v/>
      </c>
    </row>
    <row r="2821" customFormat="false" ht="18" hidden="false" customHeight="true" outlineLevel="0" collapsed="false">
      <c r="A2821" s="25" t="s">
        <v>9</v>
      </c>
      <c r="B2821" s="32" t="s">
        <v>198</v>
      </c>
      <c r="C2821" s="27" t="s">
        <v>45</v>
      </c>
      <c r="D2821" s="28" t="n">
        <v>0</v>
      </c>
      <c r="E2821" s="28" t="n">
        <v>0</v>
      </c>
      <c r="F2821" s="29" t="n">
        <f aca="false">'📋 Matches'!E13</f>
        <v>0</v>
      </c>
      <c r="G2821" s="29" t="n">
        <f aca="false">'📋 Matches'!F13</f>
        <v>0</v>
      </c>
      <c r="H2821" s="22" t="str">
        <f aca="false">IF(AND(ISNUMBER(F2821),ISNUMBER(G2821)),IF(SIGN(D2821-E2821)=SIGN(F2821-G2821),48,0),"")</f>
        <v/>
      </c>
      <c r="I2821" s="22" t="str">
        <f aca="false">IF(AND(ISNUMBER(F2821),ISNUMBER(G2821)),IF(D2821=F2821,15,0),"")</f>
        <v/>
      </c>
      <c r="J2821" s="22" t="str">
        <f aca="false">IF(AND(ISNUMBER(F2821),ISNUMBER(G2821)),IF(E2821=G2821,15,0),"")</f>
        <v/>
      </c>
      <c r="K2821" s="22" t="str">
        <f aca="false">IF(AND(ISNUMBER(F2821),ISNUMBER(G2821)),IF(ABS(D2821-E2821)=ABS(F2821-G2821),12,0),"")</f>
        <v/>
      </c>
      <c r="L2821" s="23" t="str">
        <f aca="false">IF(ISNUMBER(H2821),H2821+I2821+J2821+K2821,"")</f>
        <v/>
      </c>
    </row>
    <row r="2822" customFormat="false" ht="18" hidden="false" customHeight="true" outlineLevel="0" collapsed="false">
      <c r="A2822" s="25" t="s">
        <v>9</v>
      </c>
      <c r="B2822" s="32" t="s">
        <v>198</v>
      </c>
      <c r="C2822" s="27" t="s">
        <v>48</v>
      </c>
      <c r="D2822" s="28" t="n">
        <v>3</v>
      </c>
      <c r="E2822" s="28" t="n">
        <v>2</v>
      </c>
      <c r="F2822" s="29" t="n">
        <f aca="false">'📋 Matches'!E14</f>
        <v>0</v>
      </c>
      <c r="G2822" s="29" t="n">
        <f aca="false">'📋 Matches'!F14</f>
        <v>0</v>
      </c>
      <c r="H2822" s="22" t="str">
        <f aca="false">IF(AND(ISNUMBER(F2822),ISNUMBER(G2822)),IF(SIGN(D2822-E2822)=SIGN(F2822-G2822),48,0),"")</f>
        <v/>
      </c>
      <c r="I2822" s="22" t="str">
        <f aca="false">IF(AND(ISNUMBER(F2822),ISNUMBER(G2822)),IF(D2822=F2822,15,0),"")</f>
        <v/>
      </c>
      <c r="J2822" s="22" t="str">
        <f aca="false">IF(AND(ISNUMBER(F2822),ISNUMBER(G2822)),IF(E2822=G2822,15,0),"")</f>
        <v/>
      </c>
      <c r="K2822" s="22" t="str">
        <f aca="false">IF(AND(ISNUMBER(F2822),ISNUMBER(G2822)),IF(ABS(D2822-E2822)=ABS(F2822-G2822),12,0),"")</f>
        <v/>
      </c>
      <c r="L2822" s="23" t="str">
        <f aca="false">IF(ISNUMBER(H2822),H2822+I2822+J2822+K2822,"")</f>
        <v/>
      </c>
    </row>
    <row r="2823" customFormat="false" ht="18" hidden="false" customHeight="true" outlineLevel="0" collapsed="false">
      <c r="A2823" s="25" t="s">
        <v>9</v>
      </c>
      <c r="B2823" s="32" t="s">
        <v>198</v>
      </c>
      <c r="C2823" s="27" t="s">
        <v>51</v>
      </c>
      <c r="D2823" s="28" t="n">
        <v>0</v>
      </c>
      <c r="E2823" s="28" t="n">
        <v>1</v>
      </c>
      <c r="F2823" s="29" t="n">
        <f aca="false">'📋 Matches'!E15</f>
        <v>0</v>
      </c>
      <c r="G2823" s="29" t="n">
        <f aca="false">'📋 Matches'!F15</f>
        <v>0</v>
      </c>
      <c r="H2823" s="22" t="str">
        <f aca="false">IF(AND(ISNUMBER(F2823),ISNUMBER(G2823)),IF(SIGN(D2823-E2823)=SIGN(F2823-G2823),48,0),"")</f>
        <v/>
      </c>
      <c r="I2823" s="22" t="str">
        <f aca="false">IF(AND(ISNUMBER(F2823),ISNUMBER(G2823)),IF(D2823=F2823,15,0),"")</f>
        <v/>
      </c>
      <c r="J2823" s="22" t="str">
        <f aca="false">IF(AND(ISNUMBER(F2823),ISNUMBER(G2823)),IF(E2823=G2823,15,0),"")</f>
        <v/>
      </c>
      <c r="K2823" s="22" t="str">
        <f aca="false">IF(AND(ISNUMBER(F2823),ISNUMBER(G2823)),IF(ABS(D2823-E2823)=ABS(F2823-G2823),12,0),"")</f>
        <v/>
      </c>
      <c r="L2823" s="23" t="str">
        <f aca="false">IF(ISNUMBER(H2823),H2823+I2823+J2823+K2823,"")</f>
        <v/>
      </c>
    </row>
    <row r="2824" customFormat="false" ht="18" hidden="false" customHeight="true" outlineLevel="0" collapsed="false">
      <c r="A2824" s="25" t="s">
        <v>9</v>
      </c>
      <c r="B2824" s="32" t="s">
        <v>198</v>
      </c>
      <c r="C2824" s="27" t="s">
        <v>54</v>
      </c>
      <c r="D2824" s="28" t="n">
        <v>1</v>
      </c>
      <c r="E2824" s="28" t="n">
        <v>0</v>
      </c>
      <c r="F2824" s="29" t="n">
        <f aca="false">'📋 Matches'!E16</f>
        <v>0</v>
      </c>
      <c r="G2824" s="29" t="n">
        <f aca="false">'📋 Matches'!F16</f>
        <v>0</v>
      </c>
      <c r="H2824" s="22" t="str">
        <f aca="false">IF(AND(ISNUMBER(F2824),ISNUMBER(G2824)),IF(SIGN(D2824-E2824)=SIGN(F2824-G2824),48,0),"")</f>
        <v/>
      </c>
      <c r="I2824" s="22" t="str">
        <f aca="false">IF(AND(ISNUMBER(F2824),ISNUMBER(G2824)),IF(D2824=F2824,15,0),"")</f>
        <v/>
      </c>
      <c r="J2824" s="22" t="str">
        <f aca="false">IF(AND(ISNUMBER(F2824),ISNUMBER(G2824)),IF(E2824=G2824,15,0),"")</f>
        <v/>
      </c>
      <c r="K2824" s="22" t="str">
        <f aca="false">IF(AND(ISNUMBER(F2824),ISNUMBER(G2824)),IF(ABS(D2824-E2824)=ABS(F2824-G2824),12,0),"")</f>
        <v/>
      </c>
      <c r="L2824" s="23" t="str">
        <f aca="false">IF(ISNUMBER(H2824),H2824+I2824+J2824+K2824,"")</f>
        <v/>
      </c>
    </row>
    <row r="2825" customFormat="false" ht="18" hidden="false" customHeight="true" outlineLevel="0" collapsed="false">
      <c r="A2825" s="25" t="s">
        <v>9</v>
      </c>
      <c r="B2825" s="32" t="s">
        <v>198</v>
      </c>
      <c r="C2825" s="27" t="s">
        <v>57</v>
      </c>
      <c r="D2825" s="28" t="n">
        <v>2</v>
      </c>
      <c r="E2825" s="28" t="n">
        <v>1</v>
      </c>
      <c r="F2825" s="29" t="n">
        <f aca="false">'📋 Matches'!E17</f>
        <v>0</v>
      </c>
      <c r="G2825" s="29" t="n">
        <f aca="false">'📋 Matches'!F17</f>
        <v>0</v>
      </c>
      <c r="H2825" s="22" t="str">
        <f aca="false">IF(AND(ISNUMBER(F2825),ISNUMBER(G2825)),IF(SIGN(D2825-E2825)=SIGN(F2825-G2825),48,0),"")</f>
        <v/>
      </c>
      <c r="I2825" s="22" t="str">
        <f aca="false">IF(AND(ISNUMBER(F2825),ISNUMBER(G2825)),IF(D2825=F2825,15,0),"")</f>
        <v/>
      </c>
      <c r="J2825" s="22" t="str">
        <f aca="false">IF(AND(ISNUMBER(F2825),ISNUMBER(G2825)),IF(E2825=G2825,15,0),"")</f>
        <v/>
      </c>
      <c r="K2825" s="22" t="str">
        <f aca="false">IF(AND(ISNUMBER(F2825),ISNUMBER(G2825)),IF(ABS(D2825-E2825)=ABS(F2825-G2825),12,0),"")</f>
        <v/>
      </c>
      <c r="L2825" s="23" t="str">
        <f aca="false">IF(ISNUMBER(H2825),H2825+I2825+J2825+K2825,"")</f>
        <v/>
      </c>
    </row>
    <row r="2826" customFormat="false" ht="18" hidden="false" customHeight="true" outlineLevel="0" collapsed="false">
      <c r="A2826" s="25" t="s">
        <v>9</v>
      </c>
      <c r="B2826" s="32" t="s">
        <v>198</v>
      </c>
      <c r="C2826" s="27" t="s">
        <v>60</v>
      </c>
      <c r="D2826" s="28" t="n">
        <v>3</v>
      </c>
      <c r="E2826" s="28" t="n">
        <v>2</v>
      </c>
      <c r="F2826" s="29" t="n">
        <f aca="false">'📋 Matches'!E18</f>
        <v>0</v>
      </c>
      <c r="G2826" s="29" t="n">
        <f aca="false">'📋 Matches'!F18</f>
        <v>0</v>
      </c>
      <c r="H2826" s="22" t="str">
        <f aca="false">IF(AND(ISNUMBER(F2826),ISNUMBER(G2826)),IF(SIGN(D2826-E2826)=SIGN(F2826-G2826),48,0),"")</f>
        <v/>
      </c>
      <c r="I2826" s="22" t="str">
        <f aca="false">IF(AND(ISNUMBER(F2826),ISNUMBER(G2826)),IF(D2826=F2826,15,0),"")</f>
        <v/>
      </c>
      <c r="J2826" s="22" t="str">
        <f aca="false">IF(AND(ISNUMBER(F2826),ISNUMBER(G2826)),IF(E2826=G2826,15,0),"")</f>
        <v/>
      </c>
      <c r="K2826" s="22" t="str">
        <f aca="false">IF(AND(ISNUMBER(F2826),ISNUMBER(G2826)),IF(ABS(D2826-E2826)=ABS(F2826-G2826),12,0),"")</f>
        <v/>
      </c>
      <c r="L2826" s="23" t="str">
        <f aca="false">IF(ISNUMBER(H2826),H2826+I2826+J2826+K2826,"")</f>
        <v/>
      </c>
    </row>
    <row r="2827" customFormat="false" ht="18" hidden="false" customHeight="true" outlineLevel="0" collapsed="false">
      <c r="A2827" s="25" t="s">
        <v>9</v>
      </c>
      <c r="B2827" s="32" t="s">
        <v>198</v>
      </c>
      <c r="C2827" s="27" t="s">
        <v>63</v>
      </c>
      <c r="D2827" s="28" t="n">
        <v>0</v>
      </c>
      <c r="E2827" s="28" t="n">
        <v>1</v>
      </c>
      <c r="F2827" s="29" t="n">
        <f aca="false">'📋 Matches'!E19</f>
        <v>0</v>
      </c>
      <c r="G2827" s="29" t="n">
        <f aca="false">'📋 Matches'!F19</f>
        <v>0</v>
      </c>
      <c r="H2827" s="22" t="str">
        <f aca="false">IF(AND(ISNUMBER(F2827),ISNUMBER(G2827)),IF(SIGN(D2827-E2827)=SIGN(F2827-G2827),48,0),"")</f>
        <v/>
      </c>
      <c r="I2827" s="22" t="str">
        <f aca="false">IF(AND(ISNUMBER(F2827),ISNUMBER(G2827)),IF(D2827=F2827,15,0),"")</f>
        <v/>
      </c>
      <c r="J2827" s="22" t="str">
        <f aca="false">IF(AND(ISNUMBER(F2827),ISNUMBER(G2827)),IF(E2827=G2827,15,0),"")</f>
        <v/>
      </c>
      <c r="K2827" s="22" t="str">
        <f aca="false">IF(AND(ISNUMBER(F2827),ISNUMBER(G2827)),IF(ABS(D2827-E2827)=ABS(F2827-G2827),12,0),"")</f>
        <v/>
      </c>
      <c r="L2827" s="23" t="str">
        <f aca="false">IF(ISNUMBER(H2827),H2827+I2827+J2827+K2827,"")</f>
        <v/>
      </c>
    </row>
    <row r="2828" customFormat="false" ht="18" hidden="false" customHeight="true" outlineLevel="0" collapsed="false">
      <c r="A2828" s="25" t="s">
        <v>9</v>
      </c>
      <c r="B2828" s="32" t="s">
        <v>198</v>
      </c>
      <c r="C2828" s="27" t="s">
        <v>66</v>
      </c>
      <c r="D2828" s="28" t="n">
        <v>1</v>
      </c>
      <c r="E2828" s="28" t="n">
        <v>0</v>
      </c>
      <c r="F2828" s="29" t="n">
        <f aca="false">'📋 Matches'!E20</f>
        <v>0</v>
      </c>
      <c r="G2828" s="29" t="n">
        <f aca="false">'📋 Matches'!F20</f>
        <v>0</v>
      </c>
      <c r="H2828" s="22" t="str">
        <f aca="false">IF(AND(ISNUMBER(F2828),ISNUMBER(G2828)),IF(SIGN(D2828-E2828)=SIGN(F2828-G2828),48,0),"")</f>
        <v/>
      </c>
      <c r="I2828" s="22" t="str">
        <f aca="false">IF(AND(ISNUMBER(F2828),ISNUMBER(G2828)),IF(D2828=F2828,15,0),"")</f>
        <v/>
      </c>
      <c r="J2828" s="22" t="str">
        <f aca="false">IF(AND(ISNUMBER(F2828),ISNUMBER(G2828)),IF(E2828=G2828,15,0),"")</f>
        <v/>
      </c>
      <c r="K2828" s="22" t="str">
        <f aca="false">IF(AND(ISNUMBER(F2828),ISNUMBER(G2828)),IF(ABS(D2828-E2828)=ABS(F2828-G2828),12,0),"")</f>
        <v/>
      </c>
      <c r="L2828" s="23" t="str">
        <f aca="false">IF(ISNUMBER(H2828),H2828+I2828+J2828+K2828,"")</f>
        <v/>
      </c>
    </row>
    <row r="2829" customFormat="false" ht="18" hidden="false" customHeight="true" outlineLevel="0" collapsed="false">
      <c r="A2829" s="25" t="s">
        <v>9</v>
      </c>
      <c r="B2829" s="32" t="s">
        <v>198</v>
      </c>
      <c r="C2829" s="27" t="s">
        <v>69</v>
      </c>
      <c r="D2829" s="28" t="n">
        <v>2</v>
      </c>
      <c r="E2829" s="28" t="n">
        <v>0</v>
      </c>
      <c r="F2829" s="29" t="n">
        <f aca="false">'📋 Matches'!E21</f>
        <v>0</v>
      </c>
      <c r="G2829" s="29" t="n">
        <f aca="false">'📋 Matches'!F21</f>
        <v>0</v>
      </c>
      <c r="H2829" s="22" t="str">
        <f aca="false">IF(AND(ISNUMBER(F2829),ISNUMBER(G2829)),IF(SIGN(D2829-E2829)=SIGN(F2829-G2829),48,0),"")</f>
        <v/>
      </c>
      <c r="I2829" s="22" t="str">
        <f aca="false">IF(AND(ISNUMBER(F2829),ISNUMBER(G2829)),IF(D2829=F2829,15,0),"")</f>
        <v/>
      </c>
      <c r="J2829" s="22" t="str">
        <f aca="false">IF(AND(ISNUMBER(F2829),ISNUMBER(G2829)),IF(E2829=G2829,15,0),"")</f>
        <v/>
      </c>
      <c r="K2829" s="22" t="str">
        <f aca="false">IF(AND(ISNUMBER(F2829),ISNUMBER(G2829)),IF(ABS(D2829-E2829)=ABS(F2829-G2829),12,0),"")</f>
        <v/>
      </c>
      <c r="L2829" s="23" t="str">
        <f aca="false">IF(ISNUMBER(H2829),H2829+I2829+J2829+K2829,"")</f>
        <v/>
      </c>
    </row>
    <row r="2830" customFormat="false" ht="18" hidden="false" customHeight="true" outlineLevel="0" collapsed="false">
      <c r="A2830" s="25" t="s">
        <v>9</v>
      </c>
      <c r="B2830" s="32" t="s">
        <v>198</v>
      </c>
      <c r="C2830" s="27" t="s">
        <v>72</v>
      </c>
      <c r="D2830" s="28" t="n">
        <v>2</v>
      </c>
      <c r="E2830" s="28" t="n">
        <v>1</v>
      </c>
      <c r="F2830" s="29" t="n">
        <f aca="false">'📋 Matches'!E22</f>
        <v>0</v>
      </c>
      <c r="G2830" s="29" t="n">
        <f aca="false">'📋 Matches'!F22</f>
        <v>0</v>
      </c>
      <c r="H2830" s="22" t="str">
        <f aca="false">IF(AND(ISNUMBER(F2830),ISNUMBER(G2830)),IF(SIGN(D2830-E2830)=SIGN(F2830-G2830),48,0),"")</f>
        <v/>
      </c>
      <c r="I2830" s="22" t="str">
        <f aca="false">IF(AND(ISNUMBER(F2830),ISNUMBER(G2830)),IF(D2830=F2830,15,0),"")</f>
        <v/>
      </c>
      <c r="J2830" s="22" t="str">
        <f aca="false">IF(AND(ISNUMBER(F2830),ISNUMBER(G2830)),IF(E2830=G2830,15,0),"")</f>
        <v/>
      </c>
      <c r="K2830" s="22" t="str">
        <f aca="false">IF(AND(ISNUMBER(F2830),ISNUMBER(G2830)),IF(ABS(D2830-E2830)=ABS(F2830-G2830),12,0),"")</f>
        <v/>
      </c>
      <c r="L2830" s="23" t="str">
        <f aca="false">IF(ISNUMBER(H2830),H2830+I2830+J2830+K2830,"")</f>
        <v/>
      </c>
    </row>
    <row r="2831" customFormat="false" ht="18" hidden="false" customHeight="true" outlineLevel="0" collapsed="false">
      <c r="A2831" s="25" t="s">
        <v>9</v>
      </c>
      <c r="B2831" s="32" t="s">
        <v>198</v>
      </c>
      <c r="C2831" s="27" t="s">
        <v>75</v>
      </c>
      <c r="D2831" s="28" t="n">
        <v>1</v>
      </c>
      <c r="E2831" s="28" t="n">
        <v>1</v>
      </c>
      <c r="F2831" s="29" t="n">
        <f aca="false">'📋 Matches'!E23</f>
        <v>0</v>
      </c>
      <c r="G2831" s="29" t="n">
        <f aca="false">'📋 Matches'!F23</f>
        <v>0</v>
      </c>
      <c r="H2831" s="22" t="str">
        <f aca="false">IF(AND(ISNUMBER(F2831),ISNUMBER(G2831)),IF(SIGN(D2831-E2831)=SIGN(F2831-G2831),48,0),"")</f>
        <v/>
      </c>
      <c r="I2831" s="22" t="str">
        <f aca="false">IF(AND(ISNUMBER(F2831),ISNUMBER(G2831)),IF(D2831=F2831,15,0),"")</f>
        <v/>
      </c>
      <c r="J2831" s="22" t="str">
        <f aca="false">IF(AND(ISNUMBER(F2831),ISNUMBER(G2831)),IF(E2831=G2831,15,0),"")</f>
        <v/>
      </c>
      <c r="K2831" s="22" t="str">
        <f aca="false">IF(AND(ISNUMBER(F2831),ISNUMBER(G2831)),IF(ABS(D2831-E2831)=ABS(F2831-G2831),12,0),"")</f>
        <v/>
      </c>
      <c r="L2831" s="23" t="str">
        <f aca="false">IF(ISNUMBER(H2831),H2831+I2831+J2831+K2831,"")</f>
        <v/>
      </c>
    </row>
    <row r="2832" customFormat="false" ht="18" hidden="false" customHeight="true" outlineLevel="0" collapsed="false">
      <c r="A2832" s="25" t="s">
        <v>9</v>
      </c>
      <c r="B2832" s="32" t="s">
        <v>198</v>
      </c>
      <c r="C2832" s="27" t="s">
        <v>78</v>
      </c>
      <c r="D2832" s="28" t="n">
        <v>1</v>
      </c>
      <c r="E2832" s="28" t="n">
        <v>0</v>
      </c>
      <c r="F2832" s="29" t="n">
        <f aca="false">'📋 Matches'!E24</f>
        <v>0</v>
      </c>
      <c r="G2832" s="29" t="n">
        <f aca="false">'📋 Matches'!F24</f>
        <v>0</v>
      </c>
      <c r="H2832" s="22" t="str">
        <f aca="false">IF(AND(ISNUMBER(F2832),ISNUMBER(G2832)),IF(SIGN(D2832-E2832)=SIGN(F2832-G2832),48,0),"")</f>
        <v/>
      </c>
      <c r="I2832" s="22" t="str">
        <f aca="false">IF(AND(ISNUMBER(F2832),ISNUMBER(G2832)),IF(D2832=F2832,15,0),"")</f>
        <v/>
      </c>
      <c r="J2832" s="22" t="str">
        <f aca="false">IF(AND(ISNUMBER(F2832),ISNUMBER(G2832)),IF(E2832=G2832,15,0),"")</f>
        <v/>
      </c>
      <c r="K2832" s="22" t="str">
        <f aca="false">IF(AND(ISNUMBER(F2832),ISNUMBER(G2832)),IF(ABS(D2832-E2832)=ABS(F2832-G2832),12,0),"")</f>
        <v/>
      </c>
      <c r="L2832" s="23" t="str">
        <f aca="false">IF(ISNUMBER(H2832),H2832+I2832+J2832+K2832,"")</f>
        <v/>
      </c>
    </row>
    <row r="2833" customFormat="false" ht="18" hidden="false" customHeight="true" outlineLevel="0" collapsed="false">
      <c r="A2833" s="25" t="s">
        <v>9</v>
      </c>
      <c r="B2833" s="32" t="s">
        <v>198</v>
      </c>
      <c r="C2833" s="27" t="s">
        <v>81</v>
      </c>
      <c r="D2833" s="28" t="n">
        <v>1</v>
      </c>
      <c r="E2833" s="28" t="n">
        <v>2</v>
      </c>
      <c r="F2833" s="29" t="n">
        <f aca="false">'📋 Matches'!E25</f>
        <v>0</v>
      </c>
      <c r="G2833" s="29" t="n">
        <f aca="false">'📋 Matches'!F25</f>
        <v>0</v>
      </c>
      <c r="H2833" s="22" t="str">
        <f aca="false">IF(AND(ISNUMBER(F2833),ISNUMBER(G2833)),IF(SIGN(D2833-E2833)=SIGN(F2833-G2833),48,0),"")</f>
        <v/>
      </c>
      <c r="I2833" s="22" t="str">
        <f aca="false">IF(AND(ISNUMBER(F2833),ISNUMBER(G2833)),IF(D2833=F2833,15,0),"")</f>
        <v/>
      </c>
      <c r="J2833" s="22" t="str">
        <f aca="false">IF(AND(ISNUMBER(F2833),ISNUMBER(G2833)),IF(E2833=G2833,15,0),"")</f>
        <v/>
      </c>
      <c r="K2833" s="22" t="str">
        <f aca="false">IF(AND(ISNUMBER(F2833),ISNUMBER(G2833)),IF(ABS(D2833-E2833)=ABS(F2833-G2833),12,0),"")</f>
        <v/>
      </c>
      <c r="L2833" s="23" t="str">
        <f aca="false">IF(ISNUMBER(H2833),H2833+I2833+J2833+K2833,"")</f>
        <v/>
      </c>
    </row>
    <row r="2834" customFormat="false" ht="18" hidden="false" customHeight="true" outlineLevel="0" collapsed="false">
      <c r="A2834" s="17" t="s">
        <v>9</v>
      </c>
      <c r="B2834" s="18" t="s">
        <v>199</v>
      </c>
      <c r="C2834" s="19" t="s">
        <v>10</v>
      </c>
      <c r="D2834" s="20" t="n">
        <v>1</v>
      </c>
      <c r="E2834" s="20" t="n">
        <v>1</v>
      </c>
      <c r="F2834" s="21" t="n">
        <f aca="false">'📋 Matches'!E2</f>
        <v>2</v>
      </c>
      <c r="G2834" s="21" t="n">
        <f aca="false">'📋 Matches'!F2</f>
        <v>0</v>
      </c>
      <c r="H2834" s="22" t="n">
        <f aca="false">IF(AND(ISNUMBER(F2834),ISNUMBER(G2834)),IF(SIGN(D2834-E2834)=SIGN(F2834-G2834),48,0),"")</f>
        <v>0</v>
      </c>
      <c r="I2834" s="22" t="n">
        <f aca="false">IF(AND(ISNUMBER(F2834),ISNUMBER(G2834)),IF(D2834=F2834,15,0),"")</f>
        <v>0</v>
      </c>
      <c r="J2834" s="22" t="n">
        <f aca="false">IF(AND(ISNUMBER(F2834),ISNUMBER(G2834)),IF(E2834=G2834,15,0),"")</f>
        <v>0</v>
      </c>
      <c r="K2834" s="22" t="n">
        <f aca="false">IF(AND(ISNUMBER(F2834),ISNUMBER(G2834)),IF(ABS(D2834-E2834)=ABS(F2834-G2834),12,0),"")</f>
        <v>0</v>
      </c>
      <c r="L2834" s="23" t="n">
        <f aca="false">IF(ISNUMBER(H2834),H2834+I2834+J2834+K2834,"")</f>
        <v>0</v>
      </c>
    </row>
    <row r="2835" customFormat="false" ht="18" hidden="false" customHeight="true" outlineLevel="0" collapsed="false">
      <c r="A2835" s="17" t="s">
        <v>9</v>
      </c>
      <c r="B2835" s="18" t="s">
        <v>199</v>
      </c>
      <c r="C2835" s="19" t="s">
        <v>14</v>
      </c>
      <c r="D2835" s="20" t="n">
        <v>1</v>
      </c>
      <c r="E2835" s="20" t="n">
        <v>1</v>
      </c>
      <c r="F2835" s="21" t="n">
        <f aca="false">'📋 Matches'!E3</f>
        <v>2</v>
      </c>
      <c r="G2835" s="21" t="n">
        <f aca="false">'📋 Matches'!F3</f>
        <v>1</v>
      </c>
      <c r="H2835" s="22" t="n">
        <f aca="false">IF(AND(ISNUMBER(F2835),ISNUMBER(G2835)),IF(SIGN(D2835-E2835)=SIGN(F2835-G2835),48,0),"")</f>
        <v>0</v>
      </c>
      <c r="I2835" s="22" t="n">
        <f aca="false">IF(AND(ISNUMBER(F2835),ISNUMBER(G2835)),IF(D2835=F2835,15,0),"")</f>
        <v>0</v>
      </c>
      <c r="J2835" s="22" t="n">
        <f aca="false">IF(AND(ISNUMBER(F2835),ISNUMBER(G2835)),IF(E2835=G2835,15,0),"")</f>
        <v>15</v>
      </c>
      <c r="K2835" s="22" t="n">
        <f aca="false">IF(AND(ISNUMBER(F2835),ISNUMBER(G2835)),IF(ABS(D2835-E2835)=ABS(F2835-G2835),12,0),"")</f>
        <v>0</v>
      </c>
      <c r="L2835" s="23" t="n">
        <f aca="false">IF(ISNUMBER(H2835),H2835+I2835+J2835+K2835,"")</f>
        <v>15</v>
      </c>
    </row>
    <row r="2836" customFormat="false" ht="18" hidden="false" customHeight="true" outlineLevel="0" collapsed="false">
      <c r="A2836" s="17" t="s">
        <v>9</v>
      </c>
      <c r="B2836" s="18" t="s">
        <v>199</v>
      </c>
      <c r="C2836" s="19" t="s">
        <v>17</v>
      </c>
      <c r="D2836" s="20" t="n">
        <v>1</v>
      </c>
      <c r="E2836" s="20" t="n">
        <v>1</v>
      </c>
      <c r="F2836" s="21" t="n">
        <f aca="false">'📋 Matches'!E4</f>
        <v>1</v>
      </c>
      <c r="G2836" s="21" t="n">
        <f aca="false">'📋 Matches'!F4</f>
        <v>1</v>
      </c>
      <c r="H2836" s="22" t="n">
        <f aca="false">IF(AND(ISNUMBER(F2836),ISNUMBER(G2836)),IF(SIGN(D2836-E2836)=SIGN(F2836-G2836),48,0),"")</f>
        <v>48</v>
      </c>
      <c r="I2836" s="22" t="n">
        <f aca="false">IF(AND(ISNUMBER(F2836),ISNUMBER(G2836)),IF(D2836=F2836,15,0),"")</f>
        <v>15</v>
      </c>
      <c r="J2836" s="22" t="n">
        <f aca="false">IF(AND(ISNUMBER(F2836),ISNUMBER(G2836)),IF(E2836=G2836,15,0),"")</f>
        <v>15</v>
      </c>
      <c r="K2836" s="22" t="n">
        <f aca="false">IF(AND(ISNUMBER(F2836),ISNUMBER(G2836)),IF(ABS(D2836-E2836)=ABS(F2836-G2836),12,0),"")</f>
        <v>12</v>
      </c>
      <c r="L2836" s="23" t="n">
        <f aca="false">IF(ISNUMBER(H2836),H2836+I2836+J2836+K2836,"")</f>
        <v>90</v>
      </c>
    </row>
    <row r="2837" customFormat="false" ht="18" hidden="false" customHeight="true" outlineLevel="0" collapsed="false">
      <c r="A2837" s="17" t="s">
        <v>9</v>
      </c>
      <c r="B2837" s="18" t="s">
        <v>199</v>
      </c>
      <c r="C2837" s="19" t="s">
        <v>20</v>
      </c>
      <c r="D2837" s="20" t="n">
        <v>2</v>
      </c>
      <c r="E2837" s="20" t="n">
        <v>1</v>
      </c>
      <c r="F2837" s="21" t="n">
        <f aca="false">'📋 Matches'!E5</f>
        <v>4</v>
      </c>
      <c r="G2837" s="21" t="n">
        <f aca="false">'📋 Matches'!F5</f>
        <v>1</v>
      </c>
      <c r="H2837" s="22" t="n">
        <f aca="false">IF(AND(ISNUMBER(F2837),ISNUMBER(G2837)),IF(SIGN(D2837-E2837)=SIGN(F2837-G2837),48,0),"")</f>
        <v>48</v>
      </c>
      <c r="I2837" s="22" t="n">
        <f aca="false">IF(AND(ISNUMBER(F2837),ISNUMBER(G2837)),IF(D2837=F2837,15,0),"")</f>
        <v>0</v>
      </c>
      <c r="J2837" s="22" t="n">
        <f aca="false">IF(AND(ISNUMBER(F2837),ISNUMBER(G2837)),IF(E2837=G2837,15,0),"")</f>
        <v>15</v>
      </c>
      <c r="K2837" s="22" t="n">
        <f aca="false">IF(AND(ISNUMBER(F2837),ISNUMBER(G2837)),IF(ABS(D2837-E2837)=ABS(F2837-G2837),12,0),"")</f>
        <v>0</v>
      </c>
      <c r="L2837" s="23" t="n">
        <f aca="false">IF(ISNUMBER(H2837),H2837+I2837+J2837+K2837,"")</f>
        <v>63</v>
      </c>
    </row>
    <row r="2838" customFormat="false" ht="18" hidden="false" customHeight="true" outlineLevel="0" collapsed="false">
      <c r="A2838" s="17" t="s">
        <v>9</v>
      </c>
      <c r="B2838" s="18" t="s">
        <v>199</v>
      </c>
      <c r="C2838" s="19" t="s">
        <v>23</v>
      </c>
      <c r="D2838" s="20" t="n">
        <v>1</v>
      </c>
      <c r="E2838" s="20" t="n">
        <v>2</v>
      </c>
      <c r="F2838" s="21" t="n">
        <f aca="false">'📋 Matches'!E6</f>
        <v>0</v>
      </c>
      <c r="G2838" s="21" t="n">
        <f aca="false">'📋 Matches'!F6</f>
        <v>0</v>
      </c>
      <c r="H2838" s="22" t="str">
        <f aca="false">IF(AND(ISNUMBER(F2838),ISNUMBER(G2838)),IF(SIGN(D2838-E2838)=SIGN(F2838-G2838),48,0),"")</f>
        <v/>
      </c>
      <c r="I2838" s="22" t="str">
        <f aca="false">IF(AND(ISNUMBER(F2838),ISNUMBER(G2838)),IF(D2838=F2838,15,0),"")</f>
        <v/>
      </c>
      <c r="J2838" s="22" t="str">
        <f aca="false">IF(AND(ISNUMBER(F2838),ISNUMBER(G2838)),IF(E2838=G2838,15,0),"")</f>
        <v/>
      </c>
      <c r="K2838" s="22" t="str">
        <f aca="false">IF(AND(ISNUMBER(F2838),ISNUMBER(G2838)),IF(ABS(D2838-E2838)=ABS(F2838-G2838),12,0),"")</f>
        <v/>
      </c>
      <c r="L2838" s="23" t="str">
        <f aca="false">IF(ISNUMBER(H2838),H2838+I2838+J2838+K2838,"")</f>
        <v/>
      </c>
    </row>
    <row r="2839" customFormat="false" ht="18" hidden="false" customHeight="true" outlineLevel="0" collapsed="false">
      <c r="A2839" s="17" t="s">
        <v>9</v>
      </c>
      <c r="B2839" s="18" t="s">
        <v>199</v>
      </c>
      <c r="C2839" s="19" t="s">
        <v>27</v>
      </c>
      <c r="D2839" s="20" t="n">
        <v>2</v>
      </c>
      <c r="E2839" s="20" t="n">
        <v>1</v>
      </c>
      <c r="F2839" s="21" t="n">
        <f aca="false">'📋 Matches'!E7</f>
        <v>0</v>
      </c>
      <c r="G2839" s="21" t="n">
        <f aca="false">'📋 Matches'!F7</f>
        <v>0</v>
      </c>
      <c r="H2839" s="22" t="str">
        <f aca="false">IF(AND(ISNUMBER(F2839),ISNUMBER(G2839)),IF(SIGN(D2839-E2839)=SIGN(F2839-G2839),48,0),"")</f>
        <v/>
      </c>
      <c r="I2839" s="22" t="str">
        <f aca="false">IF(AND(ISNUMBER(F2839),ISNUMBER(G2839)),IF(D2839=F2839,15,0),"")</f>
        <v/>
      </c>
      <c r="J2839" s="22" t="str">
        <f aca="false">IF(AND(ISNUMBER(F2839),ISNUMBER(G2839)),IF(E2839=G2839,15,0),"")</f>
        <v/>
      </c>
      <c r="K2839" s="22" t="str">
        <f aca="false">IF(AND(ISNUMBER(F2839),ISNUMBER(G2839)),IF(ABS(D2839-E2839)=ABS(F2839-G2839),12,0),"")</f>
        <v/>
      </c>
      <c r="L2839" s="23" t="str">
        <f aca="false">IF(ISNUMBER(H2839),H2839+I2839+J2839+K2839,"")</f>
        <v/>
      </c>
    </row>
    <row r="2840" customFormat="false" ht="18" hidden="false" customHeight="true" outlineLevel="0" collapsed="false">
      <c r="A2840" s="17" t="s">
        <v>9</v>
      </c>
      <c r="B2840" s="18" t="s">
        <v>199</v>
      </c>
      <c r="C2840" s="19" t="s">
        <v>30</v>
      </c>
      <c r="D2840" s="20" t="n">
        <v>1</v>
      </c>
      <c r="E2840" s="20" t="n">
        <v>2</v>
      </c>
      <c r="F2840" s="21" t="n">
        <f aca="false">'📋 Matches'!E8</f>
        <v>0</v>
      </c>
      <c r="G2840" s="21" t="n">
        <f aca="false">'📋 Matches'!F8</f>
        <v>0</v>
      </c>
      <c r="H2840" s="22" t="str">
        <f aca="false">IF(AND(ISNUMBER(F2840),ISNUMBER(G2840)),IF(SIGN(D2840-E2840)=SIGN(F2840-G2840),48,0),"")</f>
        <v/>
      </c>
      <c r="I2840" s="22" t="str">
        <f aca="false">IF(AND(ISNUMBER(F2840),ISNUMBER(G2840)),IF(D2840=F2840,15,0),"")</f>
        <v/>
      </c>
      <c r="J2840" s="22" t="str">
        <f aca="false">IF(AND(ISNUMBER(F2840),ISNUMBER(G2840)),IF(E2840=G2840,15,0),"")</f>
        <v/>
      </c>
      <c r="K2840" s="22" t="str">
        <f aca="false">IF(AND(ISNUMBER(F2840),ISNUMBER(G2840)),IF(ABS(D2840-E2840)=ABS(F2840-G2840),12,0),"")</f>
        <v/>
      </c>
      <c r="L2840" s="23" t="str">
        <f aca="false">IF(ISNUMBER(H2840),H2840+I2840+J2840+K2840,"")</f>
        <v/>
      </c>
    </row>
    <row r="2841" customFormat="false" ht="18" hidden="false" customHeight="true" outlineLevel="0" collapsed="false">
      <c r="A2841" s="17" t="s">
        <v>9</v>
      </c>
      <c r="B2841" s="18" t="s">
        <v>199</v>
      </c>
      <c r="C2841" s="19" t="s">
        <v>33</v>
      </c>
      <c r="D2841" s="20" t="n">
        <v>0</v>
      </c>
      <c r="E2841" s="20" t="n">
        <v>2</v>
      </c>
      <c r="F2841" s="21" t="n">
        <f aca="false">'📋 Matches'!E9</f>
        <v>0</v>
      </c>
      <c r="G2841" s="21" t="n">
        <f aca="false">'📋 Matches'!F9</f>
        <v>0</v>
      </c>
      <c r="H2841" s="22" t="str">
        <f aca="false">IF(AND(ISNUMBER(F2841),ISNUMBER(G2841)),IF(SIGN(D2841-E2841)=SIGN(F2841-G2841),48,0),"")</f>
        <v/>
      </c>
      <c r="I2841" s="22" t="str">
        <f aca="false">IF(AND(ISNUMBER(F2841),ISNUMBER(G2841)),IF(D2841=F2841,15,0),"")</f>
        <v/>
      </c>
      <c r="J2841" s="22" t="str">
        <f aca="false">IF(AND(ISNUMBER(F2841),ISNUMBER(G2841)),IF(E2841=G2841,15,0),"")</f>
        <v/>
      </c>
      <c r="K2841" s="22" t="str">
        <f aca="false">IF(AND(ISNUMBER(F2841),ISNUMBER(G2841)),IF(ABS(D2841-E2841)=ABS(F2841-G2841),12,0),"")</f>
        <v/>
      </c>
      <c r="L2841" s="23" t="str">
        <f aca="false">IF(ISNUMBER(H2841),H2841+I2841+J2841+K2841,"")</f>
        <v/>
      </c>
    </row>
    <row r="2842" customFormat="false" ht="18" hidden="false" customHeight="true" outlineLevel="0" collapsed="false">
      <c r="A2842" s="17" t="s">
        <v>9</v>
      </c>
      <c r="B2842" s="18" t="s">
        <v>199</v>
      </c>
      <c r="C2842" s="19" t="s">
        <v>36</v>
      </c>
      <c r="D2842" s="20" t="n">
        <v>2</v>
      </c>
      <c r="E2842" s="20" t="n">
        <v>0</v>
      </c>
      <c r="F2842" s="21" t="n">
        <f aca="false">'📋 Matches'!E10</f>
        <v>0</v>
      </c>
      <c r="G2842" s="21" t="n">
        <f aca="false">'📋 Matches'!F10</f>
        <v>0</v>
      </c>
      <c r="H2842" s="22" t="str">
        <f aca="false">IF(AND(ISNUMBER(F2842),ISNUMBER(G2842)),IF(SIGN(D2842-E2842)=SIGN(F2842-G2842),48,0),"")</f>
        <v/>
      </c>
      <c r="I2842" s="22" t="str">
        <f aca="false">IF(AND(ISNUMBER(F2842),ISNUMBER(G2842)),IF(D2842=F2842,15,0),"")</f>
        <v/>
      </c>
      <c r="J2842" s="22" t="str">
        <f aca="false">IF(AND(ISNUMBER(F2842),ISNUMBER(G2842)),IF(E2842=G2842,15,0),"")</f>
        <v/>
      </c>
      <c r="K2842" s="22" t="str">
        <f aca="false">IF(AND(ISNUMBER(F2842),ISNUMBER(G2842)),IF(ABS(D2842-E2842)=ABS(F2842-G2842),12,0),"")</f>
        <v/>
      </c>
      <c r="L2842" s="23" t="str">
        <f aca="false">IF(ISNUMBER(H2842),H2842+I2842+J2842+K2842,"")</f>
        <v/>
      </c>
    </row>
    <row r="2843" customFormat="false" ht="18" hidden="false" customHeight="true" outlineLevel="0" collapsed="false">
      <c r="A2843" s="17" t="s">
        <v>9</v>
      </c>
      <c r="B2843" s="18" t="s">
        <v>199</v>
      </c>
      <c r="C2843" s="19" t="s">
        <v>39</v>
      </c>
      <c r="D2843" s="20" t="n">
        <v>2</v>
      </c>
      <c r="E2843" s="20" t="n">
        <v>1</v>
      </c>
      <c r="F2843" s="21" t="n">
        <f aca="false">'📋 Matches'!E11</f>
        <v>0</v>
      </c>
      <c r="G2843" s="21" t="n">
        <f aca="false">'📋 Matches'!F11</f>
        <v>0</v>
      </c>
      <c r="H2843" s="22" t="str">
        <f aca="false">IF(AND(ISNUMBER(F2843),ISNUMBER(G2843)),IF(SIGN(D2843-E2843)=SIGN(F2843-G2843),48,0),"")</f>
        <v/>
      </c>
      <c r="I2843" s="22" t="str">
        <f aca="false">IF(AND(ISNUMBER(F2843),ISNUMBER(G2843)),IF(D2843=F2843,15,0),"")</f>
        <v/>
      </c>
      <c r="J2843" s="22" t="str">
        <f aca="false">IF(AND(ISNUMBER(F2843),ISNUMBER(G2843)),IF(E2843=G2843,15,0),"")</f>
        <v/>
      </c>
      <c r="K2843" s="22" t="str">
        <f aca="false">IF(AND(ISNUMBER(F2843),ISNUMBER(G2843)),IF(ABS(D2843-E2843)=ABS(F2843-G2843),12,0),"")</f>
        <v/>
      </c>
      <c r="L2843" s="23" t="str">
        <f aca="false">IF(ISNUMBER(H2843),H2843+I2843+J2843+K2843,"")</f>
        <v/>
      </c>
    </row>
    <row r="2844" customFormat="false" ht="18" hidden="false" customHeight="true" outlineLevel="0" collapsed="false">
      <c r="A2844" s="17" t="s">
        <v>9</v>
      </c>
      <c r="B2844" s="18" t="s">
        <v>199</v>
      </c>
      <c r="C2844" s="19" t="s">
        <v>42</v>
      </c>
      <c r="D2844" s="20" t="n">
        <v>1</v>
      </c>
      <c r="E2844" s="20" t="n">
        <v>3</v>
      </c>
      <c r="F2844" s="21" t="n">
        <f aca="false">'📋 Matches'!E12</f>
        <v>0</v>
      </c>
      <c r="G2844" s="21" t="n">
        <f aca="false">'📋 Matches'!F12</f>
        <v>0</v>
      </c>
      <c r="H2844" s="22" t="str">
        <f aca="false">IF(AND(ISNUMBER(F2844),ISNUMBER(G2844)),IF(SIGN(D2844-E2844)=SIGN(F2844-G2844),48,0),"")</f>
        <v/>
      </c>
      <c r="I2844" s="22" t="str">
        <f aca="false">IF(AND(ISNUMBER(F2844),ISNUMBER(G2844)),IF(D2844=F2844,15,0),"")</f>
        <v/>
      </c>
      <c r="J2844" s="22" t="str">
        <f aca="false">IF(AND(ISNUMBER(F2844),ISNUMBER(G2844)),IF(E2844=G2844,15,0),"")</f>
        <v/>
      </c>
      <c r="K2844" s="22" t="str">
        <f aca="false">IF(AND(ISNUMBER(F2844),ISNUMBER(G2844)),IF(ABS(D2844-E2844)=ABS(F2844-G2844),12,0),"")</f>
        <v/>
      </c>
      <c r="L2844" s="23" t="str">
        <f aca="false">IF(ISNUMBER(H2844),H2844+I2844+J2844+K2844,"")</f>
        <v/>
      </c>
    </row>
    <row r="2845" customFormat="false" ht="18" hidden="false" customHeight="true" outlineLevel="0" collapsed="false">
      <c r="A2845" s="17" t="s">
        <v>9</v>
      </c>
      <c r="B2845" s="18" t="s">
        <v>199</v>
      </c>
      <c r="C2845" s="19" t="s">
        <v>45</v>
      </c>
      <c r="D2845" s="20" t="n">
        <v>1</v>
      </c>
      <c r="E2845" s="20" t="n">
        <v>2</v>
      </c>
      <c r="F2845" s="21" t="n">
        <f aca="false">'📋 Matches'!E13</f>
        <v>0</v>
      </c>
      <c r="G2845" s="21" t="n">
        <f aca="false">'📋 Matches'!F13</f>
        <v>0</v>
      </c>
      <c r="H2845" s="22" t="str">
        <f aca="false">IF(AND(ISNUMBER(F2845),ISNUMBER(G2845)),IF(SIGN(D2845-E2845)=SIGN(F2845-G2845),48,0),"")</f>
        <v/>
      </c>
      <c r="I2845" s="22" t="str">
        <f aca="false">IF(AND(ISNUMBER(F2845),ISNUMBER(G2845)),IF(D2845=F2845,15,0),"")</f>
        <v/>
      </c>
      <c r="J2845" s="22" t="str">
        <f aca="false">IF(AND(ISNUMBER(F2845),ISNUMBER(G2845)),IF(E2845=G2845,15,0),"")</f>
        <v/>
      </c>
      <c r="K2845" s="22" t="str">
        <f aca="false">IF(AND(ISNUMBER(F2845),ISNUMBER(G2845)),IF(ABS(D2845-E2845)=ABS(F2845-G2845),12,0),"")</f>
        <v/>
      </c>
      <c r="L2845" s="23" t="str">
        <f aca="false">IF(ISNUMBER(H2845),H2845+I2845+J2845+K2845,"")</f>
        <v/>
      </c>
    </row>
    <row r="2846" customFormat="false" ht="18" hidden="false" customHeight="true" outlineLevel="0" collapsed="false">
      <c r="A2846" s="17" t="s">
        <v>9</v>
      </c>
      <c r="B2846" s="18" t="s">
        <v>199</v>
      </c>
      <c r="C2846" s="19" t="s">
        <v>48</v>
      </c>
      <c r="D2846" s="20" t="n">
        <v>4</v>
      </c>
      <c r="E2846" s="20" t="n">
        <v>0</v>
      </c>
      <c r="F2846" s="21" t="n">
        <f aca="false">'📋 Matches'!E14</f>
        <v>0</v>
      </c>
      <c r="G2846" s="21" t="n">
        <f aca="false">'📋 Matches'!F14</f>
        <v>0</v>
      </c>
      <c r="H2846" s="22" t="str">
        <f aca="false">IF(AND(ISNUMBER(F2846),ISNUMBER(G2846)),IF(SIGN(D2846-E2846)=SIGN(F2846-G2846),48,0),"")</f>
        <v/>
      </c>
      <c r="I2846" s="22" t="str">
        <f aca="false">IF(AND(ISNUMBER(F2846),ISNUMBER(G2846)),IF(D2846=F2846,15,0),"")</f>
        <v/>
      </c>
      <c r="J2846" s="22" t="str">
        <f aca="false">IF(AND(ISNUMBER(F2846),ISNUMBER(G2846)),IF(E2846=G2846,15,0),"")</f>
        <v/>
      </c>
      <c r="K2846" s="22" t="str">
        <f aca="false">IF(AND(ISNUMBER(F2846),ISNUMBER(G2846)),IF(ABS(D2846-E2846)=ABS(F2846-G2846),12,0),"")</f>
        <v/>
      </c>
      <c r="L2846" s="23" t="str">
        <f aca="false">IF(ISNUMBER(H2846),H2846+I2846+J2846+K2846,"")</f>
        <v/>
      </c>
    </row>
    <row r="2847" customFormat="false" ht="18" hidden="false" customHeight="true" outlineLevel="0" collapsed="false">
      <c r="A2847" s="17" t="s">
        <v>9</v>
      </c>
      <c r="B2847" s="18" t="s">
        <v>199</v>
      </c>
      <c r="C2847" s="19" t="s">
        <v>51</v>
      </c>
      <c r="D2847" s="20" t="n">
        <v>3</v>
      </c>
      <c r="E2847" s="20" t="n">
        <v>1</v>
      </c>
      <c r="F2847" s="21" t="n">
        <f aca="false">'📋 Matches'!E15</f>
        <v>0</v>
      </c>
      <c r="G2847" s="21" t="n">
        <f aca="false">'📋 Matches'!F15</f>
        <v>0</v>
      </c>
      <c r="H2847" s="22" t="str">
        <f aca="false">IF(AND(ISNUMBER(F2847),ISNUMBER(G2847)),IF(SIGN(D2847-E2847)=SIGN(F2847-G2847),48,0),"")</f>
        <v/>
      </c>
      <c r="I2847" s="22" t="str">
        <f aca="false">IF(AND(ISNUMBER(F2847),ISNUMBER(G2847)),IF(D2847=F2847,15,0),"")</f>
        <v/>
      </c>
      <c r="J2847" s="22" t="str">
        <f aca="false">IF(AND(ISNUMBER(F2847),ISNUMBER(G2847)),IF(E2847=G2847,15,0),"")</f>
        <v/>
      </c>
      <c r="K2847" s="22" t="str">
        <f aca="false">IF(AND(ISNUMBER(F2847),ISNUMBER(G2847)),IF(ABS(D2847-E2847)=ABS(F2847-G2847),12,0),"")</f>
        <v/>
      </c>
      <c r="L2847" s="23" t="str">
        <f aca="false">IF(ISNUMBER(H2847),H2847+I2847+J2847+K2847,"")</f>
        <v/>
      </c>
    </row>
    <row r="2848" customFormat="false" ht="18" hidden="false" customHeight="true" outlineLevel="0" collapsed="false">
      <c r="A2848" s="17" t="s">
        <v>9</v>
      </c>
      <c r="B2848" s="18" t="s">
        <v>199</v>
      </c>
      <c r="C2848" s="19" t="s">
        <v>54</v>
      </c>
      <c r="D2848" s="20" t="n">
        <v>0</v>
      </c>
      <c r="E2848" s="20" t="n">
        <v>2</v>
      </c>
      <c r="F2848" s="21" t="n">
        <f aca="false">'📋 Matches'!E16</f>
        <v>0</v>
      </c>
      <c r="G2848" s="21" t="n">
        <f aca="false">'📋 Matches'!F16</f>
        <v>0</v>
      </c>
      <c r="H2848" s="22" t="str">
        <f aca="false">IF(AND(ISNUMBER(F2848),ISNUMBER(G2848)),IF(SIGN(D2848-E2848)=SIGN(F2848-G2848),48,0),"")</f>
        <v/>
      </c>
      <c r="I2848" s="22" t="str">
        <f aca="false">IF(AND(ISNUMBER(F2848),ISNUMBER(G2848)),IF(D2848=F2848,15,0),"")</f>
        <v/>
      </c>
      <c r="J2848" s="22" t="str">
        <f aca="false">IF(AND(ISNUMBER(F2848),ISNUMBER(G2848)),IF(E2848=G2848,15,0),"")</f>
        <v/>
      </c>
      <c r="K2848" s="22" t="str">
        <f aca="false">IF(AND(ISNUMBER(F2848),ISNUMBER(G2848)),IF(ABS(D2848-E2848)=ABS(F2848-G2848),12,0),"")</f>
        <v/>
      </c>
      <c r="L2848" s="23" t="str">
        <f aca="false">IF(ISNUMBER(H2848),H2848+I2848+J2848+K2848,"")</f>
        <v/>
      </c>
    </row>
    <row r="2849" customFormat="false" ht="18" hidden="false" customHeight="true" outlineLevel="0" collapsed="false">
      <c r="A2849" s="17" t="s">
        <v>9</v>
      </c>
      <c r="B2849" s="18" t="s">
        <v>199</v>
      </c>
      <c r="C2849" s="19" t="s">
        <v>57</v>
      </c>
      <c r="D2849" s="20" t="n">
        <v>2</v>
      </c>
      <c r="E2849" s="20" t="n">
        <v>1</v>
      </c>
      <c r="F2849" s="21" t="n">
        <f aca="false">'📋 Matches'!E17</f>
        <v>0</v>
      </c>
      <c r="G2849" s="21" t="n">
        <f aca="false">'📋 Matches'!F17</f>
        <v>0</v>
      </c>
      <c r="H2849" s="22" t="str">
        <f aca="false">IF(AND(ISNUMBER(F2849),ISNUMBER(G2849)),IF(SIGN(D2849-E2849)=SIGN(F2849-G2849),48,0),"")</f>
        <v/>
      </c>
      <c r="I2849" s="22" t="str">
        <f aca="false">IF(AND(ISNUMBER(F2849),ISNUMBER(G2849)),IF(D2849=F2849,15,0),"")</f>
        <v/>
      </c>
      <c r="J2849" s="22" t="str">
        <f aca="false">IF(AND(ISNUMBER(F2849),ISNUMBER(G2849)),IF(E2849=G2849,15,0),"")</f>
        <v/>
      </c>
      <c r="K2849" s="22" t="str">
        <f aca="false">IF(AND(ISNUMBER(F2849),ISNUMBER(G2849)),IF(ABS(D2849-E2849)=ABS(F2849-G2849),12,0),"")</f>
        <v/>
      </c>
      <c r="L2849" s="23" t="str">
        <f aca="false">IF(ISNUMBER(H2849),H2849+I2849+J2849+K2849,"")</f>
        <v/>
      </c>
    </row>
    <row r="2850" customFormat="false" ht="18" hidden="false" customHeight="true" outlineLevel="0" collapsed="false">
      <c r="A2850" s="17" t="s">
        <v>9</v>
      </c>
      <c r="B2850" s="18" t="s">
        <v>199</v>
      </c>
      <c r="C2850" s="19" t="s">
        <v>60</v>
      </c>
      <c r="D2850" s="20" t="n">
        <v>5</v>
      </c>
      <c r="E2850" s="20" t="n">
        <v>2</v>
      </c>
      <c r="F2850" s="21" t="n">
        <f aca="false">'📋 Matches'!E18</f>
        <v>0</v>
      </c>
      <c r="G2850" s="21" t="n">
        <f aca="false">'📋 Matches'!F18</f>
        <v>0</v>
      </c>
      <c r="H2850" s="22" t="str">
        <f aca="false">IF(AND(ISNUMBER(F2850),ISNUMBER(G2850)),IF(SIGN(D2850-E2850)=SIGN(F2850-G2850),48,0),"")</f>
        <v/>
      </c>
      <c r="I2850" s="22" t="str">
        <f aca="false">IF(AND(ISNUMBER(F2850),ISNUMBER(G2850)),IF(D2850=F2850,15,0),"")</f>
        <v/>
      </c>
      <c r="J2850" s="22" t="str">
        <f aca="false">IF(AND(ISNUMBER(F2850),ISNUMBER(G2850)),IF(E2850=G2850,15,0),"")</f>
        <v/>
      </c>
      <c r="K2850" s="22" t="str">
        <f aca="false">IF(AND(ISNUMBER(F2850),ISNUMBER(G2850)),IF(ABS(D2850-E2850)=ABS(F2850-G2850),12,0),"")</f>
        <v/>
      </c>
      <c r="L2850" s="23" t="str">
        <f aca="false">IF(ISNUMBER(H2850),H2850+I2850+J2850+K2850,"")</f>
        <v/>
      </c>
    </row>
    <row r="2851" customFormat="false" ht="18" hidden="false" customHeight="true" outlineLevel="0" collapsed="false">
      <c r="A2851" s="17" t="s">
        <v>9</v>
      </c>
      <c r="B2851" s="18" t="s">
        <v>199</v>
      </c>
      <c r="C2851" s="19" t="s">
        <v>63</v>
      </c>
      <c r="D2851" s="20" t="n">
        <v>1</v>
      </c>
      <c r="E2851" s="20" t="n">
        <v>1</v>
      </c>
      <c r="F2851" s="21" t="n">
        <f aca="false">'📋 Matches'!E19</f>
        <v>0</v>
      </c>
      <c r="G2851" s="21" t="n">
        <f aca="false">'📋 Matches'!F19</f>
        <v>0</v>
      </c>
      <c r="H2851" s="22" t="str">
        <f aca="false">IF(AND(ISNUMBER(F2851),ISNUMBER(G2851)),IF(SIGN(D2851-E2851)=SIGN(F2851-G2851),48,0),"")</f>
        <v/>
      </c>
      <c r="I2851" s="22" t="str">
        <f aca="false">IF(AND(ISNUMBER(F2851),ISNUMBER(G2851)),IF(D2851=F2851,15,0),"")</f>
        <v/>
      </c>
      <c r="J2851" s="22" t="str">
        <f aca="false">IF(AND(ISNUMBER(F2851),ISNUMBER(G2851)),IF(E2851=G2851,15,0),"")</f>
        <v/>
      </c>
      <c r="K2851" s="22" t="str">
        <f aca="false">IF(AND(ISNUMBER(F2851),ISNUMBER(G2851)),IF(ABS(D2851-E2851)=ABS(F2851-G2851),12,0),"")</f>
        <v/>
      </c>
      <c r="L2851" s="23" t="str">
        <f aca="false">IF(ISNUMBER(H2851),H2851+I2851+J2851+K2851,"")</f>
        <v/>
      </c>
    </row>
    <row r="2852" customFormat="false" ht="18" hidden="false" customHeight="true" outlineLevel="0" collapsed="false">
      <c r="A2852" s="17" t="s">
        <v>9</v>
      </c>
      <c r="B2852" s="18" t="s">
        <v>199</v>
      </c>
      <c r="C2852" s="19" t="s">
        <v>66</v>
      </c>
      <c r="D2852" s="20" t="n">
        <v>2</v>
      </c>
      <c r="E2852" s="20" t="n">
        <v>1</v>
      </c>
      <c r="F2852" s="21" t="n">
        <f aca="false">'📋 Matches'!E20</f>
        <v>0</v>
      </c>
      <c r="G2852" s="21" t="n">
        <f aca="false">'📋 Matches'!F20</f>
        <v>0</v>
      </c>
      <c r="H2852" s="22" t="str">
        <f aca="false">IF(AND(ISNUMBER(F2852),ISNUMBER(G2852)),IF(SIGN(D2852-E2852)=SIGN(F2852-G2852),48,0),"")</f>
        <v/>
      </c>
      <c r="I2852" s="22" t="str">
        <f aca="false">IF(AND(ISNUMBER(F2852),ISNUMBER(G2852)),IF(D2852=F2852,15,0),"")</f>
        <v/>
      </c>
      <c r="J2852" s="22" t="str">
        <f aca="false">IF(AND(ISNUMBER(F2852),ISNUMBER(G2852)),IF(E2852=G2852,15,0),"")</f>
        <v/>
      </c>
      <c r="K2852" s="22" t="str">
        <f aca="false">IF(AND(ISNUMBER(F2852),ISNUMBER(G2852)),IF(ABS(D2852-E2852)=ABS(F2852-G2852),12,0),"")</f>
        <v/>
      </c>
      <c r="L2852" s="23" t="str">
        <f aca="false">IF(ISNUMBER(H2852),H2852+I2852+J2852+K2852,"")</f>
        <v/>
      </c>
    </row>
    <row r="2853" customFormat="false" ht="18" hidden="false" customHeight="true" outlineLevel="0" collapsed="false">
      <c r="A2853" s="17" t="s">
        <v>9</v>
      </c>
      <c r="B2853" s="18" t="s">
        <v>199</v>
      </c>
      <c r="C2853" s="19" t="s">
        <v>69</v>
      </c>
      <c r="D2853" s="20" t="n">
        <v>3</v>
      </c>
      <c r="E2853" s="20" t="n">
        <v>0</v>
      </c>
      <c r="F2853" s="21" t="n">
        <f aca="false">'📋 Matches'!E21</f>
        <v>0</v>
      </c>
      <c r="G2853" s="21" t="n">
        <f aca="false">'📋 Matches'!F21</f>
        <v>0</v>
      </c>
      <c r="H2853" s="22" t="str">
        <f aca="false">IF(AND(ISNUMBER(F2853),ISNUMBER(G2853)),IF(SIGN(D2853-E2853)=SIGN(F2853-G2853),48,0),"")</f>
        <v/>
      </c>
      <c r="I2853" s="22" t="str">
        <f aca="false">IF(AND(ISNUMBER(F2853),ISNUMBER(G2853)),IF(D2853=F2853,15,0),"")</f>
        <v/>
      </c>
      <c r="J2853" s="22" t="str">
        <f aca="false">IF(AND(ISNUMBER(F2853),ISNUMBER(G2853)),IF(E2853=G2853,15,0),"")</f>
        <v/>
      </c>
      <c r="K2853" s="22" t="str">
        <f aca="false">IF(AND(ISNUMBER(F2853),ISNUMBER(G2853)),IF(ABS(D2853-E2853)=ABS(F2853-G2853),12,0),"")</f>
        <v/>
      </c>
      <c r="L2853" s="23" t="str">
        <f aca="false">IF(ISNUMBER(H2853),H2853+I2853+J2853+K2853,"")</f>
        <v/>
      </c>
    </row>
    <row r="2854" customFormat="false" ht="18" hidden="false" customHeight="true" outlineLevel="0" collapsed="false">
      <c r="A2854" s="17" t="s">
        <v>9</v>
      </c>
      <c r="B2854" s="18" t="s">
        <v>199</v>
      </c>
      <c r="C2854" s="19" t="s">
        <v>72</v>
      </c>
      <c r="D2854" s="20" t="n">
        <v>3</v>
      </c>
      <c r="E2854" s="20" t="n">
        <v>1</v>
      </c>
      <c r="F2854" s="21" t="n">
        <f aca="false">'📋 Matches'!E22</f>
        <v>0</v>
      </c>
      <c r="G2854" s="21" t="n">
        <f aca="false">'📋 Matches'!F22</f>
        <v>0</v>
      </c>
      <c r="H2854" s="22" t="str">
        <f aca="false">IF(AND(ISNUMBER(F2854),ISNUMBER(G2854)),IF(SIGN(D2854-E2854)=SIGN(F2854-G2854),48,0),"")</f>
        <v/>
      </c>
      <c r="I2854" s="22" t="str">
        <f aca="false">IF(AND(ISNUMBER(F2854),ISNUMBER(G2854)),IF(D2854=F2854,15,0),"")</f>
        <v/>
      </c>
      <c r="J2854" s="22" t="str">
        <f aca="false">IF(AND(ISNUMBER(F2854),ISNUMBER(G2854)),IF(E2854=G2854,15,0),"")</f>
        <v/>
      </c>
      <c r="K2854" s="22" t="str">
        <f aca="false">IF(AND(ISNUMBER(F2854),ISNUMBER(G2854)),IF(ABS(D2854-E2854)=ABS(F2854-G2854),12,0),"")</f>
        <v/>
      </c>
      <c r="L2854" s="23" t="str">
        <f aca="false">IF(ISNUMBER(H2854),H2854+I2854+J2854+K2854,"")</f>
        <v/>
      </c>
    </row>
    <row r="2855" customFormat="false" ht="18" hidden="false" customHeight="true" outlineLevel="0" collapsed="false">
      <c r="A2855" s="17" t="s">
        <v>9</v>
      </c>
      <c r="B2855" s="18" t="s">
        <v>199</v>
      </c>
      <c r="C2855" s="19" t="s">
        <v>75</v>
      </c>
      <c r="D2855" s="20" t="n">
        <v>2</v>
      </c>
      <c r="E2855" s="20" t="n">
        <v>1</v>
      </c>
      <c r="F2855" s="21" t="n">
        <f aca="false">'📋 Matches'!E23</f>
        <v>0</v>
      </c>
      <c r="G2855" s="21" t="n">
        <f aca="false">'📋 Matches'!F23</f>
        <v>0</v>
      </c>
      <c r="H2855" s="22" t="str">
        <f aca="false">IF(AND(ISNUMBER(F2855),ISNUMBER(G2855)),IF(SIGN(D2855-E2855)=SIGN(F2855-G2855),48,0),"")</f>
        <v/>
      </c>
      <c r="I2855" s="22" t="str">
        <f aca="false">IF(AND(ISNUMBER(F2855),ISNUMBER(G2855)),IF(D2855=F2855,15,0),"")</f>
        <v/>
      </c>
      <c r="J2855" s="22" t="str">
        <f aca="false">IF(AND(ISNUMBER(F2855),ISNUMBER(G2855)),IF(E2855=G2855,15,0),"")</f>
        <v/>
      </c>
      <c r="K2855" s="22" t="str">
        <f aca="false">IF(AND(ISNUMBER(F2855),ISNUMBER(G2855)),IF(ABS(D2855-E2855)=ABS(F2855-G2855),12,0),"")</f>
        <v/>
      </c>
      <c r="L2855" s="23" t="str">
        <f aca="false">IF(ISNUMBER(H2855),H2855+I2855+J2855+K2855,"")</f>
        <v/>
      </c>
    </row>
    <row r="2856" customFormat="false" ht="18" hidden="false" customHeight="true" outlineLevel="0" collapsed="false">
      <c r="A2856" s="17" t="s">
        <v>9</v>
      </c>
      <c r="B2856" s="18" t="s">
        <v>199</v>
      </c>
      <c r="C2856" s="19" t="s">
        <v>78</v>
      </c>
      <c r="D2856" s="20" t="n">
        <v>1</v>
      </c>
      <c r="E2856" s="20" t="n">
        <v>1</v>
      </c>
      <c r="F2856" s="21" t="n">
        <f aca="false">'📋 Matches'!E24</f>
        <v>0</v>
      </c>
      <c r="G2856" s="21" t="n">
        <f aca="false">'📋 Matches'!F24</f>
        <v>0</v>
      </c>
      <c r="H2856" s="22" t="str">
        <f aca="false">IF(AND(ISNUMBER(F2856),ISNUMBER(G2856)),IF(SIGN(D2856-E2856)=SIGN(F2856-G2856),48,0),"")</f>
        <v/>
      </c>
      <c r="I2856" s="22" t="str">
        <f aca="false">IF(AND(ISNUMBER(F2856),ISNUMBER(G2856)),IF(D2856=F2856,15,0),"")</f>
        <v/>
      </c>
      <c r="J2856" s="22" t="str">
        <f aca="false">IF(AND(ISNUMBER(F2856),ISNUMBER(G2856)),IF(E2856=G2856,15,0),"")</f>
        <v/>
      </c>
      <c r="K2856" s="22" t="str">
        <f aca="false">IF(AND(ISNUMBER(F2856),ISNUMBER(G2856)),IF(ABS(D2856-E2856)=ABS(F2856-G2856),12,0),"")</f>
        <v/>
      </c>
      <c r="L2856" s="23" t="str">
        <f aca="false">IF(ISNUMBER(H2856),H2856+I2856+J2856+K2856,"")</f>
        <v/>
      </c>
    </row>
    <row r="2857" customFormat="false" ht="18" hidden="false" customHeight="true" outlineLevel="0" collapsed="false">
      <c r="A2857" s="17" t="s">
        <v>9</v>
      </c>
      <c r="B2857" s="18" t="s">
        <v>199</v>
      </c>
      <c r="C2857" s="19" t="s">
        <v>81</v>
      </c>
      <c r="D2857" s="20" t="n">
        <v>1</v>
      </c>
      <c r="E2857" s="20" t="n">
        <v>1</v>
      </c>
      <c r="F2857" s="21" t="n">
        <f aca="false">'📋 Matches'!E25</f>
        <v>0</v>
      </c>
      <c r="G2857" s="21" t="n">
        <f aca="false">'📋 Matches'!F25</f>
        <v>0</v>
      </c>
      <c r="H2857" s="22" t="str">
        <f aca="false">IF(AND(ISNUMBER(F2857),ISNUMBER(G2857)),IF(SIGN(D2857-E2857)=SIGN(F2857-G2857),48,0),"")</f>
        <v/>
      </c>
      <c r="I2857" s="22" t="str">
        <f aca="false">IF(AND(ISNUMBER(F2857),ISNUMBER(G2857)),IF(D2857=F2857,15,0),"")</f>
        <v/>
      </c>
      <c r="J2857" s="22" t="str">
        <f aca="false">IF(AND(ISNUMBER(F2857),ISNUMBER(G2857)),IF(E2857=G2857,15,0),"")</f>
        <v/>
      </c>
      <c r="K2857" s="22" t="str">
        <f aca="false">IF(AND(ISNUMBER(F2857),ISNUMBER(G2857)),IF(ABS(D2857-E2857)=ABS(F2857-G2857),12,0),"")</f>
        <v/>
      </c>
      <c r="L2857" s="23" t="str">
        <f aca="false">IF(ISNUMBER(H2857),H2857+I2857+J2857+K2857,"")</f>
        <v/>
      </c>
    </row>
    <row r="2858" customFormat="false" ht="18" hidden="false" customHeight="true" outlineLevel="0" collapsed="false">
      <c r="A2858" s="25" t="s">
        <v>9</v>
      </c>
      <c r="B2858" s="26" t="s">
        <v>200</v>
      </c>
      <c r="C2858" s="27" t="s">
        <v>10</v>
      </c>
      <c r="D2858" s="28" t="n">
        <v>2</v>
      </c>
      <c r="E2858" s="28" t="n">
        <v>1</v>
      </c>
      <c r="F2858" s="29" t="n">
        <f aca="false">'📋 Matches'!E2</f>
        <v>2</v>
      </c>
      <c r="G2858" s="29" t="n">
        <f aca="false">'📋 Matches'!F2</f>
        <v>0</v>
      </c>
      <c r="H2858" s="22" t="n">
        <f aca="false">IF(AND(ISNUMBER(F2858),ISNUMBER(G2858)),IF(SIGN(D2858-E2858)=SIGN(F2858-G2858),48,0),"")</f>
        <v>48</v>
      </c>
      <c r="I2858" s="22" t="n">
        <f aca="false">IF(AND(ISNUMBER(F2858),ISNUMBER(G2858)),IF(D2858=F2858,15,0),"")</f>
        <v>15</v>
      </c>
      <c r="J2858" s="22" t="n">
        <f aca="false">IF(AND(ISNUMBER(F2858),ISNUMBER(G2858)),IF(E2858=G2858,15,0),"")</f>
        <v>0</v>
      </c>
      <c r="K2858" s="22" t="n">
        <f aca="false">IF(AND(ISNUMBER(F2858),ISNUMBER(G2858)),IF(ABS(D2858-E2858)=ABS(F2858-G2858),12,0),"")</f>
        <v>0</v>
      </c>
      <c r="L2858" s="23" t="n">
        <f aca="false">IF(ISNUMBER(H2858),H2858+I2858+J2858+K2858,"")</f>
        <v>63</v>
      </c>
    </row>
    <row r="2859" customFormat="false" ht="18" hidden="false" customHeight="true" outlineLevel="0" collapsed="false">
      <c r="A2859" s="25" t="s">
        <v>9</v>
      </c>
      <c r="B2859" s="26" t="s">
        <v>200</v>
      </c>
      <c r="C2859" s="27" t="s">
        <v>14</v>
      </c>
      <c r="D2859" s="28" t="n">
        <v>2</v>
      </c>
      <c r="E2859" s="28" t="n">
        <v>0</v>
      </c>
      <c r="F2859" s="29" t="n">
        <f aca="false">'📋 Matches'!E3</f>
        <v>2</v>
      </c>
      <c r="G2859" s="29" t="n">
        <f aca="false">'📋 Matches'!F3</f>
        <v>1</v>
      </c>
      <c r="H2859" s="22" t="n">
        <f aca="false">IF(AND(ISNUMBER(F2859),ISNUMBER(G2859)),IF(SIGN(D2859-E2859)=SIGN(F2859-G2859),48,0),"")</f>
        <v>48</v>
      </c>
      <c r="I2859" s="22" t="n">
        <f aca="false">IF(AND(ISNUMBER(F2859),ISNUMBER(G2859)),IF(D2859=F2859,15,0),"")</f>
        <v>15</v>
      </c>
      <c r="J2859" s="22" t="n">
        <f aca="false">IF(AND(ISNUMBER(F2859),ISNUMBER(G2859)),IF(E2859=G2859,15,0),"")</f>
        <v>0</v>
      </c>
      <c r="K2859" s="22" t="n">
        <f aca="false">IF(AND(ISNUMBER(F2859),ISNUMBER(G2859)),IF(ABS(D2859-E2859)=ABS(F2859-G2859),12,0),"")</f>
        <v>0</v>
      </c>
      <c r="L2859" s="23" t="n">
        <f aca="false">IF(ISNUMBER(H2859),H2859+I2859+J2859+K2859,"")</f>
        <v>63</v>
      </c>
    </row>
    <row r="2860" customFormat="false" ht="18" hidden="false" customHeight="true" outlineLevel="0" collapsed="false">
      <c r="A2860" s="25" t="s">
        <v>9</v>
      </c>
      <c r="B2860" s="26" t="s">
        <v>200</v>
      </c>
      <c r="C2860" s="27" t="s">
        <v>17</v>
      </c>
      <c r="D2860" s="28" t="n">
        <v>1</v>
      </c>
      <c r="E2860" s="28" t="n">
        <v>1</v>
      </c>
      <c r="F2860" s="29" t="n">
        <f aca="false">'📋 Matches'!E4</f>
        <v>1</v>
      </c>
      <c r="G2860" s="29" t="n">
        <f aca="false">'📋 Matches'!F4</f>
        <v>1</v>
      </c>
      <c r="H2860" s="22" t="n">
        <f aca="false">IF(AND(ISNUMBER(F2860),ISNUMBER(G2860)),IF(SIGN(D2860-E2860)=SIGN(F2860-G2860),48,0),"")</f>
        <v>48</v>
      </c>
      <c r="I2860" s="22" t="n">
        <f aca="false">IF(AND(ISNUMBER(F2860),ISNUMBER(G2860)),IF(D2860=F2860,15,0),"")</f>
        <v>15</v>
      </c>
      <c r="J2860" s="22" t="n">
        <f aca="false">IF(AND(ISNUMBER(F2860),ISNUMBER(G2860)),IF(E2860=G2860,15,0),"")</f>
        <v>15</v>
      </c>
      <c r="K2860" s="22" t="n">
        <f aca="false">IF(AND(ISNUMBER(F2860),ISNUMBER(G2860)),IF(ABS(D2860-E2860)=ABS(F2860-G2860),12,0),"")</f>
        <v>12</v>
      </c>
      <c r="L2860" s="23" t="n">
        <f aca="false">IF(ISNUMBER(H2860),H2860+I2860+J2860+K2860,"")</f>
        <v>90</v>
      </c>
    </row>
    <row r="2861" customFormat="false" ht="18" hidden="false" customHeight="true" outlineLevel="0" collapsed="false">
      <c r="A2861" s="25" t="s">
        <v>9</v>
      </c>
      <c r="B2861" s="26" t="s">
        <v>200</v>
      </c>
      <c r="C2861" s="27" t="s">
        <v>20</v>
      </c>
      <c r="D2861" s="28" t="n">
        <v>2</v>
      </c>
      <c r="E2861" s="28" t="n">
        <v>1</v>
      </c>
      <c r="F2861" s="29" t="n">
        <f aca="false">'📋 Matches'!E5</f>
        <v>4</v>
      </c>
      <c r="G2861" s="29" t="n">
        <f aca="false">'📋 Matches'!F5</f>
        <v>1</v>
      </c>
      <c r="H2861" s="22" t="n">
        <f aca="false">IF(AND(ISNUMBER(F2861),ISNUMBER(G2861)),IF(SIGN(D2861-E2861)=SIGN(F2861-G2861),48,0),"")</f>
        <v>48</v>
      </c>
      <c r="I2861" s="22" t="n">
        <f aca="false">IF(AND(ISNUMBER(F2861),ISNUMBER(G2861)),IF(D2861=F2861,15,0),"")</f>
        <v>0</v>
      </c>
      <c r="J2861" s="22" t="n">
        <f aca="false">IF(AND(ISNUMBER(F2861),ISNUMBER(G2861)),IF(E2861=G2861,15,0),"")</f>
        <v>15</v>
      </c>
      <c r="K2861" s="22" t="n">
        <f aca="false">IF(AND(ISNUMBER(F2861),ISNUMBER(G2861)),IF(ABS(D2861-E2861)=ABS(F2861-G2861),12,0),"")</f>
        <v>0</v>
      </c>
      <c r="L2861" s="23" t="n">
        <f aca="false">IF(ISNUMBER(H2861),H2861+I2861+J2861+K2861,"")</f>
        <v>63</v>
      </c>
    </row>
    <row r="2862" customFormat="false" ht="18" hidden="false" customHeight="true" outlineLevel="0" collapsed="false">
      <c r="A2862" s="25" t="s">
        <v>9</v>
      </c>
      <c r="B2862" s="26" t="s">
        <v>200</v>
      </c>
      <c r="C2862" s="27" t="s">
        <v>23</v>
      </c>
      <c r="D2862" s="28" t="n">
        <v>1</v>
      </c>
      <c r="E2862" s="28" t="n">
        <v>2</v>
      </c>
      <c r="F2862" s="29" t="n">
        <f aca="false">'📋 Matches'!E6</f>
        <v>0</v>
      </c>
      <c r="G2862" s="29" t="n">
        <f aca="false">'📋 Matches'!F6</f>
        <v>0</v>
      </c>
      <c r="H2862" s="22" t="str">
        <f aca="false">IF(AND(ISNUMBER(F2862),ISNUMBER(G2862)),IF(SIGN(D2862-E2862)=SIGN(F2862-G2862),48,0),"")</f>
        <v/>
      </c>
      <c r="I2862" s="22" t="str">
        <f aca="false">IF(AND(ISNUMBER(F2862),ISNUMBER(G2862)),IF(D2862=F2862,15,0),"")</f>
        <v/>
      </c>
      <c r="J2862" s="22" t="str">
        <f aca="false">IF(AND(ISNUMBER(F2862),ISNUMBER(G2862)),IF(E2862=G2862,15,0),"")</f>
        <v/>
      </c>
      <c r="K2862" s="22" t="str">
        <f aca="false">IF(AND(ISNUMBER(F2862),ISNUMBER(G2862)),IF(ABS(D2862-E2862)=ABS(F2862-G2862),12,0),"")</f>
        <v/>
      </c>
      <c r="L2862" s="23" t="str">
        <f aca="false">IF(ISNUMBER(H2862),H2862+I2862+J2862+K2862,"")</f>
        <v/>
      </c>
    </row>
    <row r="2863" customFormat="false" ht="18" hidden="false" customHeight="true" outlineLevel="0" collapsed="false">
      <c r="A2863" s="25" t="s">
        <v>9</v>
      </c>
      <c r="B2863" s="26" t="s">
        <v>200</v>
      </c>
      <c r="C2863" s="27" t="s">
        <v>27</v>
      </c>
      <c r="D2863" s="28" t="n">
        <v>3</v>
      </c>
      <c r="E2863" s="28" t="n">
        <v>0</v>
      </c>
      <c r="F2863" s="29" t="n">
        <f aca="false">'📋 Matches'!E7</f>
        <v>0</v>
      </c>
      <c r="G2863" s="29" t="n">
        <f aca="false">'📋 Matches'!F7</f>
        <v>0</v>
      </c>
      <c r="H2863" s="22" t="str">
        <f aca="false">IF(AND(ISNUMBER(F2863),ISNUMBER(G2863)),IF(SIGN(D2863-E2863)=SIGN(F2863-G2863),48,0),"")</f>
        <v/>
      </c>
      <c r="I2863" s="22" t="str">
        <f aca="false">IF(AND(ISNUMBER(F2863),ISNUMBER(G2863)),IF(D2863=F2863,15,0),"")</f>
        <v/>
      </c>
      <c r="J2863" s="22" t="str">
        <f aca="false">IF(AND(ISNUMBER(F2863),ISNUMBER(G2863)),IF(E2863=G2863,15,0),"")</f>
        <v/>
      </c>
      <c r="K2863" s="22" t="str">
        <f aca="false">IF(AND(ISNUMBER(F2863),ISNUMBER(G2863)),IF(ABS(D2863-E2863)=ABS(F2863-G2863),12,0),"")</f>
        <v/>
      </c>
      <c r="L2863" s="23" t="str">
        <f aca="false">IF(ISNUMBER(H2863),H2863+I2863+J2863+K2863,"")</f>
        <v/>
      </c>
    </row>
    <row r="2864" customFormat="false" ht="18" hidden="false" customHeight="true" outlineLevel="0" collapsed="false">
      <c r="A2864" s="25" t="s">
        <v>9</v>
      </c>
      <c r="B2864" s="26" t="s">
        <v>200</v>
      </c>
      <c r="C2864" s="27" t="s">
        <v>30</v>
      </c>
      <c r="D2864" s="28" t="n">
        <v>1</v>
      </c>
      <c r="E2864" s="28" t="n">
        <v>1</v>
      </c>
      <c r="F2864" s="29" t="n">
        <f aca="false">'📋 Matches'!E8</f>
        <v>0</v>
      </c>
      <c r="G2864" s="29" t="n">
        <f aca="false">'📋 Matches'!F8</f>
        <v>0</v>
      </c>
      <c r="H2864" s="22" t="str">
        <f aca="false">IF(AND(ISNUMBER(F2864),ISNUMBER(G2864)),IF(SIGN(D2864-E2864)=SIGN(F2864-G2864),48,0),"")</f>
        <v/>
      </c>
      <c r="I2864" s="22" t="str">
        <f aca="false">IF(AND(ISNUMBER(F2864),ISNUMBER(G2864)),IF(D2864=F2864,15,0),"")</f>
        <v/>
      </c>
      <c r="J2864" s="22" t="str">
        <f aca="false">IF(AND(ISNUMBER(F2864),ISNUMBER(G2864)),IF(E2864=G2864,15,0),"")</f>
        <v/>
      </c>
      <c r="K2864" s="22" t="str">
        <f aca="false">IF(AND(ISNUMBER(F2864),ISNUMBER(G2864)),IF(ABS(D2864-E2864)=ABS(F2864-G2864),12,0),"")</f>
        <v/>
      </c>
      <c r="L2864" s="23" t="str">
        <f aca="false">IF(ISNUMBER(H2864),H2864+I2864+J2864+K2864,"")</f>
        <v/>
      </c>
    </row>
    <row r="2865" customFormat="false" ht="18" hidden="false" customHeight="true" outlineLevel="0" collapsed="false">
      <c r="A2865" s="25" t="s">
        <v>9</v>
      </c>
      <c r="B2865" s="26" t="s">
        <v>200</v>
      </c>
      <c r="C2865" s="27" t="s">
        <v>33</v>
      </c>
      <c r="D2865" s="28" t="n">
        <v>1</v>
      </c>
      <c r="E2865" s="28" t="n">
        <v>2</v>
      </c>
      <c r="F2865" s="29" t="n">
        <f aca="false">'📋 Matches'!E9</f>
        <v>0</v>
      </c>
      <c r="G2865" s="29" t="n">
        <f aca="false">'📋 Matches'!F9</f>
        <v>0</v>
      </c>
      <c r="H2865" s="22" t="str">
        <f aca="false">IF(AND(ISNUMBER(F2865),ISNUMBER(G2865)),IF(SIGN(D2865-E2865)=SIGN(F2865-G2865),48,0),"")</f>
        <v/>
      </c>
      <c r="I2865" s="22" t="str">
        <f aca="false">IF(AND(ISNUMBER(F2865),ISNUMBER(G2865)),IF(D2865=F2865,15,0),"")</f>
        <v/>
      </c>
      <c r="J2865" s="22" t="str">
        <f aca="false">IF(AND(ISNUMBER(F2865),ISNUMBER(G2865)),IF(E2865=G2865,15,0),"")</f>
        <v/>
      </c>
      <c r="K2865" s="22" t="str">
        <f aca="false">IF(AND(ISNUMBER(F2865),ISNUMBER(G2865)),IF(ABS(D2865-E2865)=ABS(F2865-G2865),12,0),"")</f>
        <v/>
      </c>
      <c r="L2865" s="23" t="str">
        <f aca="false">IF(ISNUMBER(H2865),H2865+I2865+J2865+K2865,"")</f>
        <v/>
      </c>
    </row>
    <row r="2866" customFormat="false" ht="18" hidden="false" customHeight="true" outlineLevel="0" collapsed="false">
      <c r="A2866" s="25" t="s">
        <v>9</v>
      </c>
      <c r="B2866" s="26" t="s">
        <v>200</v>
      </c>
      <c r="C2866" s="27" t="s">
        <v>36</v>
      </c>
      <c r="D2866" s="28" t="n">
        <v>4</v>
      </c>
      <c r="E2866" s="28" t="n">
        <v>0</v>
      </c>
      <c r="F2866" s="29" t="n">
        <f aca="false">'📋 Matches'!E10</f>
        <v>0</v>
      </c>
      <c r="G2866" s="29" t="n">
        <f aca="false">'📋 Matches'!F10</f>
        <v>0</v>
      </c>
      <c r="H2866" s="22" t="str">
        <f aca="false">IF(AND(ISNUMBER(F2866),ISNUMBER(G2866)),IF(SIGN(D2866-E2866)=SIGN(F2866-G2866),48,0),"")</f>
        <v/>
      </c>
      <c r="I2866" s="22" t="str">
        <f aca="false">IF(AND(ISNUMBER(F2866),ISNUMBER(G2866)),IF(D2866=F2866,15,0),"")</f>
        <v/>
      </c>
      <c r="J2866" s="22" t="str">
        <f aca="false">IF(AND(ISNUMBER(F2866),ISNUMBER(G2866)),IF(E2866=G2866,15,0),"")</f>
        <v/>
      </c>
      <c r="K2866" s="22" t="str">
        <f aca="false">IF(AND(ISNUMBER(F2866),ISNUMBER(G2866)),IF(ABS(D2866-E2866)=ABS(F2866-G2866),12,0),"")</f>
        <v/>
      </c>
      <c r="L2866" s="23" t="str">
        <f aca="false">IF(ISNUMBER(H2866),H2866+I2866+J2866+K2866,"")</f>
        <v/>
      </c>
    </row>
    <row r="2867" customFormat="false" ht="18" hidden="false" customHeight="true" outlineLevel="0" collapsed="false">
      <c r="A2867" s="25" t="s">
        <v>9</v>
      </c>
      <c r="B2867" s="26" t="s">
        <v>200</v>
      </c>
      <c r="C2867" s="27" t="s">
        <v>39</v>
      </c>
      <c r="D2867" s="28" t="n">
        <v>2</v>
      </c>
      <c r="E2867" s="28" t="n">
        <v>1</v>
      </c>
      <c r="F2867" s="29" t="n">
        <f aca="false">'📋 Matches'!E11</f>
        <v>0</v>
      </c>
      <c r="G2867" s="29" t="n">
        <f aca="false">'📋 Matches'!F11</f>
        <v>0</v>
      </c>
      <c r="H2867" s="22" t="str">
        <f aca="false">IF(AND(ISNUMBER(F2867),ISNUMBER(G2867)),IF(SIGN(D2867-E2867)=SIGN(F2867-G2867),48,0),"")</f>
        <v/>
      </c>
      <c r="I2867" s="22" t="str">
        <f aca="false">IF(AND(ISNUMBER(F2867),ISNUMBER(G2867)),IF(D2867=F2867,15,0),"")</f>
        <v/>
      </c>
      <c r="J2867" s="22" t="str">
        <f aca="false">IF(AND(ISNUMBER(F2867),ISNUMBER(G2867)),IF(E2867=G2867,15,0),"")</f>
        <v/>
      </c>
      <c r="K2867" s="22" t="str">
        <f aca="false">IF(AND(ISNUMBER(F2867),ISNUMBER(G2867)),IF(ABS(D2867-E2867)=ABS(F2867-G2867),12,0),"")</f>
        <v/>
      </c>
      <c r="L2867" s="23" t="str">
        <f aca="false">IF(ISNUMBER(H2867),H2867+I2867+J2867+K2867,"")</f>
        <v/>
      </c>
    </row>
    <row r="2868" customFormat="false" ht="18" hidden="false" customHeight="true" outlineLevel="0" collapsed="false">
      <c r="A2868" s="25" t="s">
        <v>9</v>
      </c>
      <c r="B2868" s="26" t="s">
        <v>200</v>
      </c>
      <c r="C2868" s="27" t="s">
        <v>42</v>
      </c>
      <c r="D2868" s="28" t="n">
        <v>1</v>
      </c>
      <c r="E2868" s="28" t="n">
        <v>2</v>
      </c>
      <c r="F2868" s="29" t="n">
        <f aca="false">'📋 Matches'!E12</f>
        <v>0</v>
      </c>
      <c r="G2868" s="29" t="n">
        <f aca="false">'📋 Matches'!F12</f>
        <v>0</v>
      </c>
      <c r="H2868" s="22" t="str">
        <f aca="false">IF(AND(ISNUMBER(F2868),ISNUMBER(G2868)),IF(SIGN(D2868-E2868)=SIGN(F2868-G2868),48,0),"")</f>
        <v/>
      </c>
      <c r="I2868" s="22" t="str">
        <f aca="false">IF(AND(ISNUMBER(F2868),ISNUMBER(G2868)),IF(D2868=F2868,15,0),"")</f>
        <v/>
      </c>
      <c r="J2868" s="22" t="str">
        <f aca="false">IF(AND(ISNUMBER(F2868),ISNUMBER(G2868)),IF(E2868=G2868,15,0),"")</f>
        <v/>
      </c>
      <c r="K2868" s="22" t="str">
        <f aca="false">IF(AND(ISNUMBER(F2868),ISNUMBER(G2868)),IF(ABS(D2868-E2868)=ABS(F2868-G2868),12,0),"")</f>
        <v/>
      </c>
      <c r="L2868" s="23" t="str">
        <f aca="false">IF(ISNUMBER(H2868),H2868+I2868+J2868+K2868,"")</f>
        <v/>
      </c>
    </row>
    <row r="2869" customFormat="false" ht="18" hidden="false" customHeight="true" outlineLevel="0" collapsed="false">
      <c r="A2869" s="25" t="s">
        <v>9</v>
      </c>
      <c r="B2869" s="26" t="s">
        <v>200</v>
      </c>
      <c r="C2869" s="27" t="s">
        <v>45</v>
      </c>
      <c r="D2869" s="28" t="n">
        <v>1</v>
      </c>
      <c r="E2869" s="28" t="n">
        <v>1</v>
      </c>
      <c r="F2869" s="29" t="n">
        <f aca="false">'📋 Matches'!E13</f>
        <v>0</v>
      </c>
      <c r="G2869" s="29" t="n">
        <f aca="false">'📋 Matches'!F13</f>
        <v>0</v>
      </c>
      <c r="H2869" s="22" t="str">
        <f aca="false">IF(AND(ISNUMBER(F2869),ISNUMBER(G2869)),IF(SIGN(D2869-E2869)=SIGN(F2869-G2869),48,0),"")</f>
        <v/>
      </c>
      <c r="I2869" s="22" t="str">
        <f aca="false">IF(AND(ISNUMBER(F2869),ISNUMBER(G2869)),IF(D2869=F2869,15,0),"")</f>
        <v/>
      </c>
      <c r="J2869" s="22" t="str">
        <f aca="false">IF(AND(ISNUMBER(F2869),ISNUMBER(G2869)),IF(E2869=G2869,15,0),"")</f>
        <v/>
      </c>
      <c r="K2869" s="22" t="str">
        <f aca="false">IF(AND(ISNUMBER(F2869),ISNUMBER(G2869)),IF(ABS(D2869-E2869)=ABS(F2869-G2869),12,0),"")</f>
        <v/>
      </c>
      <c r="L2869" s="23" t="str">
        <f aca="false">IF(ISNUMBER(H2869),H2869+I2869+J2869+K2869,"")</f>
        <v/>
      </c>
    </row>
    <row r="2870" customFormat="false" ht="18" hidden="false" customHeight="true" outlineLevel="0" collapsed="false">
      <c r="A2870" s="25" t="s">
        <v>9</v>
      </c>
      <c r="B2870" s="26" t="s">
        <v>200</v>
      </c>
      <c r="C2870" s="27" t="s">
        <v>48</v>
      </c>
      <c r="D2870" s="28" t="n">
        <v>2</v>
      </c>
      <c r="E2870" s="28" t="n">
        <v>0</v>
      </c>
      <c r="F2870" s="29" t="n">
        <f aca="false">'📋 Matches'!E14</f>
        <v>0</v>
      </c>
      <c r="G2870" s="29" t="n">
        <f aca="false">'📋 Matches'!F14</f>
        <v>0</v>
      </c>
      <c r="H2870" s="22" t="str">
        <f aca="false">IF(AND(ISNUMBER(F2870),ISNUMBER(G2870)),IF(SIGN(D2870-E2870)=SIGN(F2870-G2870),48,0),"")</f>
        <v/>
      </c>
      <c r="I2870" s="22" t="str">
        <f aca="false">IF(AND(ISNUMBER(F2870),ISNUMBER(G2870)),IF(D2870=F2870,15,0),"")</f>
        <v/>
      </c>
      <c r="J2870" s="22" t="str">
        <f aca="false">IF(AND(ISNUMBER(F2870),ISNUMBER(G2870)),IF(E2870=G2870,15,0),"")</f>
        <v/>
      </c>
      <c r="K2870" s="22" t="str">
        <f aca="false">IF(AND(ISNUMBER(F2870),ISNUMBER(G2870)),IF(ABS(D2870-E2870)=ABS(F2870-G2870),12,0),"")</f>
        <v/>
      </c>
      <c r="L2870" s="23" t="str">
        <f aca="false">IF(ISNUMBER(H2870),H2870+I2870+J2870+K2870,"")</f>
        <v/>
      </c>
    </row>
    <row r="2871" customFormat="false" ht="18" hidden="false" customHeight="true" outlineLevel="0" collapsed="false">
      <c r="A2871" s="25" t="s">
        <v>9</v>
      </c>
      <c r="B2871" s="26" t="s">
        <v>200</v>
      </c>
      <c r="C2871" s="27" t="s">
        <v>51</v>
      </c>
      <c r="D2871" s="28" t="n">
        <v>1</v>
      </c>
      <c r="E2871" s="28" t="n">
        <v>2</v>
      </c>
      <c r="F2871" s="29" t="n">
        <f aca="false">'📋 Matches'!E15</f>
        <v>0</v>
      </c>
      <c r="G2871" s="29" t="n">
        <f aca="false">'📋 Matches'!F15</f>
        <v>0</v>
      </c>
      <c r="H2871" s="22" t="str">
        <f aca="false">IF(AND(ISNUMBER(F2871),ISNUMBER(G2871)),IF(SIGN(D2871-E2871)=SIGN(F2871-G2871),48,0),"")</f>
        <v/>
      </c>
      <c r="I2871" s="22" t="str">
        <f aca="false">IF(AND(ISNUMBER(F2871),ISNUMBER(G2871)),IF(D2871=F2871,15,0),"")</f>
        <v/>
      </c>
      <c r="J2871" s="22" t="str">
        <f aca="false">IF(AND(ISNUMBER(F2871),ISNUMBER(G2871)),IF(E2871=G2871,15,0),"")</f>
        <v/>
      </c>
      <c r="K2871" s="22" t="str">
        <f aca="false">IF(AND(ISNUMBER(F2871),ISNUMBER(G2871)),IF(ABS(D2871-E2871)=ABS(F2871-G2871),12,0),"")</f>
        <v/>
      </c>
      <c r="L2871" s="23" t="str">
        <f aca="false">IF(ISNUMBER(H2871),H2871+I2871+J2871+K2871,"")</f>
        <v/>
      </c>
    </row>
    <row r="2872" customFormat="false" ht="18" hidden="false" customHeight="true" outlineLevel="0" collapsed="false">
      <c r="A2872" s="25" t="s">
        <v>9</v>
      </c>
      <c r="B2872" s="26" t="s">
        <v>200</v>
      </c>
      <c r="C2872" s="27" t="s">
        <v>54</v>
      </c>
      <c r="D2872" s="28" t="n">
        <v>2</v>
      </c>
      <c r="E2872" s="28" t="n">
        <v>2</v>
      </c>
      <c r="F2872" s="29" t="n">
        <f aca="false">'📋 Matches'!E16</f>
        <v>0</v>
      </c>
      <c r="G2872" s="29" t="n">
        <f aca="false">'📋 Matches'!F16</f>
        <v>0</v>
      </c>
      <c r="H2872" s="22" t="str">
        <f aca="false">IF(AND(ISNUMBER(F2872),ISNUMBER(G2872)),IF(SIGN(D2872-E2872)=SIGN(F2872-G2872),48,0),"")</f>
        <v/>
      </c>
      <c r="I2872" s="22" t="str">
        <f aca="false">IF(AND(ISNUMBER(F2872),ISNUMBER(G2872)),IF(D2872=F2872,15,0),"")</f>
        <v/>
      </c>
      <c r="J2872" s="22" t="str">
        <f aca="false">IF(AND(ISNUMBER(F2872),ISNUMBER(G2872)),IF(E2872=G2872,15,0),"")</f>
        <v/>
      </c>
      <c r="K2872" s="22" t="str">
        <f aca="false">IF(AND(ISNUMBER(F2872),ISNUMBER(G2872)),IF(ABS(D2872-E2872)=ABS(F2872-G2872),12,0),"")</f>
        <v/>
      </c>
      <c r="L2872" s="23" t="str">
        <f aca="false">IF(ISNUMBER(H2872),H2872+I2872+J2872+K2872,"")</f>
        <v/>
      </c>
    </row>
    <row r="2873" customFormat="false" ht="18" hidden="false" customHeight="true" outlineLevel="0" collapsed="false">
      <c r="A2873" s="25" t="s">
        <v>9</v>
      </c>
      <c r="B2873" s="26" t="s">
        <v>200</v>
      </c>
      <c r="C2873" s="27" t="s">
        <v>57</v>
      </c>
      <c r="D2873" s="28" t="n">
        <v>1</v>
      </c>
      <c r="E2873" s="28" t="n">
        <v>2</v>
      </c>
      <c r="F2873" s="29" t="n">
        <f aca="false">'📋 Matches'!E17</f>
        <v>0</v>
      </c>
      <c r="G2873" s="29" t="n">
        <f aca="false">'📋 Matches'!F17</f>
        <v>0</v>
      </c>
      <c r="H2873" s="22" t="str">
        <f aca="false">IF(AND(ISNUMBER(F2873),ISNUMBER(G2873)),IF(SIGN(D2873-E2873)=SIGN(F2873-G2873),48,0),"")</f>
        <v/>
      </c>
      <c r="I2873" s="22" t="str">
        <f aca="false">IF(AND(ISNUMBER(F2873),ISNUMBER(G2873)),IF(D2873=F2873,15,0),"")</f>
        <v/>
      </c>
      <c r="J2873" s="22" t="str">
        <f aca="false">IF(AND(ISNUMBER(F2873),ISNUMBER(G2873)),IF(E2873=G2873,15,0),"")</f>
        <v/>
      </c>
      <c r="K2873" s="22" t="str">
        <f aca="false">IF(AND(ISNUMBER(F2873),ISNUMBER(G2873)),IF(ABS(D2873-E2873)=ABS(F2873-G2873),12,0),"")</f>
        <v/>
      </c>
      <c r="L2873" s="23" t="str">
        <f aca="false">IF(ISNUMBER(H2873),H2873+I2873+J2873+K2873,"")</f>
        <v/>
      </c>
    </row>
    <row r="2874" customFormat="false" ht="18" hidden="false" customHeight="true" outlineLevel="0" collapsed="false">
      <c r="A2874" s="25" t="s">
        <v>9</v>
      </c>
      <c r="B2874" s="26" t="s">
        <v>200</v>
      </c>
      <c r="C2874" s="27" t="s">
        <v>60</v>
      </c>
      <c r="D2874" s="28" t="n">
        <v>2</v>
      </c>
      <c r="E2874" s="28" t="n">
        <v>1</v>
      </c>
      <c r="F2874" s="29" t="n">
        <f aca="false">'📋 Matches'!E18</f>
        <v>0</v>
      </c>
      <c r="G2874" s="29" t="n">
        <f aca="false">'📋 Matches'!F18</f>
        <v>0</v>
      </c>
      <c r="H2874" s="22" t="str">
        <f aca="false">IF(AND(ISNUMBER(F2874),ISNUMBER(G2874)),IF(SIGN(D2874-E2874)=SIGN(F2874-G2874),48,0),"")</f>
        <v/>
      </c>
      <c r="I2874" s="22" t="str">
        <f aca="false">IF(AND(ISNUMBER(F2874),ISNUMBER(G2874)),IF(D2874=F2874,15,0),"")</f>
        <v/>
      </c>
      <c r="J2874" s="22" t="str">
        <f aca="false">IF(AND(ISNUMBER(F2874),ISNUMBER(G2874)),IF(E2874=G2874,15,0),"")</f>
        <v/>
      </c>
      <c r="K2874" s="22" t="str">
        <f aca="false">IF(AND(ISNUMBER(F2874),ISNUMBER(G2874)),IF(ABS(D2874-E2874)=ABS(F2874-G2874),12,0),"")</f>
        <v/>
      </c>
      <c r="L2874" s="23" t="str">
        <f aca="false">IF(ISNUMBER(H2874),H2874+I2874+J2874+K2874,"")</f>
        <v/>
      </c>
    </row>
    <row r="2875" customFormat="false" ht="18" hidden="false" customHeight="true" outlineLevel="0" collapsed="false">
      <c r="A2875" s="25" t="s">
        <v>9</v>
      </c>
      <c r="B2875" s="26" t="s">
        <v>200</v>
      </c>
      <c r="C2875" s="27" t="s">
        <v>63</v>
      </c>
      <c r="D2875" s="28" t="n">
        <v>1</v>
      </c>
      <c r="E2875" s="28" t="n">
        <v>1</v>
      </c>
      <c r="F2875" s="29" t="n">
        <f aca="false">'📋 Matches'!E19</f>
        <v>0</v>
      </c>
      <c r="G2875" s="29" t="n">
        <f aca="false">'📋 Matches'!F19</f>
        <v>0</v>
      </c>
      <c r="H2875" s="22" t="str">
        <f aca="false">IF(AND(ISNUMBER(F2875),ISNUMBER(G2875)),IF(SIGN(D2875-E2875)=SIGN(F2875-G2875),48,0),"")</f>
        <v/>
      </c>
      <c r="I2875" s="22" t="str">
        <f aca="false">IF(AND(ISNUMBER(F2875),ISNUMBER(G2875)),IF(D2875=F2875,15,0),"")</f>
        <v/>
      </c>
      <c r="J2875" s="22" t="str">
        <f aca="false">IF(AND(ISNUMBER(F2875),ISNUMBER(G2875)),IF(E2875=G2875,15,0),"")</f>
        <v/>
      </c>
      <c r="K2875" s="22" t="str">
        <f aca="false">IF(AND(ISNUMBER(F2875),ISNUMBER(G2875)),IF(ABS(D2875-E2875)=ABS(F2875-G2875),12,0),"")</f>
        <v/>
      </c>
      <c r="L2875" s="23" t="str">
        <f aca="false">IF(ISNUMBER(H2875),H2875+I2875+J2875+K2875,"")</f>
        <v/>
      </c>
    </row>
    <row r="2876" customFormat="false" ht="18" hidden="false" customHeight="true" outlineLevel="0" collapsed="false">
      <c r="A2876" s="25" t="s">
        <v>9</v>
      </c>
      <c r="B2876" s="26" t="s">
        <v>200</v>
      </c>
      <c r="C2876" s="27" t="s">
        <v>66</v>
      </c>
      <c r="D2876" s="28" t="n">
        <v>2</v>
      </c>
      <c r="E2876" s="28" t="n">
        <v>2</v>
      </c>
      <c r="F2876" s="29" t="n">
        <f aca="false">'📋 Matches'!E20</f>
        <v>0</v>
      </c>
      <c r="G2876" s="29" t="n">
        <f aca="false">'📋 Matches'!F20</f>
        <v>0</v>
      </c>
      <c r="H2876" s="22" t="str">
        <f aca="false">IF(AND(ISNUMBER(F2876),ISNUMBER(G2876)),IF(SIGN(D2876-E2876)=SIGN(F2876-G2876),48,0),"")</f>
        <v/>
      </c>
      <c r="I2876" s="22" t="str">
        <f aca="false">IF(AND(ISNUMBER(F2876),ISNUMBER(G2876)),IF(D2876=F2876,15,0),"")</f>
        <v/>
      </c>
      <c r="J2876" s="22" t="str">
        <f aca="false">IF(AND(ISNUMBER(F2876),ISNUMBER(G2876)),IF(E2876=G2876,15,0),"")</f>
        <v/>
      </c>
      <c r="K2876" s="22" t="str">
        <f aca="false">IF(AND(ISNUMBER(F2876),ISNUMBER(G2876)),IF(ABS(D2876-E2876)=ABS(F2876-G2876),12,0),"")</f>
        <v/>
      </c>
      <c r="L2876" s="23" t="str">
        <f aca="false">IF(ISNUMBER(H2876),H2876+I2876+J2876+K2876,"")</f>
        <v/>
      </c>
    </row>
    <row r="2877" customFormat="false" ht="18" hidden="false" customHeight="true" outlineLevel="0" collapsed="false">
      <c r="A2877" s="25" t="s">
        <v>9</v>
      </c>
      <c r="B2877" s="26" t="s">
        <v>200</v>
      </c>
      <c r="C2877" s="27" t="s">
        <v>69</v>
      </c>
      <c r="D2877" s="28" t="n">
        <v>1</v>
      </c>
      <c r="E2877" s="28" t="n">
        <v>2</v>
      </c>
      <c r="F2877" s="29" t="n">
        <f aca="false">'📋 Matches'!E21</f>
        <v>0</v>
      </c>
      <c r="G2877" s="29" t="n">
        <f aca="false">'📋 Matches'!F21</f>
        <v>0</v>
      </c>
      <c r="H2877" s="22" t="str">
        <f aca="false">IF(AND(ISNUMBER(F2877),ISNUMBER(G2877)),IF(SIGN(D2877-E2877)=SIGN(F2877-G2877),48,0),"")</f>
        <v/>
      </c>
      <c r="I2877" s="22" t="str">
        <f aca="false">IF(AND(ISNUMBER(F2877),ISNUMBER(G2877)),IF(D2877=F2877,15,0),"")</f>
        <v/>
      </c>
      <c r="J2877" s="22" t="str">
        <f aca="false">IF(AND(ISNUMBER(F2877),ISNUMBER(G2877)),IF(E2877=G2877,15,0),"")</f>
        <v/>
      </c>
      <c r="K2877" s="22" t="str">
        <f aca="false">IF(AND(ISNUMBER(F2877),ISNUMBER(G2877)),IF(ABS(D2877-E2877)=ABS(F2877-G2877),12,0),"")</f>
        <v/>
      </c>
      <c r="L2877" s="23" t="str">
        <f aca="false">IF(ISNUMBER(H2877),H2877+I2877+J2877+K2877,"")</f>
        <v/>
      </c>
    </row>
    <row r="2878" customFormat="false" ht="18" hidden="false" customHeight="true" outlineLevel="0" collapsed="false">
      <c r="A2878" s="25" t="s">
        <v>9</v>
      </c>
      <c r="B2878" s="26" t="s">
        <v>200</v>
      </c>
      <c r="C2878" s="27" t="s">
        <v>72</v>
      </c>
      <c r="D2878" s="28" t="n">
        <v>2</v>
      </c>
      <c r="E2878" s="28" t="n">
        <v>0</v>
      </c>
      <c r="F2878" s="29" t="n">
        <f aca="false">'📋 Matches'!E22</f>
        <v>0</v>
      </c>
      <c r="G2878" s="29" t="n">
        <f aca="false">'📋 Matches'!F22</f>
        <v>0</v>
      </c>
      <c r="H2878" s="22" t="str">
        <f aca="false">IF(AND(ISNUMBER(F2878),ISNUMBER(G2878)),IF(SIGN(D2878-E2878)=SIGN(F2878-G2878),48,0),"")</f>
        <v/>
      </c>
      <c r="I2878" s="22" t="str">
        <f aca="false">IF(AND(ISNUMBER(F2878),ISNUMBER(G2878)),IF(D2878=F2878,15,0),"")</f>
        <v/>
      </c>
      <c r="J2878" s="22" t="str">
        <f aca="false">IF(AND(ISNUMBER(F2878),ISNUMBER(G2878)),IF(E2878=G2878,15,0),"")</f>
        <v/>
      </c>
      <c r="K2878" s="22" t="str">
        <f aca="false">IF(AND(ISNUMBER(F2878),ISNUMBER(G2878)),IF(ABS(D2878-E2878)=ABS(F2878-G2878),12,0),"")</f>
        <v/>
      </c>
      <c r="L2878" s="23" t="str">
        <f aca="false">IF(ISNUMBER(H2878),H2878+I2878+J2878+K2878,"")</f>
        <v/>
      </c>
    </row>
    <row r="2879" customFormat="false" ht="18" hidden="false" customHeight="true" outlineLevel="0" collapsed="false">
      <c r="A2879" s="25" t="s">
        <v>9</v>
      </c>
      <c r="B2879" s="26" t="s">
        <v>200</v>
      </c>
      <c r="C2879" s="27" t="s">
        <v>75</v>
      </c>
      <c r="D2879" s="28" t="n">
        <v>1</v>
      </c>
      <c r="E2879" s="28" t="n">
        <v>1</v>
      </c>
      <c r="F2879" s="29" t="n">
        <f aca="false">'📋 Matches'!E23</f>
        <v>0</v>
      </c>
      <c r="G2879" s="29" t="n">
        <f aca="false">'📋 Matches'!F23</f>
        <v>0</v>
      </c>
      <c r="H2879" s="22" t="str">
        <f aca="false">IF(AND(ISNUMBER(F2879),ISNUMBER(G2879)),IF(SIGN(D2879-E2879)=SIGN(F2879-G2879),48,0),"")</f>
        <v/>
      </c>
      <c r="I2879" s="22" t="str">
        <f aca="false">IF(AND(ISNUMBER(F2879),ISNUMBER(G2879)),IF(D2879=F2879,15,0),"")</f>
        <v/>
      </c>
      <c r="J2879" s="22" t="str">
        <f aca="false">IF(AND(ISNUMBER(F2879),ISNUMBER(G2879)),IF(E2879=G2879,15,0),"")</f>
        <v/>
      </c>
      <c r="K2879" s="22" t="str">
        <f aca="false">IF(AND(ISNUMBER(F2879),ISNUMBER(G2879)),IF(ABS(D2879-E2879)=ABS(F2879-G2879),12,0),"")</f>
        <v/>
      </c>
      <c r="L2879" s="23" t="str">
        <f aca="false">IF(ISNUMBER(H2879),H2879+I2879+J2879+K2879,"")</f>
        <v/>
      </c>
    </row>
    <row r="2880" customFormat="false" ht="18" hidden="false" customHeight="true" outlineLevel="0" collapsed="false">
      <c r="A2880" s="25" t="s">
        <v>9</v>
      </c>
      <c r="B2880" s="26" t="s">
        <v>200</v>
      </c>
      <c r="C2880" s="27" t="s">
        <v>78</v>
      </c>
      <c r="D2880" s="28" t="n">
        <v>2</v>
      </c>
      <c r="E2880" s="28" t="n">
        <v>1</v>
      </c>
      <c r="F2880" s="29" t="n">
        <f aca="false">'📋 Matches'!E24</f>
        <v>0</v>
      </c>
      <c r="G2880" s="29" t="n">
        <f aca="false">'📋 Matches'!F24</f>
        <v>0</v>
      </c>
      <c r="H2880" s="22" t="str">
        <f aca="false">IF(AND(ISNUMBER(F2880),ISNUMBER(G2880)),IF(SIGN(D2880-E2880)=SIGN(F2880-G2880),48,0),"")</f>
        <v/>
      </c>
      <c r="I2880" s="22" t="str">
        <f aca="false">IF(AND(ISNUMBER(F2880),ISNUMBER(G2880)),IF(D2880=F2880,15,0),"")</f>
        <v/>
      </c>
      <c r="J2880" s="22" t="str">
        <f aca="false">IF(AND(ISNUMBER(F2880),ISNUMBER(G2880)),IF(E2880=G2880,15,0),"")</f>
        <v/>
      </c>
      <c r="K2880" s="22" t="str">
        <f aca="false">IF(AND(ISNUMBER(F2880),ISNUMBER(G2880)),IF(ABS(D2880-E2880)=ABS(F2880-G2880),12,0),"")</f>
        <v/>
      </c>
      <c r="L2880" s="23" t="str">
        <f aca="false">IF(ISNUMBER(H2880),H2880+I2880+J2880+K2880,"")</f>
        <v/>
      </c>
    </row>
    <row r="2881" customFormat="false" ht="18" hidden="false" customHeight="true" outlineLevel="0" collapsed="false">
      <c r="A2881" s="25" t="s">
        <v>9</v>
      </c>
      <c r="B2881" s="26" t="s">
        <v>200</v>
      </c>
      <c r="C2881" s="27" t="s">
        <v>81</v>
      </c>
      <c r="D2881" s="28" t="n">
        <v>1</v>
      </c>
      <c r="E2881" s="28" t="n">
        <v>1</v>
      </c>
      <c r="F2881" s="29" t="n">
        <f aca="false">'📋 Matches'!E25</f>
        <v>0</v>
      </c>
      <c r="G2881" s="29" t="n">
        <f aca="false">'📋 Matches'!F25</f>
        <v>0</v>
      </c>
      <c r="H2881" s="22" t="str">
        <f aca="false">IF(AND(ISNUMBER(F2881),ISNUMBER(G2881)),IF(SIGN(D2881-E2881)=SIGN(F2881-G2881),48,0),"")</f>
        <v/>
      </c>
      <c r="I2881" s="22" t="str">
        <f aca="false">IF(AND(ISNUMBER(F2881),ISNUMBER(G2881)),IF(D2881=F2881,15,0),"")</f>
        <v/>
      </c>
      <c r="J2881" s="22" t="str">
        <f aca="false">IF(AND(ISNUMBER(F2881),ISNUMBER(G2881)),IF(E2881=G2881,15,0),"")</f>
        <v/>
      </c>
      <c r="K2881" s="22" t="str">
        <f aca="false">IF(AND(ISNUMBER(F2881),ISNUMBER(G2881)),IF(ABS(D2881-E2881)=ABS(F2881-G2881),12,0),"")</f>
        <v/>
      </c>
      <c r="L2881" s="23" t="str">
        <f aca="false">IF(ISNUMBER(H2881),H2881+I2881+J2881+K2881,"")</f>
        <v/>
      </c>
    </row>
    <row r="2882" customFormat="false" ht="18" hidden="false" customHeight="true" outlineLevel="0" collapsed="false">
      <c r="A2882" s="17" t="s">
        <v>9</v>
      </c>
      <c r="B2882" s="18" t="s">
        <v>201</v>
      </c>
      <c r="C2882" s="19" t="s">
        <v>10</v>
      </c>
      <c r="D2882" s="20" t="n">
        <v>2</v>
      </c>
      <c r="E2882" s="20" t="n">
        <v>1</v>
      </c>
      <c r="F2882" s="21" t="n">
        <f aca="false">'📋 Matches'!E2</f>
        <v>2</v>
      </c>
      <c r="G2882" s="21" t="n">
        <f aca="false">'📋 Matches'!F2</f>
        <v>0</v>
      </c>
      <c r="H2882" s="22" t="n">
        <f aca="false">IF(AND(ISNUMBER(F2882),ISNUMBER(G2882)),IF(SIGN(D2882-E2882)=SIGN(F2882-G2882),48,0),"")</f>
        <v>48</v>
      </c>
      <c r="I2882" s="22" t="n">
        <f aca="false">IF(AND(ISNUMBER(F2882),ISNUMBER(G2882)),IF(D2882=F2882,15,0),"")</f>
        <v>15</v>
      </c>
      <c r="J2882" s="22" t="n">
        <f aca="false">IF(AND(ISNUMBER(F2882),ISNUMBER(G2882)),IF(E2882=G2882,15,0),"")</f>
        <v>0</v>
      </c>
      <c r="K2882" s="22" t="n">
        <f aca="false">IF(AND(ISNUMBER(F2882),ISNUMBER(G2882)),IF(ABS(D2882-E2882)=ABS(F2882-G2882),12,0),"")</f>
        <v>0</v>
      </c>
      <c r="L2882" s="23" t="n">
        <f aca="false">IF(ISNUMBER(H2882),H2882+I2882+J2882+K2882,"")</f>
        <v>63</v>
      </c>
    </row>
    <row r="2883" customFormat="false" ht="18" hidden="false" customHeight="true" outlineLevel="0" collapsed="false">
      <c r="A2883" s="17" t="s">
        <v>9</v>
      </c>
      <c r="B2883" s="18" t="s">
        <v>201</v>
      </c>
      <c r="C2883" s="19" t="s">
        <v>14</v>
      </c>
      <c r="D2883" s="20" t="n">
        <v>3</v>
      </c>
      <c r="E2883" s="20" t="n">
        <v>2</v>
      </c>
      <c r="F2883" s="21" t="n">
        <f aca="false">'📋 Matches'!E3</f>
        <v>2</v>
      </c>
      <c r="G2883" s="21" t="n">
        <f aca="false">'📋 Matches'!F3</f>
        <v>1</v>
      </c>
      <c r="H2883" s="22" t="n">
        <f aca="false">IF(AND(ISNUMBER(F2883),ISNUMBER(G2883)),IF(SIGN(D2883-E2883)=SIGN(F2883-G2883),48,0),"")</f>
        <v>48</v>
      </c>
      <c r="I2883" s="22" t="n">
        <f aca="false">IF(AND(ISNUMBER(F2883),ISNUMBER(G2883)),IF(D2883=F2883,15,0),"")</f>
        <v>0</v>
      </c>
      <c r="J2883" s="22" t="n">
        <f aca="false">IF(AND(ISNUMBER(F2883),ISNUMBER(G2883)),IF(E2883=G2883,15,0),"")</f>
        <v>0</v>
      </c>
      <c r="K2883" s="22" t="n">
        <f aca="false">IF(AND(ISNUMBER(F2883),ISNUMBER(G2883)),IF(ABS(D2883-E2883)=ABS(F2883-G2883),12,0),"")</f>
        <v>12</v>
      </c>
      <c r="L2883" s="23" t="n">
        <f aca="false">IF(ISNUMBER(H2883),H2883+I2883+J2883+K2883,"")</f>
        <v>60</v>
      </c>
    </row>
    <row r="2884" customFormat="false" ht="18" hidden="false" customHeight="true" outlineLevel="0" collapsed="false">
      <c r="A2884" s="17" t="s">
        <v>9</v>
      </c>
      <c r="B2884" s="18" t="s">
        <v>201</v>
      </c>
      <c r="C2884" s="19" t="s">
        <v>17</v>
      </c>
      <c r="D2884" s="20" t="n">
        <v>3</v>
      </c>
      <c r="E2884" s="20" t="n">
        <v>1</v>
      </c>
      <c r="F2884" s="21" t="n">
        <f aca="false">'📋 Matches'!E4</f>
        <v>1</v>
      </c>
      <c r="G2884" s="21" t="n">
        <f aca="false">'📋 Matches'!F4</f>
        <v>1</v>
      </c>
      <c r="H2884" s="22" t="n">
        <f aca="false">IF(AND(ISNUMBER(F2884),ISNUMBER(G2884)),IF(SIGN(D2884-E2884)=SIGN(F2884-G2884),48,0),"")</f>
        <v>0</v>
      </c>
      <c r="I2884" s="22" t="n">
        <f aca="false">IF(AND(ISNUMBER(F2884),ISNUMBER(G2884)),IF(D2884=F2884,15,0),"")</f>
        <v>0</v>
      </c>
      <c r="J2884" s="22" t="n">
        <f aca="false">IF(AND(ISNUMBER(F2884),ISNUMBER(G2884)),IF(E2884=G2884,15,0),"")</f>
        <v>15</v>
      </c>
      <c r="K2884" s="22" t="n">
        <f aca="false">IF(AND(ISNUMBER(F2884),ISNUMBER(G2884)),IF(ABS(D2884-E2884)=ABS(F2884-G2884),12,0),"")</f>
        <v>0</v>
      </c>
      <c r="L2884" s="23" t="n">
        <f aca="false">IF(ISNUMBER(H2884),H2884+I2884+J2884+K2884,"")</f>
        <v>15</v>
      </c>
    </row>
    <row r="2885" customFormat="false" ht="18" hidden="false" customHeight="true" outlineLevel="0" collapsed="false">
      <c r="A2885" s="17" t="s">
        <v>9</v>
      </c>
      <c r="B2885" s="18" t="s">
        <v>201</v>
      </c>
      <c r="C2885" s="19" t="s">
        <v>20</v>
      </c>
      <c r="D2885" s="20" t="n">
        <v>2</v>
      </c>
      <c r="E2885" s="20" t="n">
        <v>2</v>
      </c>
      <c r="F2885" s="21" t="n">
        <f aca="false">'📋 Matches'!E5</f>
        <v>4</v>
      </c>
      <c r="G2885" s="21" t="n">
        <f aca="false">'📋 Matches'!F5</f>
        <v>1</v>
      </c>
      <c r="H2885" s="22" t="n">
        <f aca="false">IF(AND(ISNUMBER(F2885),ISNUMBER(G2885)),IF(SIGN(D2885-E2885)=SIGN(F2885-G2885),48,0),"")</f>
        <v>0</v>
      </c>
      <c r="I2885" s="22" t="n">
        <f aca="false">IF(AND(ISNUMBER(F2885),ISNUMBER(G2885)),IF(D2885=F2885,15,0),"")</f>
        <v>0</v>
      </c>
      <c r="J2885" s="22" t="n">
        <f aca="false">IF(AND(ISNUMBER(F2885),ISNUMBER(G2885)),IF(E2885=G2885,15,0),"")</f>
        <v>0</v>
      </c>
      <c r="K2885" s="22" t="n">
        <f aca="false">IF(AND(ISNUMBER(F2885),ISNUMBER(G2885)),IF(ABS(D2885-E2885)=ABS(F2885-G2885),12,0),"")</f>
        <v>0</v>
      </c>
      <c r="L2885" s="23" t="n">
        <f aca="false">IF(ISNUMBER(H2885),H2885+I2885+J2885+K2885,"")</f>
        <v>0</v>
      </c>
    </row>
    <row r="2886" customFormat="false" ht="18" hidden="false" customHeight="true" outlineLevel="0" collapsed="false">
      <c r="A2886" s="17" t="s">
        <v>9</v>
      </c>
      <c r="B2886" s="18" t="s">
        <v>201</v>
      </c>
      <c r="C2886" s="19" t="s">
        <v>23</v>
      </c>
      <c r="D2886" s="20" t="n">
        <v>2</v>
      </c>
      <c r="E2886" s="20" t="n">
        <v>3</v>
      </c>
      <c r="F2886" s="21" t="n">
        <f aca="false">'📋 Matches'!E6</f>
        <v>0</v>
      </c>
      <c r="G2886" s="21" t="n">
        <f aca="false">'📋 Matches'!F6</f>
        <v>0</v>
      </c>
      <c r="H2886" s="22" t="str">
        <f aca="false">IF(AND(ISNUMBER(F2886),ISNUMBER(G2886)),IF(SIGN(D2886-E2886)=SIGN(F2886-G2886),48,0),"")</f>
        <v/>
      </c>
      <c r="I2886" s="22" t="str">
        <f aca="false">IF(AND(ISNUMBER(F2886),ISNUMBER(G2886)),IF(D2886=F2886,15,0),"")</f>
        <v/>
      </c>
      <c r="J2886" s="22" t="str">
        <f aca="false">IF(AND(ISNUMBER(F2886),ISNUMBER(G2886)),IF(E2886=G2886,15,0),"")</f>
        <v/>
      </c>
      <c r="K2886" s="22" t="str">
        <f aca="false">IF(AND(ISNUMBER(F2886),ISNUMBER(G2886)),IF(ABS(D2886-E2886)=ABS(F2886-G2886),12,0),"")</f>
        <v/>
      </c>
      <c r="L2886" s="23" t="str">
        <f aca="false">IF(ISNUMBER(H2886),H2886+I2886+J2886+K2886,"")</f>
        <v/>
      </c>
    </row>
    <row r="2887" customFormat="false" ht="18" hidden="false" customHeight="true" outlineLevel="0" collapsed="false">
      <c r="A2887" s="17" t="s">
        <v>9</v>
      </c>
      <c r="B2887" s="18" t="s">
        <v>201</v>
      </c>
      <c r="C2887" s="19" t="s">
        <v>27</v>
      </c>
      <c r="D2887" s="20" t="n">
        <v>3</v>
      </c>
      <c r="E2887" s="20" t="n">
        <v>1</v>
      </c>
      <c r="F2887" s="21" t="n">
        <f aca="false">'📋 Matches'!E7</f>
        <v>0</v>
      </c>
      <c r="G2887" s="21" t="n">
        <f aca="false">'📋 Matches'!F7</f>
        <v>0</v>
      </c>
      <c r="H2887" s="22" t="str">
        <f aca="false">IF(AND(ISNUMBER(F2887),ISNUMBER(G2887)),IF(SIGN(D2887-E2887)=SIGN(F2887-G2887),48,0),"")</f>
        <v/>
      </c>
      <c r="I2887" s="22" t="str">
        <f aca="false">IF(AND(ISNUMBER(F2887),ISNUMBER(G2887)),IF(D2887=F2887,15,0),"")</f>
        <v/>
      </c>
      <c r="J2887" s="22" t="str">
        <f aca="false">IF(AND(ISNUMBER(F2887),ISNUMBER(G2887)),IF(E2887=G2887,15,0),"")</f>
        <v/>
      </c>
      <c r="K2887" s="22" t="str">
        <f aca="false">IF(AND(ISNUMBER(F2887),ISNUMBER(G2887)),IF(ABS(D2887-E2887)=ABS(F2887-G2887),12,0),"")</f>
        <v/>
      </c>
      <c r="L2887" s="23" t="str">
        <f aca="false">IF(ISNUMBER(H2887),H2887+I2887+J2887+K2887,"")</f>
        <v/>
      </c>
    </row>
    <row r="2888" customFormat="false" ht="18" hidden="false" customHeight="true" outlineLevel="0" collapsed="false">
      <c r="A2888" s="17" t="s">
        <v>9</v>
      </c>
      <c r="B2888" s="18" t="s">
        <v>201</v>
      </c>
      <c r="C2888" s="19" t="s">
        <v>30</v>
      </c>
      <c r="D2888" s="20" t="n">
        <v>1</v>
      </c>
      <c r="E2888" s="20" t="n">
        <v>2</v>
      </c>
      <c r="F2888" s="21" t="n">
        <f aca="false">'📋 Matches'!E8</f>
        <v>0</v>
      </c>
      <c r="G2888" s="21" t="n">
        <f aca="false">'📋 Matches'!F8</f>
        <v>0</v>
      </c>
      <c r="H2888" s="22" t="str">
        <f aca="false">IF(AND(ISNUMBER(F2888),ISNUMBER(G2888)),IF(SIGN(D2888-E2888)=SIGN(F2888-G2888),48,0),"")</f>
        <v/>
      </c>
      <c r="I2888" s="22" t="str">
        <f aca="false">IF(AND(ISNUMBER(F2888),ISNUMBER(G2888)),IF(D2888=F2888,15,0),"")</f>
        <v/>
      </c>
      <c r="J2888" s="22" t="str">
        <f aca="false">IF(AND(ISNUMBER(F2888),ISNUMBER(G2888)),IF(E2888=G2888,15,0),"")</f>
        <v/>
      </c>
      <c r="K2888" s="22" t="str">
        <f aca="false">IF(AND(ISNUMBER(F2888),ISNUMBER(G2888)),IF(ABS(D2888-E2888)=ABS(F2888-G2888),12,0),"")</f>
        <v/>
      </c>
      <c r="L2888" s="23" t="str">
        <f aca="false">IF(ISNUMBER(H2888),H2888+I2888+J2888+K2888,"")</f>
        <v/>
      </c>
    </row>
    <row r="2889" customFormat="false" ht="18" hidden="false" customHeight="true" outlineLevel="0" collapsed="false">
      <c r="A2889" s="17" t="s">
        <v>9</v>
      </c>
      <c r="B2889" s="18" t="s">
        <v>201</v>
      </c>
      <c r="C2889" s="19" t="s">
        <v>33</v>
      </c>
      <c r="D2889" s="20" t="n">
        <v>3</v>
      </c>
      <c r="E2889" s="20" t="n">
        <v>2</v>
      </c>
      <c r="F2889" s="21" t="n">
        <f aca="false">'📋 Matches'!E9</f>
        <v>0</v>
      </c>
      <c r="G2889" s="21" t="n">
        <f aca="false">'📋 Matches'!F9</f>
        <v>0</v>
      </c>
      <c r="H2889" s="22" t="str">
        <f aca="false">IF(AND(ISNUMBER(F2889),ISNUMBER(G2889)),IF(SIGN(D2889-E2889)=SIGN(F2889-G2889),48,0),"")</f>
        <v/>
      </c>
      <c r="I2889" s="22" t="str">
        <f aca="false">IF(AND(ISNUMBER(F2889),ISNUMBER(G2889)),IF(D2889=F2889,15,0),"")</f>
        <v/>
      </c>
      <c r="J2889" s="22" t="str">
        <f aca="false">IF(AND(ISNUMBER(F2889),ISNUMBER(G2889)),IF(E2889=G2889,15,0),"")</f>
        <v/>
      </c>
      <c r="K2889" s="22" t="str">
        <f aca="false">IF(AND(ISNUMBER(F2889),ISNUMBER(G2889)),IF(ABS(D2889-E2889)=ABS(F2889-G2889),12,0),"")</f>
        <v/>
      </c>
      <c r="L2889" s="23" t="str">
        <f aca="false">IF(ISNUMBER(H2889),H2889+I2889+J2889+K2889,"")</f>
        <v/>
      </c>
    </row>
    <row r="2890" customFormat="false" ht="18" hidden="false" customHeight="true" outlineLevel="0" collapsed="false">
      <c r="A2890" s="17" t="s">
        <v>9</v>
      </c>
      <c r="B2890" s="18" t="s">
        <v>201</v>
      </c>
      <c r="C2890" s="19" t="s">
        <v>36</v>
      </c>
      <c r="D2890" s="20" t="n">
        <v>3</v>
      </c>
      <c r="E2890" s="20" t="n">
        <v>2</v>
      </c>
      <c r="F2890" s="21" t="n">
        <f aca="false">'📋 Matches'!E10</f>
        <v>0</v>
      </c>
      <c r="G2890" s="21" t="n">
        <f aca="false">'📋 Matches'!F10</f>
        <v>0</v>
      </c>
      <c r="H2890" s="22" t="str">
        <f aca="false">IF(AND(ISNUMBER(F2890),ISNUMBER(G2890)),IF(SIGN(D2890-E2890)=SIGN(F2890-G2890),48,0),"")</f>
        <v/>
      </c>
      <c r="I2890" s="22" t="str">
        <f aca="false">IF(AND(ISNUMBER(F2890),ISNUMBER(G2890)),IF(D2890=F2890,15,0),"")</f>
        <v/>
      </c>
      <c r="J2890" s="22" t="str">
        <f aca="false">IF(AND(ISNUMBER(F2890),ISNUMBER(G2890)),IF(E2890=G2890,15,0),"")</f>
        <v/>
      </c>
      <c r="K2890" s="22" t="str">
        <f aca="false">IF(AND(ISNUMBER(F2890),ISNUMBER(G2890)),IF(ABS(D2890-E2890)=ABS(F2890-G2890),12,0),"")</f>
        <v/>
      </c>
      <c r="L2890" s="23" t="str">
        <f aca="false">IF(ISNUMBER(H2890),H2890+I2890+J2890+K2890,"")</f>
        <v/>
      </c>
    </row>
    <row r="2891" customFormat="false" ht="18" hidden="false" customHeight="true" outlineLevel="0" collapsed="false">
      <c r="A2891" s="17" t="s">
        <v>9</v>
      </c>
      <c r="B2891" s="18" t="s">
        <v>201</v>
      </c>
      <c r="C2891" s="19" t="s">
        <v>39</v>
      </c>
      <c r="D2891" s="20" t="n">
        <v>1</v>
      </c>
      <c r="E2891" s="20" t="n">
        <v>3</v>
      </c>
      <c r="F2891" s="21" t="n">
        <f aca="false">'📋 Matches'!E11</f>
        <v>0</v>
      </c>
      <c r="G2891" s="21" t="n">
        <f aca="false">'📋 Matches'!F11</f>
        <v>0</v>
      </c>
      <c r="H2891" s="22" t="str">
        <f aca="false">IF(AND(ISNUMBER(F2891),ISNUMBER(G2891)),IF(SIGN(D2891-E2891)=SIGN(F2891-G2891),48,0),"")</f>
        <v/>
      </c>
      <c r="I2891" s="22" t="str">
        <f aca="false">IF(AND(ISNUMBER(F2891),ISNUMBER(G2891)),IF(D2891=F2891,15,0),"")</f>
        <v/>
      </c>
      <c r="J2891" s="22" t="str">
        <f aca="false">IF(AND(ISNUMBER(F2891),ISNUMBER(G2891)),IF(E2891=G2891,15,0),"")</f>
        <v/>
      </c>
      <c r="K2891" s="22" t="str">
        <f aca="false">IF(AND(ISNUMBER(F2891),ISNUMBER(G2891)),IF(ABS(D2891-E2891)=ABS(F2891-G2891),12,0),"")</f>
        <v/>
      </c>
      <c r="L2891" s="23" t="str">
        <f aca="false">IF(ISNUMBER(H2891),H2891+I2891+J2891+K2891,"")</f>
        <v/>
      </c>
    </row>
    <row r="2892" customFormat="false" ht="18" hidden="false" customHeight="true" outlineLevel="0" collapsed="false">
      <c r="A2892" s="17" t="s">
        <v>9</v>
      </c>
      <c r="B2892" s="18" t="s">
        <v>201</v>
      </c>
      <c r="C2892" s="19" t="s">
        <v>42</v>
      </c>
      <c r="D2892" s="20" t="n">
        <v>1</v>
      </c>
      <c r="E2892" s="20" t="n">
        <v>4</v>
      </c>
      <c r="F2892" s="21" t="n">
        <f aca="false">'📋 Matches'!E12</f>
        <v>0</v>
      </c>
      <c r="G2892" s="21" t="n">
        <f aca="false">'📋 Matches'!F12</f>
        <v>0</v>
      </c>
      <c r="H2892" s="22" t="str">
        <f aca="false">IF(AND(ISNUMBER(F2892),ISNUMBER(G2892)),IF(SIGN(D2892-E2892)=SIGN(F2892-G2892),48,0),"")</f>
        <v/>
      </c>
      <c r="I2892" s="22" t="str">
        <f aca="false">IF(AND(ISNUMBER(F2892),ISNUMBER(G2892)),IF(D2892=F2892,15,0),"")</f>
        <v/>
      </c>
      <c r="J2892" s="22" t="str">
        <f aca="false">IF(AND(ISNUMBER(F2892),ISNUMBER(G2892)),IF(E2892=G2892,15,0),"")</f>
        <v/>
      </c>
      <c r="K2892" s="22" t="str">
        <f aca="false">IF(AND(ISNUMBER(F2892),ISNUMBER(G2892)),IF(ABS(D2892-E2892)=ABS(F2892-G2892),12,0),"")</f>
        <v/>
      </c>
      <c r="L2892" s="23" t="str">
        <f aca="false">IF(ISNUMBER(H2892),H2892+I2892+J2892+K2892,"")</f>
        <v/>
      </c>
    </row>
    <row r="2893" customFormat="false" ht="18" hidden="false" customHeight="true" outlineLevel="0" collapsed="false">
      <c r="A2893" s="17" t="s">
        <v>9</v>
      </c>
      <c r="B2893" s="18" t="s">
        <v>201</v>
      </c>
      <c r="C2893" s="19" t="s">
        <v>45</v>
      </c>
      <c r="D2893" s="20" t="n">
        <v>2</v>
      </c>
      <c r="E2893" s="20" t="n">
        <v>3</v>
      </c>
      <c r="F2893" s="21" t="n">
        <f aca="false">'📋 Matches'!E13</f>
        <v>0</v>
      </c>
      <c r="G2893" s="21" t="n">
        <f aca="false">'📋 Matches'!F13</f>
        <v>0</v>
      </c>
      <c r="H2893" s="22" t="str">
        <f aca="false">IF(AND(ISNUMBER(F2893),ISNUMBER(G2893)),IF(SIGN(D2893-E2893)=SIGN(F2893-G2893),48,0),"")</f>
        <v/>
      </c>
      <c r="I2893" s="22" t="str">
        <f aca="false">IF(AND(ISNUMBER(F2893),ISNUMBER(G2893)),IF(D2893=F2893,15,0),"")</f>
        <v/>
      </c>
      <c r="J2893" s="22" t="str">
        <f aca="false">IF(AND(ISNUMBER(F2893),ISNUMBER(G2893)),IF(E2893=G2893,15,0),"")</f>
        <v/>
      </c>
      <c r="K2893" s="22" t="str">
        <f aca="false">IF(AND(ISNUMBER(F2893),ISNUMBER(G2893)),IF(ABS(D2893-E2893)=ABS(F2893-G2893),12,0),"")</f>
        <v/>
      </c>
      <c r="L2893" s="23" t="str">
        <f aca="false">IF(ISNUMBER(H2893),H2893+I2893+J2893+K2893,"")</f>
        <v/>
      </c>
    </row>
    <row r="2894" customFormat="false" ht="18" hidden="false" customHeight="true" outlineLevel="0" collapsed="false">
      <c r="A2894" s="17" t="s">
        <v>9</v>
      </c>
      <c r="B2894" s="18" t="s">
        <v>201</v>
      </c>
      <c r="C2894" s="19" t="s">
        <v>48</v>
      </c>
      <c r="D2894" s="20" t="n">
        <v>2</v>
      </c>
      <c r="E2894" s="20" t="n">
        <v>0</v>
      </c>
      <c r="F2894" s="21" t="n">
        <f aca="false">'📋 Matches'!E14</f>
        <v>0</v>
      </c>
      <c r="G2894" s="21" t="n">
        <f aca="false">'📋 Matches'!F14</f>
        <v>0</v>
      </c>
      <c r="H2894" s="22" t="str">
        <f aca="false">IF(AND(ISNUMBER(F2894),ISNUMBER(G2894)),IF(SIGN(D2894-E2894)=SIGN(F2894-G2894),48,0),"")</f>
        <v/>
      </c>
      <c r="I2894" s="22" t="str">
        <f aca="false">IF(AND(ISNUMBER(F2894),ISNUMBER(G2894)),IF(D2894=F2894,15,0),"")</f>
        <v/>
      </c>
      <c r="J2894" s="22" t="str">
        <f aca="false">IF(AND(ISNUMBER(F2894),ISNUMBER(G2894)),IF(E2894=G2894,15,0),"")</f>
        <v/>
      </c>
      <c r="K2894" s="22" t="str">
        <f aca="false">IF(AND(ISNUMBER(F2894),ISNUMBER(G2894)),IF(ABS(D2894-E2894)=ABS(F2894-G2894),12,0),"")</f>
        <v/>
      </c>
      <c r="L2894" s="23" t="str">
        <f aca="false">IF(ISNUMBER(H2894),H2894+I2894+J2894+K2894,"")</f>
        <v/>
      </c>
    </row>
    <row r="2895" customFormat="false" ht="18" hidden="false" customHeight="true" outlineLevel="0" collapsed="false">
      <c r="A2895" s="17" t="s">
        <v>9</v>
      </c>
      <c r="B2895" s="18" t="s">
        <v>201</v>
      </c>
      <c r="C2895" s="19" t="s">
        <v>51</v>
      </c>
      <c r="D2895" s="20" t="n">
        <v>2</v>
      </c>
      <c r="E2895" s="20" t="n">
        <v>0</v>
      </c>
      <c r="F2895" s="21" t="n">
        <f aca="false">'📋 Matches'!E15</f>
        <v>0</v>
      </c>
      <c r="G2895" s="21" t="n">
        <f aca="false">'📋 Matches'!F15</f>
        <v>0</v>
      </c>
      <c r="H2895" s="22" t="str">
        <f aca="false">IF(AND(ISNUMBER(F2895),ISNUMBER(G2895)),IF(SIGN(D2895-E2895)=SIGN(F2895-G2895),48,0),"")</f>
        <v/>
      </c>
      <c r="I2895" s="22" t="str">
        <f aca="false">IF(AND(ISNUMBER(F2895),ISNUMBER(G2895)),IF(D2895=F2895,15,0),"")</f>
        <v/>
      </c>
      <c r="J2895" s="22" t="str">
        <f aca="false">IF(AND(ISNUMBER(F2895),ISNUMBER(G2895)),IF(E2895=G2895,15,0),"")</f>
        <v/>
      </c>
      <c r="K2895" s="22" t="str">
        <f aca="false">IF(AND(ISNUMBER(F2895),ISNUMBER(G2895)),IF(ABS(D2895-E2895)=ABS(F2895-G2895),12,0),"")</f>
        <v/>
      </c>
      <c r="L2895" s="23" t="str">
        <f aca="false">IF(ISNUMBER(H2895),H2895+I2895+J2895+K2895,"")</f>
        <v/>
      </c>
    </row>
    <row r="2896" customFormat="false" ht="18" hidden="false" customHeight="true" outlineLevel="0" collapsed="false">
      <c r="A2896" s="17" t="s">
        <v>9</v>
      </c>
      <c r="B2896" s="18" t="s">
        <v>201</v>
      </c>
      <c r="C2896" s="19" t="s">
        <v>54</v>
      </c>
      <c r="D2896" s="20" t="n">
        <v>2</v>
      </c>
      <c r="E2896" s="20" t="n">
        <v>2</v>
      </c>
      <c r="F2896" s="21" t="n">
        <f aca="false">'📋 Matches'!E16</f>
        <v>0</v>
      </c>
      <c r="G2896" s="21" t="n">
        <f aca="false">'📋 Matches'!F16</f>
        <v>0</v>
      </c>
      <c r="H2896" s="22" t="str">
        <f aca="false">IF(AND(ISNUMBER(F2896),ISNUMBER(G2896)),IF(SIGN(D2896-E2896)=SIGN(F2896-G2896),48,0),"")</f>
        <v/>
      </c>
      <c r="I2896" s="22" t="str">
        <f aca="false">IF(AND(ISNUMBER(F2896),ISNUMBER(G2896)),IF(D2896=F2896,15,0),"")</f>
        <v/>
      </c>
      <c r="J2896" s="22" t="str">
        <f aca="false">IF(AND(ISNUMBER(F2896),ISNUMBER(G2896)),IF(E2896=G2896,15,0),"")</f>
        <v/>
      </c>
      <c r="K2896" s="22" t="str">
        <f aca="false">IF(AND(ISNUMBER(F2896),ISNUMBER(G2896)),IF(ABS(D2896-E2896)=ABS(F2896-G2896),12,0),"")</f>
        <v/>
      </c>
      <c r="L2896" s="23" t="str">
        <f aca="false">IF(ISNUMBER(H2896),H2896+I2896+J2896+K2896,"")</f>
        <v/>
      </c>
    </row>
    <row r="2897" customFormat="false" ht="18" hidden="false" customHeight="true" outlineLevel="0" collapsed="false">
      <c r="A2897" s="17" t="s">
        <v>9</v>
      </c>
      <c r="B2897" s="18" t="s">
        <v>201</v>
      </c>
      <c r="C2897" s="19" t="s">
        <v>57</v>
      </c>
      <c r="D2897" s="20" t="n">
        <v>2</v>
      </c>
      <c r="E2897" s="20" t="n">
        <v>4</v>
      </c>
      <c r="F2897" s="21" t="n">
        <f aca="false">'📋 Matches'!E17</f>
        <v>0</v>
      </c>
      <c r="G2897" s="21" t="n">
        <f aca="false">'📋 Matches'!F17</f>
        <v>0</v>
      </c>
      <c r="H2897" s="22" t="str">
        <f aca="false">IF(AND(ISNUMBER(F2897),ISNUMBER(G2897)),IF(SIGN(D2897-E2897)=SIGN(F2897-G2897),48,0),"")</f>
        <v/>
      </c>
      <c r="I2897" s="22" t="str">
        <f aca="false">IF(AND(ISNUMBER(F2897),ISNUMBER(G2897)),IF(D2897=F2897,15,0),"")</f>
        <v/>
      </c>
      <c r="J2897" s="22" t="str">
        <f aca="false">IF(AND(ISNUMBER(F2897),ISNUMBER(G2897)),IF(E2897=G2897,15,0),"")</f>
        <v/>
      </c>
      <c r="K2897" s="22" t="str">
        <f aca="false">IF(AND(ISNUMBER(F2897),ISNUMBER(G2897)),IF(ABS(D2897-E2897)=ABS(F2897-G2897),12,0),"")</f>
        <v/>
      </c>
      <c r="L2897" s="23" t="str">
        <f aca="false">IF(ISNUMBER(H2897),H2897+I2897+J2897+K2897,"")</f>
        <v/>
      </c>
    </row>
    <row r="2898" customFormat="false" ht="18" hidden="false" customHeight="true" outlineLevel="0" collapsed="false">
      <c r="A2898" s="17" t="s">
        <v>9</v>
      </c>
      <c r="B2898" s="18" t="s">
        <v>201</v>
      </c>
      <c r="C2898" s="19" t="s">
        <v>60</v>
      </c>
      <c r="D2898" s="20" t="n">
        <v>3</v>
      </c>
      <c r="E2898" s="20" t="n">
        <v>2</v>
      </c>
      <c r="F2898" s="21" t="n">
        <f aca="false">'📋 Matches'!E18</f>
        <v>0</v>
      </c>
      <c r="G2898" s="21" t="n">
        <f aca="false">'📋 Matches'!F18</f>
        <v>0</v>
      </c>
      <c r="H2898" s="22" t="str">
        <f aca="false">IF(AND(ISNUMBER(F2898),ISNUMBER(G2898)),IF(SIGN(D2898-E2898)=SIGN(F2898-G2898),48,0),"")</f>
        <v/>
      </c>
      <c r="I2898" s="22" t="str">
        <f aca="false">IF(AND(ISNUMBER(F2898),ISNUMBER(G2898)),IF(D2898=F2898,15,0),"")</f>
        <v/>
      </c>
      <c r="J2898" s="22" t="str">
        <f aca="false">IF(AND(ISNUMBER(F2898),ISNUMBER(G2898)),IF(E2898=G2898,15,0),"")</f>
        <v/>
      </c>
      <c r="K2898" s="22" t="str">
        <f aca="false">IF(AND(ISNUMBER(F2898),ISNUMBER(G2898)),IF(ABS(D2898-E2898)=ABS(F2898-G2898),12,0),"")</f>
        <v/>
      </c>
      <c r="L2898" s="23" t="str">
        <f aca="false">IF(ISNUMBER(H2898),H2898+I2898+J2898+K2898,"")</f>
        <v/>
      </c>
    </row>
    <row r="2899" customFormat="false" ht="18" hidden="false" customHeight="true" outlineLevel="0" collapsed="false">
      <c r="A2899" s="17" t="s">
        <v>9</v>
      </c>
      <c r="B2899" s="18" t="s">
        <v>201</v>
      </c>
      <c r="C2899" s="19" t="s">
        <v>63</v>
      </c>
      <c r="D2899" s="20" t="n">
        <v>1</v>
      </c>
      <c r="E2899" s="20" t="n">
        <v>1</v>
      </c>
      <c r="F2899" s="21" t="n">
        <f aca="false">'📋 Matches'!E19</f>
        <v>0</v>
      </c>
      <c r="G2899" s="21" t="n">
        <f aca="false">'📋 Matches'!F19</f>
        <v>0</v>
      </c>
      <c r="H2899" s="22" t="str">
        <f aca="false">IF(AND(ISNUMBER(F2899),ISNUMBER(G2899)),IF(SIGN(D2899-E2899)=SIGN(F2899-G2899),48,0),"")</f>
        <v/>
      </c>
      <c r="I2899" s="22" t="str">
        <f aca="false">IF(AND(ISNUMBER(F2899),ISNUMBER(G2899)),IF(D2899=F2899,15,0),"")</f>
        <v/>
      </c>
      <c r="J2899" s="22" t="str">
        <f aca="false">IF(AND(ISNUMBER(F2899),ISNUMBER(G2899)),IF(E2899=G2899,15,0),"")</f>
        <v/>
      </c>
      <c r="K2899" s="22" t="str">
        <f aca="false">IF(AND(ISNUMBER(F2899),ISNUMBER(G2899)),IF(ABS(D2899-E2899)=ABS(F2899-G2899),12,0),"")</f>
        <v/>
      </c>
      <c r="L2899" s="23" t="str">
        <f aca="false">IF(ISNUMBER(H2899),H2899+I2899+J2899+K2899,"")</f>
        <v/>
      </c>
    </row>
    <row r="2900" customFormat="false" ht="18" hidden="false" customHeight="true" outlineLevel="0" collapsed="false">
      <c r="A2900" s="17" t="s">
        <v>9</v>
      </c>
      <c r="B2900" s="18" t="s">
        <v>201</v>
      </c>
      <c r="C2900" s="19" t="s">
        <v>66</v>
      </c>
      <c r="D2900" s="20" t="n">
        <v>3</v>
      </c>
      <c r="E2900" s="20" t="n">
        <v>1</v>
      </c>
      <c r="F2900" s="21" t="n">
        <f aca="false">'📋 Matches'!E20</f>
        <v>0</v>
      </c>
      <c r="G2900" s="21" t="n">
        <f aca="false">'📋 Matches'!F20</f>
        <v>0</v>
      </c>
      <c r="H2900" s="22" t="str">
        <f aca="false">IF(AND(ISNUMBER(F2900),ISNUMBER(G2900)),IF(SIGN(D2900-E2900)=SIGN(F2900-G2900),48,0),"")</f>
        <v/>
      </c>
      <c r="I2900" s="22" t="str">
        <f aca="false">IF(AND(ISNUMBER(F2900),ISNUMBER(G2900)),IF(D2900=F2900,15,0),"")</f>
        <v/>
      </c>
      <c r="J2900" s="22" t="str">
        <f aca="false">IF(AND(ISNUMBER(F2900),ISNUMBER(G2900)),IF(E2900=G2900,15,0),"")</f>
        <v/>
      </c>
      <c r="K2900" s="22" t="str">
        <f aca="false">IF(AND(ISNUMBER(F2900),ISNUMBER(G2900)),IF(ABS(D2900-E2900)=ABS(F2900-G2900),12,0),"")</f>
        <v/>
      </c>
      <c r="L2900" s="23" t="str">
        <f aca="false">IF(ISNUMBER(H2900),H2900+I2900+J2900+K2900,"")</f>
        <v/>
      </c>
    </row>
    <row r="2901" customFormat="false" ht="18" hidden="false" customHeight="true" outlineLevel="0" collapsed="false">
      <c r="A2901" s="17" t="s">
        <v>9</v>
      </c>
      <c r="B2901" s="18" t="s">
        <v>201</v>
      </c>
      <c r="C2901" s="19" t="s">
        <v>69</v>
      </c>
      <c r="D2901" s="20" t="n">
        <v>2</v>
      </c>
      <c r="E2901" s="20" t="n">
        <v>2</v>
      </c>
      <c r="F2901" s="21" t="n">
        <f aca="false">'📋 Matches'!E21</f>
        <v>0</v>
      </c>
      <c r="G2901" s="21" t="n">
        <f aca="false">'📋 Matches'!F21</f>
        <v>0</v>
      </c>
      <c r="H2901" s="22" t="str">
        <f aca="false">IF(AND(ISNUMBER(F2901),ISNUMBER(G2901)),IF(SIGN(D2901-E2901)=SIGN(F2901-G2901),48,0),"")</f>
        <v/>
      </c>
      <c r="I2901" s="22" t="str">
        <f aca="false">IF(AND(ISNUMBER(F2901),ISNUMBER(G2901)),IF(D2901=F2901,15,0),"")</f>
        <v/>
      </c>
      <c r="J2901" s="22" t="str">
        <f aca="false">IF(AND(ISNUMBER(F2901),ISNUMBER(G2901)),IF(E2901=G2901,15,0),"")</f>
        <v/>
      </c>
      <c r="K2901" s="22" t="str">
        <f aca="false">IF(AND(ISNUMBER(F2901),ISNUMBER(G2901)),IF(ABS(D2901-E2901)=ABS(F2901-G2901),12,0),"")</f>
        <v/>
      </c>
      <c r="L2901" s="23" t="str">
        <f aca="false">IF(ISNUMBER(H2901),H2901+I2901+J2901+K2901,"")</f>
        <v/>
      </c>
    </row>
    <row r="2902" customFormat="false" ht="18" hidden="false" customHeight="true" outlineLevel="0" collapsed="false">
      <c r="A2902" s="17" t="s">
        <v>9</v>
      </c>
      <c r="B2902" s="18" t="s">
        <v>201</v>
      </c>
      <c r="C2902" s="19" t="s">
        <v>72</v>
      </c>
      <c r="D2902" s="20" t="n">
        <v>3</v>
      </c>
      <c r="E2902" s="20" t="n">
        <v>1</v>
      </c>
      <c r="F2902" s="21" t="n">
        <f aca="false">'📋 Matches'!E22</f>
        <v>0</v>
      </c>
      <c r="G2902" s="21" t="n">
        <f aca="false">'📋 Matches'!F22</f>
        <v>0</v>
      </c>
      <c r="H2902" s="22" t="str">
        <f aca="false">IF(AND(ISNUMBER(F2902),ISNUMBER(G2902)),IF(SIGN(D2902-E2902)=SIGN(F2902-G2902),48,0),"")</f>
        <v/>
      </c>
      <c r="I2902" s="22" t="str">
        <f aca="false">IF(AND(ISNUMBER(F2902),ISNUMBER(G2902)),IF(D2902=F2902,15,0),"")</f>
        <v/>
      </c>
      <c r="J2902" s="22" t="str">
        <f aca="false">IF(AND(ISNUMBER(F2902),ISNUMBER(G2902)),IF(E2902=G2902,15,0),"")</f>
        <v/>
      </c>
      <c r="K2902" s="22" t="str">
        <f aca="false">IF(AND(ISNUMBER(F2902),ISNUMBER(G2902)),IF(ABS(D2902-E2902)=ABS(F2902-G2902),12,0),"")</f>
        <v/>
      </c>
      <c r="L2902" s="23" t="str">
        <f aca="false">IF(ISNUMBER(H2902),H2902+I2902+J2902+K2902,"")</f>
        <v/>
      </c>
    </row>
    <row r="2903" customFormat="false" ht="18" hidden="false" customHeight="true" outlineLevel="0" collapsed="false">
      <c r="A2903" s="17" t="s">
        <v>9</v>
      </c>
      <c r="B2903" s="18" t="s">
        <v>201</v>
      </c>
      <c r="C2903" s="19" t="s">
        <v>75</v>
      </c>
      <c r="D2903" s="20" t="n">
        <v>2</v>
      </c>
      <c r="E2903" s="20" t="n">
        <v>1</v>
      </c>
      <c r="F2903" s="21" t="n">
        <f aca="false">'📋 Matches'!E23</f>
        <v>0</v>
      </c>
      <c r="G2903" s="21" t="n">
        <f aca="false">'📋 Matches'!F23</f>
        <v>0</v>
      </c>
      <c r="H2903" s="22" t="str">
        <f aca="false">IF(AND(ISNUMBER(F2903),ISNUMBER(G2903)),IF(SIGN(D2903-E2903)=SIGN(F2903-G2903),48,0),"")</f>
        <v/>
      </c>
      <c r="I2903" s="22" t="str">
        <f aca="false">IF(AND(ISNUMBER(F2903),ISNUMBER(G2903)),IF(D2903=F2903,15,0),"")</f>
        <v/>
      </c>
      <c r="J2903" s="22" t="str">
        <f aca="false">IF(AND(ISNUMBER(F2903),ISNUMBER(G2903)),IF(E2903=G2903,15,0),"")</f>
        <v/>
      </c>
      <c r="K2903" s="22" t="str">
        <f aca="false">IF(AND(ISNUMBER(F2903),ISNUMBER(G2903)),IF(ABS(D2903-E2903)=ABS(F2903-G2903),12,0),"")</f>
        <v/>
      </c>
      <c r="L2903" s="23" t="str">
        <f aca="false">IF(ISNUMBER(H2903),H2903+I2903+J2903+K2903,"")</f>
        <v/>
      </c>
    </row>
    <row r="2904" customFormat="false" ht="18" hidden="false" customHeight="true" outlineLevel="0" collapsed="false">
      <c r="A2904" s="17" t="s">
        <v>9</v>
      </c>
      <c r="B2904" s="18" t="s">
        <v>201</v>
      </c>
      <c r="C2904" s="19" t="s">
        <v>78</v>
      </c>
      <c r="D2904" s="20" t="n">
        <v>1</v>
      </c>
      <c r="E2904" s="20" t="n">
        <v>0</v>
      </c>
      <c r="F2904" s="21" t="n">
        <f aca="false">'📋 Matches'!E24</f>
        <v>0</v>
      </c>
      <c r="G2904" s="21" t="n">
        <f aca="false">'📋 Matches'!F24</f>
        <v>0</v>
      </c>
      <c r="H2904" s="22" t="str">
        <f aca="false">IF(AND(ISNUMBER(F2904),ISNUMBER(G2904)),IF(SIGN(D2904-E2904)=SIGN(F2904-G2904),48,0),"")</f>
        <v/>
      </c>
      <c r="I2904" s="22" t="str">
        <f aca="false">IF(AND(ISNUMBER(F2904),ISNUMBER(G2904)),IF(D2904=F2904,15,0),"")</f>
        <v/>
      </c>
      <c r="J2904" s="22" t="str">
        <f aca="false">IF(AND(ISNUMBER(F2904),ISNUMBER(G2904)),IF(E2904=G2904,15,0),"")</f>
        <v/>
      </c>
      <c r="K2904" s="22" t="str">
        <f aca="false">IF(AND(ISNUMBER(F2904),ISNUMBER(G2904)),IF(ABS(D2904-E2904)=ABS(F2904-G2904),12,0),"")</f>
        <v/>
      </c>
      <c r="L2904" s="23" t="str">
        <f aca="false">IF(ISNUMBER(H2904),H2904+I2904+J2904+K2904,"")</f>
        <v/>
      </c>
    </row>
    <row r="2905" customFormat="false" ht="18" hidden="false" customHeight="true" outlineLevel="0" collapsed="false">
      <c r="A2905" s="17" t="s">
        <v>9</v>
      </c>
      <c r="B2905" s="18" t="s">
        <v>201</v>
      </c>
      <c r="C2905" s="19" t="s">
        <v>81</v>
      </c>
      <c r="D2905" s="20" t="n">
        <v>2</v>
      </c>
      <c r="E2905" s="20" t="n">
        <v>1</v>
      </c>
      <c r="F2905" s="21" t="n">
        <f aca="false">'📋 Matches'!E25</f>
        <v>0</v>
      </c>
      <c r="G2905" s="21" t="n">
        <f aca="false">'📋 Matches'!F25</f>
        <v>0</v>
      </c>
      <c r="H2905" s="22" t="str">
        <f aca="false">IF(AND(ISNUMBER(F2905),ISNUMBER(G2905)),IF(SIGN(D2905-E2905)=SIGN(F2905-G2905),48,0),"")</f>
        <v/>
      </c>
      <c r="I2905" s="22" t="str">
        <f aca="false">IF(AND(ISNUMBER(F2905),ISNUMBER(G2905)),IF(D2905=F2905,15,0),"")</f>
        <v/>
      </c>
      <c r="J2905" s="22" t="str">
        <f aca="false">IF(AND(ISNUMBER(F2905),ISNUMBER(G2905)),IF(E2905=G2905,15,0),"")</f>
        <v/>
      </c>
      <c r="K2905" s="22" t="str">
        <f aca="false">IF(AND(ISNUMBER(F2905),ISNUMBER(G2905)),IF(ABS(D2905-E2905)=ABS(F2905-G2905),12,0),"")</f>
        <v/>
      </c>
      <c r="L2905" s="23" t="str">
        <f aca="false">IF(ISNUMBER(H2905),H2905+I2905+J2905+K2905,"")</f>
        <v/>
      </c>
    </row>
    <row r="2906" customFormat="false" ht="18" hidden="false" customHeight="true" outlineLevel="0" collapsed="false">
      <c r="A2906" s="25" t="s">
        <v>9</v>
      </c>
      <c r="B2906" s="26" t="s">
        <v>202</v>
      </c>
      <c r="C2906" s="27" t="s">
        <v>10</v>
      </c>
      <c r="D2906" s="28" t="n">
        <v>3</v>
      </c>
      <c r="E2906" s="28" t="n">
        <v>1</v>
      </c>
      <c r="F2906" s="29" t="n">
        <f aca="false">'📋 Matches'!E2</f>
        <v>2</v>
      </c>
      <c r="G2906" s="29" t="n">
        <f aca="false">'📋 Matches'!F2</f>
        <v>0</v>
      </c>
      <c r="H2906" s="22" t="n">
        <f aca="false">IF(AND(ISNUMBER(F2906),ISNUMBER(G2906)),IF(SIGN(D2906-E2906)=SIGN(F2906-G2906),48,0),"")</f>
        <v>48</v>
      </c>
      <c r="I2906" s="22" t="n">
        <f aca="false">IF(AND(ISNUMBER(F2906),ISNUMBER(G2906)),IF(D2906=F2906,15,0),"")</f>
        <v>0</v>
      </c>
      <c r="J2906" s="22" t="n">
        <f aca="false">IF(AND(ISNUMBER(F2906),ISNUMBER(G2906)),IF(E2906=G2906,15,0),"")</f>
        <v>0</v>
      </c>
      <c r="K2906" s="22" t="n">
        <f aca="false">IF(AND(ISNUMBER(F2906),ISNUMBER(G2906)),IF(ABS(D2906-E2906)=ABS(F2906-G2906),12,0),"")</f>
        <v>12</v>
      </c>
      <c r="L2906" s="23" t="n">
        <f aca="false">IF(ISNUMBER(H2906),H2906+I2906+J2906+K2906,"")</f>
        <v>60</v>
      </c>
    </row>
    <row r="2907" customFormat="false" ht="18" hidden="false" customHeight="true" outlineLevel="0" collapsed="false">
      <c r="A2907" s="25" t="s">
        <v>9</v>
      </c>
      <c r="B2907" s="26" t="s">
        <v>202</v>
      </c>
      <c r="C2907" s="27" t="s">
        <v>14</v>
      </c>
      <c r="D2907" s="28" t="n">
        <v>1</v>
      </c>
      <c r="E2907" s="28" t="n">
        <v>2</v>
      </c>
      <c r="F2907" s="29" t="n">
        <f aca="false">'📋 Matches'!E3</f>
        <v>2</v>
      </c>
      <c r="G2907" s="29" t="n">
        <f aca="false">'📋 Matches'!F3</f>
        <v>1</v>
      </c>
      <c r="H2907" s="22" t="n">
        <f aca="false">IF(AND(ISNUMBER(F2907),ISNUMBER(G2907)),IF(SIGN(D2907-E2907)=SIGN(F2907-G2907),48,0),"")</f>
        <v>0</v>
      </c>
      <c r="I2907" s="22" t="n">
        <f aca="false">IF(AND(ISNUMBER(F2907),ISNUMBER(G2907)),IF(D2907=F2907,15,0),"")</f>
        <v>0</v>
      </c>
      <c r="J2907" s="22" t="n">
        <f aca="false">IF(AND(ISNUMBER(F2907),ISNUMBER(G2907)),IF(E2907=G2907,15,0),"")</f>
        <v>0</v>
      </c>
      <c r="K2907" s="22" t="n">
        <f aca="false">IF(AND(ISNUMBER(F2907),ISNUMBER(G2907)),IF(ABS(D2907-E2907)=ABS(F2907-G2907),12,0),"")</f>
        <v>12</v>
      </c>
      <c r="L2907" s="23" t="n">
        <f aca="false">IF(ISNUMBER(H2907),H2907+I2907+J2907+K2907,"")</f>
        <v>12</v>
      </c>
    </row>
    <row r="2908" customFormat="false" ht="18" hidden="false" customHeight="true" outlineLevel="0" collapsed="false">
      <c r="A2908" s="25" t="s">
        <v>9</v>
      </c>
      <c r="B2908" s="26" t="s">
        <v>202</v>
      </c>
      <c r="C2908" s="27" t="s">
        <v>17</v>
      </c>
      <c r="D2908" s="28" t="n">
        <v>1</v>
      </c>
      <c r="E2908" s="28" t="n">
        <v>2</v>
      </c>
      <c r="F2908" s="29" t="n">
        <f aca="false">'📋 Matches'!E4</f>
        <v>1</v>
      </c>
      <c r="G2908" s="29" t="n">
        <f aca="false">'📋 Matches'!F4</f>
        <v>1</v>
      </c>
      <c r="H2908" s="22" t="n">
        <f aca="false">IF(AND(ISNUMBER(F2908),ISNUMBER(G2908)),IF(SIGN(D2908-E2908)=SIGN(F2908-G2908),48,0),"")</f>
        <v>0</v>
      </c>
      <c r="I2908" s="22" t="n">
        <f aca="false">IF(AND(ISNUMBER(F2908),ISNUMBER(G2908)),IF(D2908=F2908,15,0),"")</f>
        <v>15</v>
      </c>
      <c r="J2908" s="22" t="n">
        <f aca="false">IF(AND(ISNUMBER(F2908),ISNUMBER(G2908)),IF(E2908=G2908,15,0),"")</f>
        <v>0</v>
      </c>
      <c r="K2908" s="22" t="n">
        <f aca="false">IF(AND(ISNUMBER(F2908),ISNUMBER(G2908)),IF(ABS(D2908-E2908)=ABS(F2908-G2908),12,0),"")</f>
        <v>0</v>
      </c>
      <c r="L2908" s="23" t="n">
        <f aca="false">IF(ISNUMBER(H2908),H2908+I2908+J2908+K2908,"")</f>
        <v>15</v>
      </c>
    </row>
    <row r="2909" customFormat="false" ht="18" hidden="false" customHeight="true" outlineLevel="0" collapsed="false">
      <c r="A2909" s="25" t="s">
        <v>9</v>
      </c>
      <c r="B2909" s="26" t="s">
        <v>202</v>
      </c>
      <c r="C2909" s="27" t="s">
        <v>20</v>
      </c>
      <c r="D2909" s="28" t="n">
        <v>1</v>
      </c>
      <c r="E2909" s="28" t="n">
        <v>2</v>
      </c>
      <c r="F2909" s="29" t="n">
        <f aca="false">'📋 Matches'!E5</f>
        <v>4</v>
      </c>
      <c r="G2909" s="29" t="n">
        <f aca="false">'📋 Matches'!F5</f>
        <v>1</v>
      </c>
      <c r="H2909" s="22" t="n">
        <f aca="false">IF(AND(ISNUMBER(F2909),ISNUMBER(G2909)),IF(SIGN(D2909-E2909)=SIGN(F2909-G2909),48,0),"")</f>
        <v>0</v>
      </c>
      <c r="I2909" s="22" t="n">
        <f aca="false">IF(AND(ISNUMBER(F2909),ISNUMBER(G2909)),IF(D2909=F2909,15,0),"")</f>
        <v>0</v>
      </c>
      <c r="J2909" s="22" t="n">
        <f aca="false">IF(AND(ISNUMBER(F2909),ISNUMBER(G2909)),IF(E2909=G2909,15,0),"")</f>
        <v>0</v>
      </c>
      <c r="K2909" s="22" t="n">
        <f aca="false">IF(AND(ISNUMBER(F2909),ISNUMBER(G2909)),IF(ABS(D2909-E2909)=ABS(F2909-G2909),12,0),"")</f>
        <v>0</v>
      </c>
      <c r="L2909" s="23" t="n">
        <f aca="false">IF(ISNUMBER(H2909),H2909+I2909+J2909+K2909,"")</f>
        <v>0</v>
      </c>
    </row>
    <row r="2910" customFormat="false" ht="18" hidden="false" customHeight="true" outlineLevel="0" collapsed="false">
      <c r="A2910" s="25" t="s">
        <v>9</v>
      </c>
      <c r="B2910" s="26" t="s">
        <v>202</v>
      </c>
      <c r="C2910" s="27" t="s">
        <v>23</v>
      </c>
      <c r="D2910" s="28" t="n">
        <v>0</v>
      </c>
      <c r="E2910" s="28" t="n">
        <v>2</v>
      </c>
      <c r="F2910" s="29" t="n">
        <f aca="false">'📋 Matches'!E6</f>
        <v>0</v>
      </c>
      <c r="G2910" s="29" t="n">
        <f aca="false">'📋 Matches'!F6</f>
        <v>0</v>
      </c>
      <c r="H2910" s="22" t="str">
        <f aca="false">IF(AND(ISNUMBER(F2910),ISNUMBER(G2910)),IF(SIGN(D2910-E2910)=SIGN(F2910-G2910),48,0),"")</f>
        <v/>
      </c>
      <c r="I2910" s="22" t="str">
        <f aca="false">IF(AND(ISNUMBER(F2910),ISNUMBER(G2910)),IF(D2910=F2910,15,0),"")</f>
        <v/>
      </c>
      <c r="J2910" s="22" t="str">
        <f aca="false">IF(AND(ISNUMBER(F2910),ISNUMBER(G2910)),IF(E2910=G2910,15,0),"")</f>
        <v/>
      </c>
      <c r="K2910" s="22" t="str">
        <f aca="false">IF(AND(ISNUMBER(F2910),ISNUMBER(G2910)),IF(ABS(D2910-E2910)=ABS(F2910-G2910),12,0),"")</f>
        <v/>
      </c>
      <c r="L2910" s="23" t="str">
        <f aca="false">IF(ISNUMBER(H2910),H2910+I2910+J2910+K2910,"")</f>
        <v/>
      </c>
    </row>
    <row r="2911" customFormat="false" ht="18" hidden="false" customHeight="true" outlineLevel="0" collapsed="false">
      <c r="A2911" s="25" t="s">
        <v>9</v>
      </c>
      <c r="B2911" s="26" t="s">
        <v>202</v>
      </c>
      <c r="C2911" s="27" t="s">
        <v>27</v>
      </c>
      <c r="D2911" s="28" t="n">
        <v>3</v>
      </c>
      <c r="E2911" s="28" t="n">
        <v>1</v>
      </c>
      <c r="F2911" s="29" t="n">
        <f aca="false">'📋 Matches'!E7</f>
        <v>0</v>
      </c>
      <c r="G2911" s="29" t="n">
        <f aca="false">'📋 Matches'!F7</f>
        <v>0</v>
      </c>
      <c r="H2911" s="22" t="str">
        <f aca="false">IF(AND(ISNUMBER(F2911),ISNUMBER(G2911)),IF(SIGN(D2911-E2911)=SIGN(F2911-G2911),48,0),"")</f>
        <v/>
      </c>
      <c r="I2911" s="22" t="str">
        <f aca="false">IF(AND(ISNUMBER(F2911),ISNUMBER(G2911)),IF(D2911=F2911,15,0),"")</f>
        <v/>
      </c>
      <c r="J2911" s="22" t="str">
        <f aca="false">IF(AND(ISNUMBER(F2911),ISNUMBER(G2911)),IF(E2911=G2911,15,0),"")</f>
        <v/>
      </c>
      <c r="K2911" s="22" t="str">
        <f aca="false">IF(AND(ISNUMBER(F2911),ISNUMBER(G2911)),IF(ABS(D2911-E2911)=ABS(F2911-G2911),12,0),"")</f>
        <v/>
      </c>
      <c r="L2911" s="23" t="str">
        <f aca="false">IF(ISNUMBER(H2911),H2911+I2911+J2911+K2911,"")</f>
        <v/>
      </c>
    </row>
    <row r="2912" customFormat="false" ht="18" hidden="false" customHeight="true" outlineLevel="0" collapsed="false">
      <c r="A2912" s="25" t="s">
        <v>9</v>
      </c>
      <c r="B2912" s="26" t="s">
        <v>202</v>
      </c>
      <c r="C2912" s="27" t="s">
        <v>30</v>
      </c>
      <c r="D2912" s="28" t="n">
        <v>0</v>
      </c>
      <c r="E2912" s="28" t="n">
        <v>1</v>
      </c>
      <c r="F2912" s="29" t="n">
        <f aca="false">'📋 Matches'!E8</f>
        <v>0</v>
      </c>
      <c r="G2912" s="29" t="n">
        <f aca="false">'📋 Matches'!F8</f>
        <v>0</v>
      </c>
      <c r="H2912" s="22" t="str">
        <f aca="false">IF(AND(ISNUMBER(F2912),ISNUMBER(G2912)),IF(SIGN(D2912-E2912)=SIGN(F2912-G2912),48,0),"")</f>
        <v/>
      </c>
      <c r="I2912" s="22" t="str">
        <f aca="false">IF(AND(ISNUMBER(F2912),ISNUMBER(G2912)),IF(D2912=F2912,15,0),"")</f>
        <v/>
      </c>
      <c r="J2912" s="22" t="str">
        <f aca="false">IF(AND(ISNUMBER(F2912),ISNUMBER(G2912)),IF(E2912=G2912,15,0),"")</f>
        <v/>
      </c>
      <c r="K2912" s="22" t="str">
        <f aca="false">IF(AND(ISNUMBER(F2912),ISNUMBER(G2912)),IF(ABS(D2912-E2912)=ABS(F2912-G2912),12,0),"")</f>
        <v/>
      </c>
      <c r="L2912" s="23" t="str">
        <f aca="false">IF(ISNUMBER(H2912),H2912+I2912+J2912+K2912,"")</f>
        <v/>
      </c>
    </row>
    <row r="2913" customFormat="false" ht="18" hidden="false" customHeight="true" outlineLevel="0" collapsed="false">
      <c r="A2913" s="25" t="s">
        <v>9</v>
      </c>
      <c r="B2913" s="26" t="s">
        <v>202</v>
      </c>
      <c r="C2913" s="27" t="s">
        <v>33</v>
      </c>
      <c r="D2913" s="28" t="n">
        <v>1</v>
      </c>
      <c r="E2913" s="28" t="n">
        <v>2</v>
      </c>
      <c r="F2913" s="29" t="n">
        <f aca="false">'📋 Matches'!E9</f>
        <v>0</v>
      </c>
      <c r="G2913" s="29" t="n">
        <f aca="false">'📋 Matches'!F9</f>
        <v>0</v>
      </c>
      <c r="H2913" s="22" t="str">
        <f aca="false">IF(AND(ISNUMBER(F2913),ISNUMBER(G2913)),IF(SIGN(D2913-E2913)=SIGN(F2913-G2913),48,0),"")</f>
        <v/>
      </c>
      <c r="I2913" s="22" t="str">
        <f aca="false">IF(AND(ISNUMBER(F2913),ISNUMBER(G2913)),IF(D2913=F2913,15,0),"")</f>
        <v/>
      </c>
      <c r="J2913" s="22" t="str">
        <f aca="false">IF(AND(ISNUMBER(F2913),ISNUMBER(G2913)),IF(E2913=G2913,15,0),"")</f>
        <v/>
      </c>
      <c r="K2913" s="22" t="str">
        <f aca="false">IF(AND(ISNUMBER(F2913),ISNUMBER(G2913)),IF(ABS(D2913-E2913)=ABS(F2913-G2913),12,0),"")</f>
        <v/>
      </c>
      <c r="L2913" s="23" t="str">
        <f aca="false">IF(ISNUMBER(H2913),H2913+I2913+J2913+K2913,"")</f>
        <v/>
      </c>
    </row>
    <row r="2914" customFormat="false" ht="18" hidden="false" customHeight="true" outlineLevel="0" collapsed="false">
      <c r="A2914" s="25" t="s">
        <v>9</v>
      </c>
      <c r="B2914" s="26" t="s">
        <v>202</v>
      </c>
      <c r="C2914" s="27" t="s">
        <v>36</v>
      </c>
      <c r="D2914" s="28" t="n">
        <v>6</v>
      </c>
      <c r="E2914" s="28" t="n">
        <v>0</v>
      </c>
      <c r="F2914" s="29" t="n">
        <f aca="false">'📋 Matches'!E10</f>
        <v>0</v>
      </c>
      <c r="G2914" s="29" t="n">
        <f aca="false">'📋 Matches'!F10</f>
        <v>0</v>
      </c>
      <c r="H2914" s="22" t="str">
        <f aca="false">IF(AND(ISNUMBER(F2914),ISNUMBER(G2914)),IF(SIGN(D2914-E2914)=SIGN(F2914-G2914),48,0),"")</f>
        <v/>
      </c>
      <c r="I2914" s="22" t="str">
        <f aca="false">IF(AND(ISNUMBER(F2914),ISNUMBER(G2914)),IF(D2914=F2914,15,0),"")</f>
        <v/>
      </c>
      <c r="J2914" s="22" t="str">
        <f aca="false">IF(AND(ISNUMBER(F2914),ISNUMBER(G2914)),IF(E2914=G2914,15,0),"")</f>
        <v/>
      </c>
      <c r="K2914" s="22" t="str">
        <f aca="false">IF(AND(ISNUMBER(F2914),ISNUMBER(G2914)),IF(ABS(D2914-E2914)=ABS(F2914-G2914),12,0),"")</f>
        <v/>
      </c>
      <c r="L2914" s="23" t="str">
        <f aca="false">IF(ISNUMBER(H2914),H2914+I2914+J2914+K2914,"")</f>
        <v/>
      </c>
    </row>
    <row r="2915" customFormat="false" ht="18" hidden="false" customHeight="true" outlineLevel="0" collapsed="false">
      <c r="A2915" s="25" t="s">
        <v>9</v>
      </c>
      <c r="B2915" s="26" t="s">
        <v>202</v>
      </c>
      <c r="C2915" s="27" t="s">
        <v>39</v>
      </c>
      <c r="D2915" s="28" t="n">
        <v>2</v>
      </c>
      <c r="E2915" s="28" t="n">
        <v>2</v>
      </c>
      <c r="F2915" s="29" t="n">
        <f aca="false">'📋 Matches'!E11</f>
        <v>0</v>
      </c>
      <c r="G2915" s="29" t="n">
        <f aca="false">'📋 Matches'!F11</f>
        <v>0</v>
      </c>
      <c r="H2915" s="22" t="str">
        <f aca="false">IF(AND(ISNUMBER(F2915),ISNUMBER(G2915)),IF(SIGN(D2915-E2915)=SIGN(F2915-G2915),48,0),"")</f>
        <v/>
      </c>
      <c r="I2915" s="22" t="str">
        <f aca="false">IF(AND(ISNUMBER(F2915),ISNUMBER(G2915)),IF(D2915=F2915,15,0),"")</f>
        <v/>
      </c>
      <c r="J2915" s="22" t="str">
        <f aca="false">IF(AND(ISNUMBER(F2915),ISNUMBER(G2915)),IF(E2915=G2915,15,0),"")</f>
        <v/>
      </c>
      <c r="K2915" s="22" t="str">
        <f aca="false">IF(AND(ISNUMBER(F2915),ISNUMBER(G2915)),IF(ABS(D2915-E2915)=ABS(F2915-G2915),12,0),"")</f>
        <v/>
      </c>
      <c r="L2915" s="23" t="str">
        <f aca="false">IF(ISNUMBER(H2915),H2915+I2915+J2915+K2915,"")</f>
        <v/>
      </c>
    </row>
    <row r="2916" customFormat="false" ht="18" hidden="false" customHeight="true" outlineLevel="0" collapsed="false">
      <c r="A2916" s="25" t="s">
        <v>9</v>
      </c>
      <c r="B2916" s="26" t="s">
        <v>202</v>
      </c>
      <c r="C2916" s="27" t="s">
        <v>42</v>
      </c>
      <c r="D2916" s="28" t="n">
        <v>1</v>
      </c>
      <c r="E2916" s="28" t="n">
        <v>1</v>
      </c>
      <c r="F2916" s="29" t="n">
        <f aca="false">'📋 Matches'!E12</f>
        <v>0</v>
      </c>
      <c r="G2916" s="29" t="n">
        <f aca="false">'📋 Matches'!F12</f>
        <v>0</v>
      </c>
      <c r="H2916" s="22" t="str">
        <f aca="false">IF(AND(ISNUMBER(F2916),ISNUMBER(G2916)),IF(SIGN(D2916-E2916)=SIGN(F2916-G2916),48,0),"")</f>
        <v/>
      </c>
      <c r="I2916" s="22" t="str">
        <f aca="false">IF(AND(ISNUMBER(F2916),ISNUMBER(G2916)),IF(D2916=F2916,15,0),"")</f>
        <v/>
      </c>
      <c r="J2916" s="22" t="str">
        <f aca="false">IF(AND(ISNUMBER(F2916),ISNUMBER(G2916)),IF(E2916=G2916,15,0),"")</f>
        <v/>
      </c>
      <c r="K2916" s="22" t="str">
        <f aca="false">IF(AND(ISNUMBER(F2916),ISNUMBER(G2916)),IF(ABS(D2916-E2916)=ABS(F2916-G2916),12,0),"")</f>
        <v/>
      </c>
      <c r="L2916" s="23" t="str">
        <f aca="false">IF(ISNUMBER(H2916),H2916+I2916+J2916+K2916,"")</f>
        <v/>
      </c>
    </row>
    <row r="2917" customFormat="false" ht="18" hidden="false" customHeight="true" outlineLevel="0" collapsed="false">
      <c r="A2917" s="25" t="s">
        <v>9</v>
      </c>
      <c r="B2917" s="26" t="s">
        <v>202</v>
      </c>
      <c r="C2917" s="27" t="s">
        <v>45</v>
      </c>
      <c r="D2917" s="28" t="n">
        <v>2</v>
      </c>
      <c r="E2917" s="28" t="n">
        <v>0</v>
      </c>
      <c r="F2917" s="29" t="n">
        <f aca="false">'📋 Matches'!E13</f>
        <v>0</v>
      </c>
      <c r="G2917" s="29" t="n">
        <f aca="false">'📋 Matches'!F13</f>
        <v>0</v>
      </c>
      <c r="H2917" s="22" t="str">
        <f aca="false">IF(AND(ISNUMBER(F2917),ISNUMBER(G2917)),IF(SIGN(D2917-E2917)=SIGN(F2917-G2917),48,0),"")</f>
        <v/>
      </c>
      <c r="I2917" s="22" t="str">
        <f aca="false">IF(AND(ISNUMBER(F2917),ISNUMBER(G2917)),IF(D2917=F2917,15,0),"")</f>
        <v/>
      </c>
      <c r="J2917" s="22" t="str">
        <f aca="false">IF(AND(ISNUMBER(F2917),ISNUMBER(G2917)),IF(E2917=G2917,15,0),"")</f>
        <v/>
      </c>
      <c r="K2917" s="22" t="str">
        <f aca="false">IF(AND(ISNUMBER(F2917),ISNUMBER(G2917)),IF(ABS(D2917-E2917)=ABS(F2917-G2917),12,0),"")</f>
        <v/>
      </c>
      <c r="L2917" s="23" t="str">
        <f aca="false">IF(ISNUMBER(H2917),H2917+I2917+J2917+K2917,"")</f>
        <v/>
      </c>
    </row>
    <row r="2918" customFormat="false" ht="18" hidden="false" customHeight="true" outlineLevel="0" collapsed="false">
      <c r="A2918" s="25" t="s">
        <v>9</v>
      </c>
      <c r="B2918" s="26" t="s">
        <v>202</v>
      </c>
      <c r="C2918" s="27" t="s">
        <v>48</v>
      </c>
      <c r="D2918" s="28" t="n">
        <v>5</v>
      </c>
      <c r="E2918" s="28" t="n">
        <v>0</v>
      </c>
      <c r="F2918" s="29" t="n">
        <f aca="false">'📋 Matches'!E14</f>
        <v>0</v>
      </c>
      <c r="G2918" s="29" t="n">
        <f aca="false">'📋 Matches'!F14</f>
        <v>0</v>
      </c>
      <c r="H2918" s="22" t="str">
        <f aca="false">IF(AND(ISNUMBER(F2918),ISNUMBER(G2918)),IF(SIGN(D2918-E2918)=SIGN(F2918-G2918),48,0),"")</f>
        <v/>
      </c>
      <c r="I2918" s="22" t="str">
        <f aca="false">IF(AND(ISNUMBER(F2918),ISNUMBER(G2918)),IF(D2918=F2918,15,0),"")</f>
        <v/>
      </c>
      <c r="J2918" s="22" t="str">
        <f aca="false">IF(AND(ISNUMBER(F2918),ISNUMBER(G2918)),IF(E2918=G2918,15,0),"")</f>
        <v/>
      </c>
      <c r="K2918" s="22" t="str">
        <f aca="false">IF(AND(ISNUMBER(F2918),ISNUMBER(G2918)),IF(ABS(D2918-E2918)=ABS(F2918-G2918),12,0),"")</f>
        <v/>
      </c>
      <c r="L2918" s="23" t="str">
        <f aca="false">IF(ISNUMBER(H2918),H2918+I2918+J2918+K2918,"")</f>
        <v/>
      </c>
    </row>
    <row r="2919" customFormat="false" ht="18" hidden="false" customHeight="true" outlineLevel="0" collapsed="false">
      <c r="A2919" s="25" t="s">
        <v>9</v>
      </c>
      <c r="B2919" s="26" t="s">
        <v>202</v>
      </c>
      <c r="C2919" s="27" t="s">
        <v>51</v>
      </c>
      <c r="D2919" s="28" t="n">
        <v>3</v>
      </c>
      <c r="E2919" s="28" t="n">
        <v>1</v>
      </c>
      <c r="F2919" s="29" t="n">
        <f aca="false">'📋 Matches'!E15</f>
        <v>0</v>
      </c>
      <c r="G2919" s="29" t="n">
        <f aca="false">'📋 Matches'!F15</f>
        <v>0</v>
      </c>
      <c r="H2919" s="22" t="str">
        <f aca="false">IF(AND(ISNUMBER(F2919),ISNUMBER(G2919)),IF(SIGN(D2919-E2919)=SIGN(F2919-G2919),48,0),"")</f>
        <v/>
      </c>
      <c r="I2919" s="22" t="str">
        <f aca="false">IF(AND(ISNUMBER(F2919),ISNUMBER(G2919)),IF(D2919=F2919,15,0),"")</f>
        <v/>
      </c>
      <c r="J2919" s="22" t="str">
        <f aca="false">IF(AND(ISNUMBER(F2919),ISNUMBER(G2919)),IF(E2919=G2919,15,0),"")</f>
        <v/>
      </c>
      <c r="K2919" s="22" t="str">
        <f aca="false">IF(AND(ISNUMBER(F2919),ISNUMBER(G2919)),IF(ABS(D2919-E2919)=ABS(F2919-G2919),12,0),"")</f>
        <v/>
      </c>
      <c r="L2919" s="23" t="str">
        <f aca="false">IF(ISNUMBER(H2919),H2919+I2919+J2919+K2919,"")</f>
        <v/>
      </c>
    </row>
    <row r="2920" customFormat="false" ht="18" hidden="false" customHeight="true" outlineLevel="0" collapsed="false">
      <c r="A2920" s="25" t="s">
        <v>9</v>
      </c>
      <c r="B2920" s="26" t="s">
        <v>202</v>
      </c>
      <c r="C2920" s="27" t="s">
        <v>54</v>
      </c>
      <c r="D2920" s="28" t="n">
        <v>0</v>
      </c>
      <c r="E2920" s="28" t="n">
        <v>3</v>
      </c>
      <c r="F2920" s="29" t="n">
        <f aca="false">'📋 Matches'!E16</f>
        <v>0</v>
      </c>
      <c r="G2920" s="29" t="n">
        <f aca="false">'📋 Matches'!F16</f>
        <v>0</v>
      </c>
      <c r="H2920" s="22" t="str">
        <f aca="false">IF(AND(ISNUMBER(F2920),ISNUMBER(G2920)),IF(SIGN(D2920-E2920)=SIGN(F2920-G2920),48,0),"")</f>
        <v/>
      </c>
      <c r="I2920" s="22" t="str">
        <f aca="false">IF(AND(ISNUMBER(F2920),ISNUMBER(G2920)),IF(D2920=F2920,15,0),"")</f>
        <v/>
      </c>
      <c r="J2920" s="22" t="str">
        <f aca="false">IF(AND(ISNUMBER(F2920),ISNUMBER(G2920)),IF(E2920=G2920,15,0),"")</f>
        <v/>
      </c>
      <c r="K2920" s="22" t="str">
        <f aca="false">IF(AND(ISNUMBER(F2920),ISNUMBER(G2920)),IF(ABS(D2920-E2920)=ABS(F2920-G2920),12,0),"")</f>
        <v/>
      </c>
      <c r="L2920" s="23" t="str">
        <f aca="false">IF(ISNUMBER(H2920),H2920+I2920+J2920+K2920,"")</f>
        <v/>
      </c>
    </row>
    <row r="2921" customFormat="false" ht="18" hidden="false" customHeight="true" outlineLevel="0" collapsed="false">
      <c r="A2921" s="25" t="s">
        <v>9</v>
      </c>
      <c r="B2921" s="26" t="s">
        <v>202</v>
      </c>
      <c r="C2921" s="27" t="s">
        <v>57</v>
      </c>
      <c r="D2921" s="28" t="n">
        <v>2</v>
      </c>
      <c r="E2921" s="28" t="n">
        <v>0</v>
      </c>
      <c r="F2921" s="29" t="n">
        <f aca="false">'📋 Matches'!E17</f>
        <v>0</v>
      </c>
      <c r="G2921" s="29" t="n">
        <f aca="false">'📋 Matches'!F17</f>
        <v>0</v>
      </c>
      <c r="H2921" s="22" t="str">
        <f aca="false">IF(AND(ISNUMBER(F2921),ISNUMBER(G2921)),IF(SIGN(D2921-E2921)=SIGN(F2921-G2921),48,0),"")</f>
        <v/>
      </c>
      <c r="I2921" s="22" t="str">
        <f aca="false">IF(AND(ISNUMBER(F2921),ISNUMBER(G2921)),IF(D2921=F2921,15,0),"")</f>
        <v/>
      </c>
      <c r="J2921" s="22" t="str">
        <f aca="false">IF(AND(ISNUMBER(F2921),ISNUMBER(G2921)),IF(E2921=G2921,15,0),"")</f>
        <v/>
      </c>
      <c r="K2921" s="22" t="str">
        <f aca="false">IF(AND(ISNUMBER(F2921),ISNUMBER(G2921)),IF(ABS(D2921-E2921)=ABS(F2921-G2921),12,0),"")</f>
        <v/>
      </c>
      <c r="L2921" s="23" t="str">
        <f aca="false">IF(ISNUMBER(H2921),H2921+I2921+J2921+K2921,"")</f>
        <v/>
      </c>
    </row>
    <row r="2922" customFormat="false" ht="18" hidden="false" customHeight="true" outlineLevel="0" collapsed="false">
      <c r="A2922" s="25" t="s">
        <v>9</v>
      </c>
      <c r="B2922" s="26" t="s">
        <v>202</v>
      </c>
      <c r="C2922" s="27" t="s">
        <v>60</v>
      </c>
      <c r="D2922" s="28" t="n">
        <v>3</v>
      </c>
      <c r="E2922" s="28" t="n">
        <v>0</v>
      </c>
      <c r="F2922" s="29" t="n">
        <f aca="false">'📋 Matches'!E18</f>
        <v>0</v>
      </c>
      <c r="G2922" s="29" t="n">
        <f aca="false">'📋 Matches'!F18</f>
        <v>0</v>
      </c>
      <c r="H2922" s="22" t="str">
        <f aca="false">IF(AND(ISNUMBER(F2922),ISNUMBER(G2922)),IF(SIGN(D2922-E2922)=SIGN(F2922-G2922),48,0),"")</f>
        <v/>
      </c>
      <c r="I2922" s="22" t="str">
        <f aca="false">IF(AND(ISNUMBER(F2922),ISNUMBER(G2922)),IF(D2922=F2922,15,0),"")</f>
        <v/>
      </c>
      <c r="J2922" s="22" t="str">
        <f aca="false">IF(AND(ISNUMBER(F2922),ISNUMBER(G2922)),IF(E2922=G2922,15,0),"")</f>
        <v/>
      </c>
      <c r="K2922" s="22" t="str">
        <f aca="false">IF(AND(ISNUMBER(F2922),ISNUMBER(G2922)),IF(ABS(D2922-E2922)=ABS(F2922-G2922),12,0),"")</f>
        <v/>
      </c>
      <c r="L2922" s="23" t="str">
        <f aca="false">IF(ISNUMBER(H2922),H2922+I2922+J2922+K2922,"")</f>
        <v/>
      </c>
    </row>
    <row r="2923" customFormat="false" ht="18" hidden="false" customHeight="true" outlineLevel="0" collapsed="false">
      <c r="A2923" s="25" t="s">
        <v>9</v>
      </c>
      <c r="B2923" s="26" t="s">
        <v>202</v>
      </c>
      <c r="C2923" s="27" t="s">
        <v>63</v>
      </c>
      <c r="D2923" s="28" t="n">
        <v>0</v>
      </c>
      <c r="E2923" s="28" t="n">
        <v>3</v>
      </c>
      <c r="F2923" s="29" t="n">
        <f aca="false">'📋 Matches'!E19</f>
        <v>0</v>
      </c>
      <c r="G2923" s="29" t="n">
        <f aca="false">'📋 Matches'!F19</f>
        <v>0</v>
      </c>
      <c r="H2923" s="22" t="str">
        <f aca="false">IF(AND(ISNUMBER(F2923),ISNUMBER(G2923)),IF(SIGN(D2923-E2923)=SIGN(F2923-G2923),48,0),"")</f>
        <v/>
      </c>
      <c r="I2923" s="22" t="str">
        <f aca="false">IF(AND(ISNUMBER(F2923),ISNUMBER(G2923)),IF(D2923=F2923,15,0),"")</f>
        <v/>
      </c>
      <c r="J2923" s="22" t="str">
        <f aca="false">IF(AND(ISNUMBER(F2923),ISNUMBER(G2923)),IF(E2923=G2923,15,0),"")</f>
        <v/>
      </c>
      <c r="K2923" s="22" t="str">
        <f aca="false">IF(AND(ISNUMBER(F2923),ISNUMBER(G2923)),IF(ABS(D2923-E2923)=ABS(F2923-G2923),12,0),"")</f>
        <v/>
      </c>
      <c r="L2923" s="23" t="str">
        <f aca="false">IF(ISNUMBER(H2923),H2923+I2923+J2923+K2923,"")</f>
        <v/>
      </c>
    </row>
    <row r="2924" customFormat="false" ht="18" hidden="false" customHeight="true" outlineLevel="0" collapsed="false">
      <c r="A2924" s="25" t="s">
        <v>9</v>
      </c>
      <c r="B2924" s="26" t="s">
        <v>202</v>
      </c>
      <c r="C2924" s="27" t="s">
        <v>66</v>
      </c>
      <c r="D2924" s="28" t="n">
        <v>3</v>
      </c>
      <c r="E2924" s="28" t="n">
        <v>0</v>
      </c>
      <c r="F2924" s="29" t="n">
        <f aca="false">'📋 Matches'!E20</f>
        <v>0</v>
      </c>
      <c r="G2924" s="29" t="n">
        <f aca="false">'📋 Matches'!F20</f>
        <v>0</v>
      </c>
      <c r="H2924" s="22" t="str">
        <f aca="false">IF(AND(ISNUMBER(F2924),ISNUMBER(G2924)),IF(SIGN(D2924-E2924)=SIGN(F2924-G2924),48,0),"")</f>
        <v/>
      </c>
      <c r="I2924" s="22" t="str">
        <f aca="false">IF(AND(ISNUMBER(F2924),ISNUMBER(G2924)),IF(D2924=F2924,15,0),"")</f>
        <v/>
      </c>
      <c r="J2924" s="22" t="str">
        <f aca="false">IF(AND(ISNUMBER(F2924),ISNUMBER(G2924)),IF(E2924=G2924,15,0),"")</f>
        <v/>
      </c>
      <c r="K2924" s="22" t="str">
        <f aca="false">IF(AND(ISNUMBER(F2924),ISNUMBER(G2924)),IF(ABS(D2924-E2924)=ABS(F2924-G2924),12,0),"")</f>
        <v/>
      </c>
      <c r="L2924" s="23" t="str">
        <f aca="false">IF(ISNUMBER(H2924),H2924+I2924+J2924+K2924,"")</f>
        <v/>
      </c>
    </row>
    <row r="2925" customFormat="false" ht="18" hidden="false" customHeight="true" outlineLevel="0" collapsed="false">
      <c r="A2925" s="25" t="s">
        <v>9</v>
      </c>
      <c r="B2925" s="26" t="s">
        <v>202</v>
      </c>
      <c r="C2925" s="27" t="s">
        <v>69</v>
      </c>
      <c r="D2925" s="28" t="n">
        <v>2</v>
      </c>
      <c r="E2925" s="28" t="n">
        <v>0</v>
      </c>
      <c r="F2925" s="29" t="n">
        <f aca="false">'📋 Matches'!E21</f>
        <v>0</v>
      </c>
      <c r="G2925" s="29" t="n">
        <f aca="false">'📋 Matches'!F21</f>
        <v>0</v>
      </c>
      <c r="H2925" s="22" t="str">
        <f aca="false">IF(AND(ISNUMBER(F2925),ISNUMBER(G2925)),IF(SIGN(D2925-E2925)=SIGN(F2925-G2925),48,0),"")</f>
        <v/>
      </c>
      <c r="I2925" s="22" t="str">
        <f aca="false">IF(AND(ISNUMBER(F2925),ISNUMBER(G2925)),IF(D2925=F2925,15,0),"")</f>
        <v/>
      </c>
      <c r="J2925" s="22" t="str">
        <f aca="false">IF(AND(ISNUMBER(F2925),ISNUMBER(G2925)),IF(E2925=G2925,15,0),"")</f>
        <v/>
      </c>
      <c r="K2925" s="22" t="str">
        <f aca="false">IF(AND(ISNUMBER(F2925),ISNUMBER(G2925)),IF(ABS(D2925-E2925)=ABS(F2925-G2925),12,0),"")</f>
        <v/>
      </c>
      <c r="L2925" s="23" t="str">
        <f aca="false">IF(ISNUMBER(H2925),H2925+I2925+J2925+K2925,"")</f>
        <v/>
      </c>
    </row>
    <row r="2926" customFormat="false" ht="18" hidden="false" customHeight="true" outlineLevel="0" collapsed="false">
      <c r="A2926" s="25" t="s">
        <v>9</v>
      </c>
      <c r="B2926" s="26" t="s">
        <v>202</v>
      </c>
      <c r="C2926" s="27" t="s">
        <v>72</v>
      </c>
      <c r="D2926" s="28" t="n">
        <v>4</v>
      </c>
      <c r="E2926" s="28" t="n">
        <v>0</v>
      </c>
      <c r="F2926" s="29" t="n">
        <f aca="false">'📋 Matches'!E22</f>
        <v>0</v>
      </c>
      <c r="G2926" s="29" t="n">
        <f aca="false">'📋 Matches'!F22</f>
        <v>0</v>
      </c>
      <c r="H2926" s="22" t="str">
        <f aca="false">IF(AND(ISNUMBER(F2926),ISNUMBER(G2926)),IF(SIGN(D2926-E2926)=SIGN(F2926-G2926),48,0),"")</f>
        <v/>
      </c>
      <c r="I2926" s="22" t="str">
        <f aca="false">IF(AND(ISNUMBER(F2926),ISNUMBER(G2926)),IF(D2926=F2926,15,0),"")</f>
        <v/>
      </c>
      <c r="J2926" s="22" t="str">
        <f aca="false">IF(AND(ISNUMBER(F2926),ISNUMBER(G2926)),IF(E2926=G2926,15,0),"")</f>
        <v/>
      </c>
      <c r="K2926" s="22" t="str">
        <f aca="false">IF(AND(ISNUMBER(F2926),ISNUMBER(G2926)),IF(ABS(D2926-E2926)=ABS(F2926-G2926),12,0),"")</f>
        <v/>
      </c>
      <c r="L2926" s="23" t="str">
        <f aca="false">IF(ISNUMBER(H2926),H2926+I2926+J2926+K2926,"")</f>
        <v/>
      </c>
    </row>
    <row r="2927" customFormat="false" ht="18" hidden="false" customHeight="true" outlineLevel="0" collapsed="false">
      <c r="A2927" s="25" t="s">
        <v>9</v>
      </c>
      <c r="B2927" s="26" t="s">
        <v>202</v>
      </c>
      <c r="C2927" s="27" t="s">
        <v>75</v>
      </c>
      <c r="D2927" s="28" t="n">
        <v>1</v>
      </c>
      <c r="E2927" s="28" t="n">
        <v>1</v>
      </c>
      <c r="F2927" s="29" t="n">
        <f aca="false">'📋 Matches'!E23</f>
        <v>0</v>
      </c>
      <c r="G2927" s="29" t="n">
        <f aca="false">'📋 Matches'!F23</f>
        <v>0</v>
      </c>
      <c r="H2927" s="22" t="str">
        <f aca="false">IF(AND(ISNUMBER(F2927),ISNUMBER(G2927)),IF(SIGN(D2927-E2927)=SIGN(F2927-G2927),48,0),"")</f>
        <v/>
      </c>
      <c r="I2927" s="22" t="str">
        <f aca="false">IF(AND(ISNUMBER(F2927),ISNUMBER(G2927)),IF(D2927=F2927,15,0),"")</f>
        <v/>
      </c>
      <c r="J2927" s="22" t="str">
        <f aca="false">IF(AND(ISNUMBER(F2927),ISNUMBER(G2927)),IF(E2927=G2927,15,0),"")</f>
        <v/>
      </c>
      <c r="K2927" s="22" t="str">
        <f aca="false">IF(AND(ISNUMBER(F2927),ISNUMBER(G2927)),IF(ABS(D2927-E2927)=ABS(F2927-G2927),12,0),"")</f>
        <v/>
      </c>
      <c r="L2927" s="23" t="str">
        <f aca="false">IF(ISNUMBER(H2927),H2927+I2927+J2927+K2927,"")</f>
        <v/>
      </c>
    </row>
    <row r="2928" customFormat="false" ht="18" hidden="false" customHeight="true" outlineLevel="0" collapsed="false">
      <c r="A2928" s="25" t="s">
        <v>9</v>
      </c>
      <c r="B2928" s="26" t="s">
        <v>202</v>
      </c>
      <c r="C2928" s="27" t="s">
        <v>78</v>
      </c>
      <c r="D2928" s="28" t="n">
        <v>2</v>
      </c>
      <c r="E2928" s="28" t="n">
        <v>0</v>
      </c>
      <c r="F2928" s="29" t="n">
        <f aca="false">'📋 Matches'!E24</f>
        <v>0</v>
      </c>
      <c r="G2928" s="29" t="n">
        <f aca="false">'📋 Matches'!F24</f>
        <v>0</v>
      </c>
      <c r="H2928" s="22" t="str">
        <f aca="false">IF(AND(ISNUMBER(F2928),ISNUMBER(G2928)),IF(SIGN(D2928-E2928)=SIGN(F2928-G2928),48,0),"")</f>
        <v/>
      </c>
      <c r="I2928" s="22" t="str">
        <f aca="false">IF(AND(ISNUMBER(F2928),ISNUMBER(G2928)),IF(D2928=F2928,15,0),"")</f>
        <v/>
      </c>
      <c r="J2928" s="22" t="str">
        <f aca="false">IF(AND(ISNUMBER(F2928),ISNUMBER(G2928)),IF(E2928=G2928,15,0),"")</f>
        <v/>
      </c>
      <c r="K2928" s="22" t="str">
        <f aca="false">IF(AND(ISNUMBER(F2928),ISNUMBER(G2928)),IF(ABS(D2928-E2928)=ABS(F2928-G2928),12,0),"")</f>
        <v/>
      </c>
      <c r="L2928" s="23" t="str">
        <f aca="false">IF(ISNUMBER(H2928),H2928+I2928+J2928+K2928,"")</f>
        <v/>
      </c>
    </row>
    <row r="2929" customFormat="false" ht="18" hidden="false" customHeight="true" outlineLevel="0" collapsed="false">
      <c r="A2929" s="25" t="s">
        <v>9</v>
      </c>
      <c r="B2929" s="26" t="s">
        <v>202</v>
      </c>
      <c r="C2929" s="27" t="s">
        <v>81</v>
      </c>
      <c r="D2929" s="28" t="n">
        <v>0</v>
      </c>
      <c r="E2929" s="28" t="n">
        <v>1</v>
      </c>
      <c r="F2929" s="29" t="n">
        <f aca="false">'📋 Matches'!E25</f>
        <v>0</v>
      </c>
      <c r="G2929" s="29" t="n">
        <f aca="false">'📋 Matches'!F25</f>
        <v>0</v>
      </c>
      <c r="H2929" s="22" t="str">
        <f aca="false">IF(AND(ISNUMBER(F2929),ISNUMBER(G2929)),IF(SIGN(D2929-E2929)=SIGN(F2929-G2929),48,0),"")</f>
        <v/>
      </c>
      <c r="I2929" s="22" t="str">
        <f aca="false">IF(AND(ISNUMBER(F2929),ISNUMBER(G2929)),IF(D2929=F2929,15,0),"")</f>
        <v/>
      </c>
      <c r="J2929" s="22" t="str">
        <f aca="false">IF(AND(ISNUMBER(F2929),ISNUMBER(G2929)),IF(E2929=G2929,15,0),"")</f>
        <v/>
      </c>
      <c r="K2929" s="22" t="str">
        <f aca="false">IF(AND(ISNUMBER(F2929),ISNUMBER(G2929)),IF(ABS(D2929-E2929)=ABS(F2929-G2929),12,0),"")</f>
        <v/>
      </c>
      <c r="L2929" s="23" t="str">
        <f aca="false">IF(ISNUMBER(H2929),H2929+I2929+J2929+K2929,"")</f>
        <v/>
      </c>
    </row>
    <row r="2930" customFormat="false" ht="18" hidden="false" customHeight="true" outlineLevel="0" collapsed="false">
      <c r="A2930" s="17" t="s">
        <v>9</v>
      </c>
      <c r="B2930" s="18" t="s">
        <v>203</v>
      </c>
      <c r="C2930" s="19" t="s">
        <v>10</v>
      </c>
      <c r="D2930" s="20" t="n">
        <v>2</v>
      </c>
      <c r="E2930" s="20" t="n">
        <v>1</v>
      </c>
      <c r="F2930" s="21" t="n">
        <f aca="false">'📋 Matches'!E2</f>
        <v>2</v>
      </c>
      <c r="G2930" s="21" t="n">
        <f aca="false">'📋 Matches'!F2</f>
        <v>0</v>
      </c>
      <c r="H2930" s="22" t="n">
        <f aca="false">IF(AND(ISNUMBER(F2930),ISNUMBER(G2930)),IF(SIGN(D2930-E2930)=SIGN(F2930-G2930),48,0),"")</f>
        <v>48</v>
      </c>
      <c r="I2930" s="22" t="n">
        <f aca="false">IF(AND(ISNUMBER(F2930),ISNUMBER(G2930)),IF(D2930=F2930,15,0),"")</f>
        <v>15</v>
      </c>
      <c r="J2930" s="22" t="n">
        <f aca="false">IF(AND(ISNUMBER(F2930),ISNUMBER(G2930)),IF(E2930=G2930,15,0),"")</f>
        <v>0</v>
      </c>
      <c r="K2930" s="22" t="n">
        <f aca="false">IF(AND(ISNUMBER(F2930),ISNUMBER(G2930)),IF(ABS(D2930-E2930)=ABS(F2930-G2930),12,0),"")</f>
        <v>0</v>
      </c>
      <c r="L2930" s="23" t="n">
        <f aca="false">IF(ISNUMBER(H2930),H2930+I2930+J2930+K2930,"")</f>
        <v>63</v>
      </c>
    </row>
    <row r="2931" customFormat="false" ht="18" hidden="false" customHeight="true" outlineLevel="0" collapsed="false">
      <c r="A2931" s="17" t="s">
        <v>9</v>
      </c>
      <c r="B2931" s="18" t="s">
        <v>203</v>
      </c>
      <c r="C2931" s="19" t="s">
        <v>14</v>
      </c>
      <c r="D2931" s="20" t="n">
        <v>2</v>
      </c>
      <c r="E2931" s="20" t="n">
        <v>3</v>
      </c>
      <c r="F2931" s="21" t="n">
        <f aca="false">'📋 Matches'!E3</f>
        <v>2</v>
      </c>
      <c r="G2931" s="21" t="n">
        <f aca="false">'📋 Matches'!F3</f>
        <v>1</v>
      </c>
      <c r="H2931" s="22" t="n">
        <f aca="false">IF(AND(ISNUMBER(F2931),ISNUMBER(G2931)),IF(SIGN(D2931-E2931)=SIGN(F2931-G2931),48,0),"")</f>
        <v>0</v>
      </c>
      <c r="I2931" s="22" t="n">
        <f aca="false">IF(AND(ISNUMBER(F2931),ISNUMBER(G2931)),IF(D2931=F2931,15,0),"")</f>
        <v>15</v>
      </c>
      <c r="J2931" s="22" t="n">
        <f aca="false">IF(AND(ISNUMBER(F2931),ISNUMBER(G2931)),IF(E2931=G2931,15,0),"")</f>
        <v>0</v>
      </c>
      <c r="K2931" s="22" t="n">
        <f aca="false">IF(AND(ISNUMBER(F2931),ISNUMBER(G2931)),IF(ABS(D2931-E2931)=ABS(F2931-G2931),12,0),"")</f>
        <v>12</v>
      </c>
      <c r="L2931" s="23" t="n">
        <f aca="false">IF(ISNUMBER(H2931),H2931+I2931+J2931+K2931,"")</f>
        <v>27</v>
      </c>
    </row>
    <row r="2932" customFormat="false" ht="18" hidden="false" customHeight="true" outlineLevel="0" collapsed="false">
      <c r="A2932" s="17" t="s">
        <v>9</v>
      </c>
      <c r="B2932" s="18" t="s">
        <v>203</v>
      </c>
      <c r="C2932" s="19" t="s">
        <v>17</v>
      </c>
      <c r="D2932" s="20" t="n">
        <v>4</v>
      </c>
      <c r="E2932" s="20" t="n">
        <v>1</v>
      </c>
      <c r="F2932" s="21" t="n">
        <f aca="false">'📋 Matches'!E4</f>
        <v>1</v>
      </c>
      <c r="G2932" s="21" t="n">
        <f aca="false">'📋 Matches'!F4</f>
        <v>1</v>
      </c>
      <c r="H2932" s="22" t="n">
        <f aca="false">IF(AND(ISNUMBER(F2932),ISNUMBER(G2932)),IF(SIGN(D2932-E2932)=SIGN(F2932-G2932),48,0),"")</f>
        <v>0</v>
      </c>
      <c r="I2932" s="22" t="n">
        <f aca="false">IF(AND(ISNUMBER(F2932),ISNUMBER(G2932)),IF(D2932=F2932,15,0),"")</f>
        <v>0</v>
      </c>
      <c r="J2932" s="22" t="n">
        <f aca="false">IF(AND(ISNUMBER(F2932),ISNUMBER(G2932)),IF(E2932=G2932,15,0),"")</f>
        <v>15</v>
      </c>
      <c r="K2932" s="22" t="n">
        <f aca="false">IF(AND(ISNUMBER(F2932),ISNUMBER(G2932)),IF(ABS(D2932-E2932)=ABS(F2932-G2932),12,0),"")</f>
        <v>0</v>
      </c>
      <c r="L2932" s="23" t="n">
        <f aca="false">IF(ISNUMBER(H2932),H2932+I2932+J2932+K2932,"")</f>
        <v>15</v>
      </c>
    </row>
    <row r="2933" customFormat="false" ht="18" hidden="false" customHeight="true" outlineLevel="0" collapsed="false">
      <c r="A2933" s="17" t="s">
        <v>9</v>
      </c>
      <c r="B2933" s="18" t="s">
        <v>203</v>
      </c>
      <c r="C2933" s="19" t="s">
        <v>20</v>
      </c>
      <c r="D2933" s="20" t="n">
        <v>3</v>
      </c>
      <c r="E2933" s="20" t="n">
        <v>2</v>
      </c>
      <c r="F2933" s="21" t="n">
        <f aca="false">'📋 Matches'!E5</f>
        <v>4</v>
      </c>
      <c r="G2933" s="21" t="n">
        <f aca="false">'📋 Matches'!F5</f>
        <v>1</v>
      </c>
      <c r="H2933" s="22" t="n">
        <f aca="false">IF(AND(ISNUMBER(F2933),ISNUMBER(G2933)),IF(SIGN(D2933-E2933)=SIGN(F2933-G2933),48,0),"")</f>
        <v>48</v>
      </c>
      <c r="I2933" s="22" t="n">
        <f aca="false">IF(AND(ISNUMBER(F2933),ISNUMBER(G2933)),IF(D2933=F2933,15,0),"")</f>
        <v>0</v>
      </c>
      <c r="J2933" s="22" t="n">
        <f aca="false">IF(AND(ISNUMBER(F2933),ISNUMBER(G2933)),IF(E2933=G2933,15,0),"")</f>
        <v>0</v>
      </c>
      <c r="K2933" s="22" t="n">
        <f aca="false">IF(AND(ISNUMBER(F2933),ISNUMBER(G2933)),IF(ABS(D2933-E2933)=ABS(F2933-G2933),12,0),"")</f>
        <v>0</v>
      </c>
      <c r="L2933" s="23" t="n">
        <f aca="false">IF(ISNUMBER(H2933),H2933+I2933+J2933+K2933,"")</f>
        <v>48</v>
      </c>
    </row>
    <row r="2934" customFormat="false" ht="18" hidden="false" customHeight="true" outlineLevel="0" collapsed="false">
      <c r="A2934" s="17" t="s">
        <v>9</v>
      </c>
      <c r="B2934" s="18" t="s">
        <v>203</v>
      </c>
      <c r="C2934" s="19" t="s">
        <v>23</v>
      </c>
      <c r="D2934" s="20" t="n">
        <v>2</v>
      </c>
      <c r="E2934" s="20" t="n">
        <v>3</v>
      </c>
      <c r="F2934" s="21" t="n">
        <f aca="false">'📋 Matches'!E6</f>
        <v>0</v>
      </c>
      <c r="G2934" s="21" t="n">
        <f aca="false">'📋 Matches'!F6</f>
        <v>0</v>
      </c>
      <c r="H2934" s="22" t="str">
        <f aca="false">IF(AND(ISNUMBER(F2934),ISNUMBER(G2934)),IF(SIGN(D2934-E2934)=SIGN(F2934-G2934),48,0),"")</f>
        <v/>
      </c>
      <c r="I2934" s="22" t="str">
        <f aca="false">IF(AND(ISNUMBER(F2934),ISNUMBER(G2934)),IF(D2934=F2934,15,0),"")</f>
        <v/>
      </c>
      <c r="J2934" s="22" t="str">
        <f aca="false">IF(AND(ISNUMBER(F2934),ISNUMBER(G2934)),IF(E2934=G2934,15,0),"")</f>
        <v/>
      </c>
      <c r="K2934" s="22" t="str">
        <f aca="false">IF(AND(ISNUMBER(F2934),ISNUMBER(G2934)),IF(ABS(D2934-E2934)=ABS(F2934-G2934),12,0),"")</f>
        <v/>
      </c>
      <c r="L2934" s="23" t="str">
        <f aca="false">IF(ISNUMBER(H2934),H2934+I2934+J2934+K2934,"")</f>
        <v/>
      </c>
    </row>
    <row r="2935" customFormat="false" ht="18" hidden="false" customHeight="true" outlineLevel="0" collapsed="false">
      <c r="A2935" s="17" t="s">
        <v>9</v>
      </c>
      <c r="B2935" s="18" t="s">
        <v>203</v>
      </c>
      <c r="C2935" s="19" t="s">
        <v>27</v>
      </c>
      <c r="D2935" s="20" t="n">
        <v>2</v>
      </c>
      <c r="E2935" s="20" t="n">
        <v>2</v>
      </c>
      <c r="F2935" s="21" t="n">
        <f aca="false">'📋 Matches'!E7</f>
        <v>0</v>
      </c>
      <c r="G2935" s="21" t="n">
        <f aca="false">'📋 Matches'!F7</f>
        <v>0</v>
      </c>
      <c r="H2935" s="22" t="str">
        <f aca="false">IF(AND(ISNUMBER(F2935),ISNUMBER(G2935)),IF(SIGN(D2935-E2935)=SIGN(F2935-G2935),48,0),"")</f>
        <v/>
      </c>
      <c r="I2935" s="22" t="str">
        <f aca="false">IF(AND(ISNUMBER(F2935),ISNUMBER(G2935)),IF(D2935=F2935,15,0),"")</f>
        <v/>
      </c>
      <c r="J2935" s="22" t="str">
        <f aca="false">IF(AND(ISNUMBER(F2935),ISNUMBER(G2935)),IF(E2935=G2935,15,0),"")</f>
        <v/>
      </c>
      <c r="K2935" s="22" t="str">
        <f aca="false">IF(AND(ISNUMBER(F2935),ISNUMBER(G2935)),IF(ABS(D2935-E2935)=ABS(F2935-G2935),12,0),"")</f>
        <v/>
      </c>
      <c r="L2935" s="23" t="str">
        <f aca="false">IF(ISNUMBER(H2935),H2935+I2935+J2935+K2935,"")</f>
        <v/>
      </c>
    </row>
    <row r="2936" customFormat="false" ht="18" hidden="false" customHeight="true" outlineLevel="0" collapsed="false">
      <c r="A2936" s="17" t="s">
        <v>9</v>
      </c>
      <c r="B2936" s="18" t="s">
        <v>203</v>
      </c>
      <c r="C2936" s="19" t="s">
        <v>30</v>
      </c>
      <c r="D2936" s="20" t="n">
        <v>1</v>
      </c>
      <c r="E2936" s="20" t="n">
        <v>1</v>
      </c>
      <c r="F2936" s="21" t="n">
        <f aca="false">'📋 Matches'!E8</f>
        <v>0</v>
      </c>
      <c r="G2936" s="21" t="n">
        <f aca="false">'📋 Matches'!F8</f>
        <v>0</v>
      </c>
      <c r="H2936" s="22" t="str">
        <f aca="false">IF(AND(ISNUMBER(F2936),ISNUMBER(G2936)),IF(SIGN(D2936-E2936)=SIGN(F2936-G2936),48,0),"")</f>
        <v/>
      </c>
      <c r="I2936" s="22" t="str">
        <f aca="false">IF(AND(ISNUMBER(F2936),ISNUMBER(G2936)),IF(D2936=F2936,15,0),"")</f>
        <v/>
      </c>
      <c r="J2936" s="22" t="str">
        <f aca="false">IF(AND(ISNUMBER(F2936),ISNUMBER(G2936)),IF(E2936=G2936,15,0),"")</f>
        <v/>
      </c>
      <c r="K2936" s="22" t="str">
        <f aca="false">IF(AND(ISNUMBER(F2936),ISNUMBER(G2936)),IF(ABS(D2936-E2936)=ABS(F2936-G2936),12,0),"")</f>
        <v/>
      </c>
      <c r="L2936" s="23" t="str">
        <f aca="false">IF(ISNUMBER(H2936),H2936+I2936+J2936+K2936,"")</f>
        <v/>
      </c>
    </row>
    <row r="2937" customFormat="false" ht="18" hidden="false" customHeight="true" outlineLevel="0" collapsed="false">
      <c r="A2937" s="17" t="s">
        <v>9</v>
      </c>
      <c r="B2937" s="18" t="s">
        <v>203</v>
      </c>
      <c r="C2937" s="19" t="s">
        <v>33</v>
      </c>
      <c r="D2937" s="20" t="n">
        <v>1</v>
      </c>
      <c r="E2937" s="20" t="n">
        <v>2</v>
      </c>
      <c r="F2937" s="21" t="n">
        <f aca="false">'📋 Matches'!E9</f>
        <v>0</v>
      </c>
      <c r="G2937" s="21" t="n">
        <f aca="false">'📋 Matches'!F9</f>
        <v>0</v>
      </c>
      <c r="H2937" s="22" t="str">
        <f aca="false">IF(AND(ISNUMBER(F2937),ISNUMBER(G2937)),IF(SIGN(D2937-E2937)=SIGN(F2937-G2937),48,0),"")</f>
        <v/>
      </c>
      <c r="I2937" s="22" t="str">
        <f aca="false">IF(AND(ISNUMBER(F2937),ISNUMBER(G2937)),IF(D2937=F2937,15,0),"")</f>
        <v/>
      </c>
      <c r="J2937" s="22" t="str">
        <f aca="false">IF(AND(ISNUMBER(F2937),ISNUMBER(G2937)),IF(E2937=G2937,15,0),"")</f>
        <v/>
      </c>
      <c r="K2937" s="22" t="str">
        <f aca="false">IF(AND(ISNUMBER(F2937),ISNUMBER(G2937)),IF(ABS(D2937-E2937)=ABS(F2937-G2937),12,0),"")</f>
        <v/>
      </c>
      <c r="L2937" s="23" t="str">
        <f aca="false">IF(ISNUMBER(H2937),H2937+I2937+J2937+K2937,"")</f>
        <v/>
      </c>
    </row>
    <row r="2938" customFormat="false" ht="18" hidden="false" customHeight="true" outlineLevel="0" collapsed="false">
      <c r="A2938" s="17" t="s">
        <v>9</v>
      </c>
      <c r="B2938" s="18" t="s">
        <v>203</v>
      </c>
      <c r="C2938" s="19" t="s">
        <v>36</v>
      </c>
      <c r="D2938" s="20" t="n">
        <v>3</v>
      </c>
      <c r="E2938" s="20" t="n">
        <v>1</v>
      </c>
      <c r="F2938" s="21" t="n">
        <f aca="false">'📋 Matches'!E10</f>
        <v>0</v>
      </c>
      <c r="G2938" s="21" t="n">
        <f aca="false">'📋 Matches'!F10</f>
        <v>0</v>
      </c>
      <c r="H2938" s="22" t="str">
        <f aca="false">IF(AND(ISNUMBER(F2938),ISNUMBER(G2938)),IF(SIGN(D2938-E2938)=SIGN(F2938-G2938),48,0),"")</f>
        <v/>
      </c>
      <c r="I2938" s="22" t="str">
        <f aca="false">IF(AND(ISNUMBER(F2938),ISNUMBER(G2938)),IF(D2938=F2938,15,0),"")</f>
        <v/>
      </c>
      <c r="J2938" s="22" t="str">
        <f aca="false">IF(AND(ISNUMBER(F2938),ISNUMBER(G2938)),IF(E2938=G2938,15,0),"")</f>
        <v/>
      </c>
      <c r="K2938" s="22" t="str">
        <f aca="false">IF(AND(ISNUMBER(F2938),ISNUMBER(G2938)),IF(ABS(D2938-E2938)=ABS(F2938-G2938),12,0),"")</f>
        <v/>
      </c>
      <c r="L2938" s="23" t="str">
        <f aca="false">IF(ISNUMBER(H2938),H2938+I2938+J2938+K2938,"")</f>
        <v/>
      </c>
    </row>
    <row r="2939" customFormat="false" ht="18" hidden="false" customHeight="true" outlineLevel="0" collapsed="false">
      <c r="A2939" s="17" t="s">
        <v>9</v>
      </c>
      <c r="B2939" s="18" t="s">
        <v>203</v>
      </c>
      <c r="C2939" s="19" t="s">
        <v>39</v>
      </c>
      <c r="D2939" s="20" t="n">
        <v>2</v>
      </c>
      <c r="E2939" s="20" t="n">
        <v>1</v>
      </c>
      <c r="F2939" s="21" t="n">
        <f aca="false">'📋 Matches'!E11</f>
        <v>0</v>
      </c>
      <c r="G2939" s="21" t="n">
        <f aca="false">'📋 Matches'!F11</f>
        <v>0</v>
      </c>
      <c r="H2939" s="22" t="str">
        <f aca="false">IF(AND(ISNUMBER(F2939),ISNUMBER(G2939)),IF(SIGN(D2939-E2939)=SIGN(F2939-G2939),48,0),"")</f>
        <v/>
      </c>
      <c r="I2939" s="22" t="str">
        <f aca="false">IF(AND(ISNUMBER(F2939),ISNUMBER(G2939)),IF(D2939=F2939,15,0),"")</f>
        <v/>
      </c>
      <c r="J2939" s="22" t="str">
        <f aca="false">IF(AND(ISNUMBER(F2939),ISNUMBER(G2939)),IF(E2939=G2939,15,0),"")</f>
        <v/>
      </c>
      <c r="K2939" s="22" t="str">
        <f aca="false">IF(AND(ISNUMBER(F2939),ISNUMBER(G2939)),IF(ABS(D2939-E2939)=ABS(F2939-G2939),12,0),"")</f>
        <v/>
      </c>
      <c r="L2939" s="23" t="str">
        <f aca="false">IF(ISNUMBER(H2939),H2939+I2939+J2939+K2939,"")</f>
        <v/>
      </c>
    </row>
    <row r="2940" customFormat="false" ht="18" hidden="false" customHeight="true" outlineLevel="0" collapsed="false">
      <c r="A2940" s="17" t="s">
        <v>9</v>
      </c>
      <c r="B2940" s="18" t="s">
        <v>203</v>
      </c>
      <c r="C2940" s="19" t="s">
        <v>42</v>
      </c>
      <c r="D2940" s="20" t="n">
        <v>1</v>
      </c>
      <c r="E2940" s="20" t="n">
        <v>4</v>
      </c>
      <c r="F2940" s="21" t="n">
        <f aca="false">'📋 Matches'!E12</f>
        <v>0</v>
      </c>
      <c r="G2940" s="21" t="n">
        <f aca="false">'📋 Matches'!F12</f>
        <v>0</v>
      </c>
      <c r="H2940" s="22" t="str">
        <f aca="false">IF(AND(ISNUMBER(F2940),ISNUMBER(G2940)),IF(SIGN(D2940-E2940)=SIGN(F2940-G2940),48,0),"")</f>
        <v/>
      </c>
      <c r="I2940" s="22" t="str">
        <f aca="false">IF(AND(ISNUMBER(F2940),ISNUMBER(G2940)),IF(D2940=F2940,15,0),"")</f>
        <v/>
      </c>
      <c r="J2940" s="22" t="str">
        <f aca="false">IF(AND(ISNUMBER(F2940),ISNUMBER(G2940)),IF(E2940=G2940,15,0),"")</f>
        <v/>
      </c>
      <c r="K2940" s="22" t="str">
        <f aca="false">IF(AND(ISNUMBER(F2940),ISNUMBER(G2940)),IF(ABS(D2940-E2940)=ABS(F2940-G2940),12,0),"")</f>
        <v/>
      </c>
      <c r="L2940" s="23" t="str">
        <f aca="false">IF(ISNUMBER(H2940),H2940+I2940+J2940+K2940,"")</f>
        <v/>
      </c>
    </row>
    <row r="2941" customFormat="false" ht="18" hidden="false" customHeight="true" outlineLevel="0" collapsed="false">
      <c r="A2941" s="17" t="s">
        <v>9</v>
      </c>
      <c r="B2941" s="18" t="s">
        <v>203</v>
      </c>
      <c r="C2941" s="19" t="s">
        <v>45</v>
      </c>
      <c r="D2941" s="20" t="n">
        <v>0</v>
      </c>
      <c r="E2941" s="20" t="n">
        <v>3</v>
      </c>
      <c r="F2941" s="21" t="n">
        <f aca="false">'📋 Matches'!E13</f>
        <v>0</v>
      </c>
      <c r="G2941" s="21" t="n">
        <f aca="false">'📋 Matches'!F13</f>
        <v>0</v>
      </c>
      <c r="H2941" s="22" t="str">
        <f aca="false">IF(AND(ISNUMBER(F2941),ISNUMBER(G2941)),IF(SIGN(D2941-E2941)=SIGN(F2941-G2941),48,0),"")</f>
        <v/>
      </c>
      <c r="I2941" s="22" t="str">
        <f aca="false">IF(AND(ISNUMBER(F2941),ISNUMBER(G2941)),IF(D2941=F2941,15,0),"")</f>
        <v/>
      </c>
      <c r="J2941" s="22" t="str">
        <f aca="false">IF(AND(ISNUMBER(F2941),ISNUMBER(G2941)),IF(E2941=G2941,15,0),"")</f>
        <v/>
      </c>
      <c r="K2941" s="22" t="str">
        <f aca="false">IF(AND(ISNUMBER(F2941),ISNUMBER(G2941)),IF(ABS(D2941-E2941)=ABS(F2941-G2941),12,0),"")</f>
        <v/>
      </c>
      <c r="L2941" s="23" t="str">
        <f aca="false">IF(ISNUMBER(H2941),H2941+I2941+J2941+K2941,"")</f>
        <v/>
      </c>
    </row>
    <row r="2942" customFormat="false" ht="18" hidden="false" customHeight="true" outlineLevel="0" collapsed="false">
      <c r="A2942" s="17" t="s">
        <v>9</v>
      </c>
      <c r="B2942" s="18" t="s">
        <v>203</v>
      </c>
      <c r="C2942" s="19" t="s">
        <v>48</v>
      </c>
      <c r="D2942" s="20" t="n">
        <v>1</v>
      </c>
      <c r="E2942" s="20" t="n">
        <v>0</v>
      </c>
      <c r="F2942" s="21" t="n">
        <f aca="false">'📋 Matches'!E14</f>
        <v>0</v>
      </c>
      <c r="G2942" s="21" t="n">
        <f aca="false">'📋 Matches'!F14</f>
        <v>0</v>
      </c>
      <c r="H2942" s="22" t="str">
        <f aca="false">IF(AND(ISNUMBER(F2942),ISNUMBER(G2942)),IF(SIGN(D2942-E2942)=SIGN(F2942-G2942),48,0),"")</f>
        <v/>
      </c>
      <c r="I2942" s="22" t="str">
        <f aca="false">IF(AND(ISNUMBER(F2942),ISNUMBER(G2942)),IF(D2942=F2942,15,0),"")</f>
        <v/>
      </c>
      <c r="J2942" s="22" t="str">
        <f aca="false">IF(AND(ISNUMBER(F2942),ISNUMBER(G2942)),IF(E2942=G2942,15,0),"")</f>
        <v/>
      </c>
      <c r="K2942" s="22" t="str">
        <f aca="false">IF(AND(ISNUMBER(F2942),ISNUMBER(G2942)),IF(ABS(D2942-E2942)=ABS(F2942-G2942),12,0),"")</f>
        <v/>
      </c>
      <c r="L2942" s="23" t="str">
        <f aca="false">IF(ISNUMBER(H2942),H2942+I2942+J2942+K2942,"")</f>
        <v/>
      </c>
    </row>
    <row r="2943" customFormat="false" ht="18" hidden="false" customHeight="true" outlineLevel="0" collapsed="false">
      <c r="A2943" s="17" t="s">
        <v>9</v>
      </c>
      <c r="B2943" s="18" t="s">
        <v>203</v>
      </c>
      <c r="C2943" s="19" t="s">
        <v>51</v>
      </c>
      <c r="D2943" s="20" t="n">
        <v>0</v>
      </c>
      <c r="E2943" s="20" t="n">
        <v>1</v>
      </c>
      <c r="F2943" s="21" t="n">
        <f aca="false">'📋 Matches'!E15</f>
        <v>0</v>
      </c>
      <c r="G2943" s="21" t="n">
        <f aca="false">'📋 Matches'!F15</f>
        <v>0</v>
      </c>
      <c r="H2943" s="22" t="str">
        <f aca="false">IF(AND(ISNUMBER(F2943),ISNUMBER(G2943)),IF(SIGN(D2943-E2943)=SIGN(F2943-G2943),48,0),"")</f>
        <v/>
      </c>
      <c r="I2943" s="22" t="str">
        <f aca="false">IF(AND(ISNUMBER(F2943),ISNUMBER(G2943)),IF(D2943=F2943,15,0),"")</f>
        <v/>
      </c>
      <c r="J2943" s="22" t="str">
        <f aca="false">IF(AND(ISNUMBER(F2943),ISNUMBER(G2943)),IF(E2943=G2943,15,0),"")</f>
        <v/>
      </c>
      <c r="K2943" s="22" t="str">
        <f aca="false">IF(AND(ISNUMBER(F2943),ISNUMBER(G2943)),IF(ABS(D2943-E2943)=ABS(F2943-G2943),12,0),"")</f>
        <v/>
      </c>
      <c r="L2943" s="23" t="str">
        <f aca="false">IF(ISNUMBER(H2943),H2943+I2943+J2943+K2943,"")</f>
        <v/>
      </c>
    </row>
    <row r="2944" customFormat="false" ht="18" hidden="false" customHeight="true" outlineLevel="0" collapsed="false">
      <c r="A2944" s="17" t="s">
        <v>9</v>
      </c>
      <c r="B2944" s="18" t="s">
        <v>203</v>
      </c>
      <c r="C2944" s="19" t="s">
        <v>54</v>
      </c>
      <c r="D2944" s="20" t="n">
        <v>1</v>
      </c>
      <c r="E2944" s="20" t="n">
        <v>2</v>
      </c>
      <c r="F2944" s="21" t="n">
        <f aca="false">'📋 Matches'!E16</f>
        <v>0</v>
      </c>
      <c r="G2944" s="21" t="n">
        <f aca="false">'📋 Matches'!F16</f>
        <v>0</v>
      </c>
      <c r="H2944" s="22" t="str">
        <f aca="false">IF(AND(ISNUMBER(F2944),ISNUMBER(G2944)),IF(SIGN(D2944-E2944)=SIGN(F2944-G2944),48,0),"")</f>
        <v/>
      </c>
      <c r="I2944" s="22" t="str">
        <f aca="false">IF(AND(ISNUMBER(F2944),ISNUMBER(G2944)),IF(D2944=F2944,15,0),"")</f>
        <v/>
      </c>
      <c r="J2944" s="22" t="str">
        <f aca="false">IF(AND(ISNUMBER(F2944),ISNUMBER(G2944)),IF(E2944=G2944,15,0),"")</f>
        <v/>
      </c>
      <c r="K2944" s="22" t="str">
        <f aca="false">IF(AND(ISNUMBER(F2944),ISNUMBER(G2944)),IF(ABS(D2944-E2944)=ABS(F2944-G2944),12,0),"")</f>
        <v/>
      </c>
      <c r="L2944" s="23" t="str">
        <f aca="false">IF(ISNUMBER(H2944),H2944+I2944+J2944+K2944,"")</f>
        <v/>
      </c>
    </row>
    <row r="2945" customFormat="false" ht="18" hidden="false" customHeight="true" outlineLevel="0" collapsed="false">
      <c r="A2945" s="17" t="s">
        <v>9</v>
      </c>
      <c r="B2945" s="18" t="s">
        <v>203</v>
      </c>
      <c r="C2945" s="19" t="s">
        <v>57</v>
      </c>
      <c r="D2945" s="20" t="n">
        <v>2</v>
      </c>
      <c r="E2945" s="20" t="n">
        <v>3</v>
      </c>
      <c r="F2945" s="21" t="n">
        <f aca="false">'📋 Matches'!E17</f>
        <v>0</v>
      </c>
      <c r="G2945" s="21" t="n">
        <f aca="false">'📋 Matches'!F17</f>
        <v>0</v>
      </c>
      <c r="H2945" s="22" t="str">
        <f aca="false">IF(AND(ISNUMBER(F2945),ISNUMBER(G2945)),IF(SIGN(D2945-E2945)=SIGN(F2945-G2945),48,0),"")</f>
        <v/>
      </c>
      <c r="I2945" s="22" t="str">
        <f aca="false">IF(AND(ISNUMBER(F2945),ISNUMBER(G2945)),IF(D2945=F2945,15,0),"")</f>
        <v/>
      </c>
      <c r="J2945" s="22" t="str">
        <f aca="false">IF(AND(ISNUMBER(F2945),ISNUMBER(G2945)),IF(E2945=G2945,15,0),"")</f>
        <v/>
      </c>
      <c r="K2945" s="22" t="str">
        <f aca="false">IF(AND(ISNUMBER(F2945),ISNUMBER(G2945)),IF(ABS(D2945-E2945)=ABS(F2945-G2945),12,0),"")</f>
        <v/>
      </c>
      <c r="L2945" s="23" t="str">
        <f aca="false">IF(ISNUMBER(H2945),H2945+I2945+J2945+K2945,"")</f>
        <v/>
      </c>
    </row>
    <row r="2946" customFormat="false" ht="18" hidden="false" customHeight="true" outlineLevel="0" collapsed="false">
      <c r="A2946" s="17" t="s">
        <v>9</v>
      </c>
      <c r="B2946" s="18" t="s">
        <v>203</v>
      </c>
      <c r="C2946" s="19" t="s">
        <v>60</v>
      </c>
      <c r="D2946" s="20" t="n">
        <v>1</v>
      </c>
      <c r="E2946" s="20" t="n">
        <v>2</v>
      </c>
      <c r="F2946" s="21" t="n">
        <f aca="false">'📋 Matches'!E18</f>
        <v>0</v>
      </c>
      <c r="G2946" s="21" t="n">
        <f aca="false">'📋 Matches'!F18</f>
        <v>0</v>
      </c>
      <c r="H2946" s="22" t="str">
        <f aca="false">IF(AND(ISNUMBER(F2946),ISNUMBER(G2946)),IF(SIGN(D2946-E2946)=SIGN(F2946-G2946),48,0),"")</f>
        <v/>
      </c>
      <c r="I2946" s="22" t="str">
        <f aca="false">IF(AND(ISNUMBER(F2946),ISNUMBER(G2946)),IF(D2946=F2946,15,0),"")</f>
        <v/>
      </c>
      <c r="J2946" s="22" t="str">
        <f aca="false">IF(AND(ISNUMBER(F2946),ISNUMBER(G2946)),IF(E2946=G2946,15,0),"")</f>
        <v/>
      </c>
      <c r="K2946" s="22" t="str">
        <f aca="false">IF(AND(ISNUMBER(F2946),ISNUMBER(G2946)),IF(ABS(D2946-E2946)=ABS(F2946-G2946),12,0),"")</f>
        <v/>
      </c>
      <c r="L2946" s="23" t="str">
        <f aca="false">IF(ISNUMBER(H2946),H2946+I2946+J2946+K2946,"")</f>
        <v/>
      </c>
    </row>
    <row r="2947" customFormat="false" ht="18" hidden="false" customHeight="true" outlineLevel="0" collapsed="false">
      <c r="A2947" s="17" t="s">
        <v>9</v>
      </c>
      <c r="B2947" s="18" t="s">
        <v>203</v>
      </c>
      <c r="C2947" s="19" t="s">
        <v>63</v>
      </c>
      <c r="D2947" s="20" t="n">
        <v>3</v>
      </c>
      <c r="E2947" s="20" t="n">
        <v>2</v>
      </c>
      <c r="F2947" s="21" t="n">
        <f aca="false">'📋 Matches'!E19</f>
        <v>0</v>
      </c>
      <c r="G2947" s="21" t="n">
        <f aca="false">'📋 Matches'!F19</f>
        <v>0</v>
      </c>
      <c r="H2947" s="22" t="str">
        <f aca="false">IF(AND(ISNUMBER(F2947),ISNUMBER(G2947)),IF(SIGN(D2947-E2947)=SIGN(F2947-G2947),48,0),"")</f>
        <v/>
      </c>
      <c r="I2947" s="22" t="str">
        <f aca="false">IF(AND(ISNUMBER(F2947),ISNUMBER(G2947)),IF(D2947=F2947,15,0),"")</f>
        <v/>
      </c>
      <c r="J2947" s="22" t="str">
        <f aca="false">IF(AND(ISNUMBER(F2947),ISNUMBER(G2947)),IF(E2947=G2947,15,0),"")</f>
        <v/>
      </c>
      <c r="K2947" s="22" t="str">
        <f aca="false">IF(AND(ISNUMBER(F2947),ISNUMBER(G2947)),IF(ABS(D2947-E2947)=ABS(F2947-G2947),12,0),"")</f>
        <v/>
      </c>
      <c r="L2947" s="23" t="str">
        <f aca="false">IF(ISNUMBER(H2947),H2947+I2947+J2947+K2947,"")</f>
        <v/>
      </c>
    </row>
    <row r="2948" customFormat="false" ht="18" hidden="false" customHeight="true" outlineLevel="0" collapsed="false">
      <c r="A2948" s="17" t="s">
        <v>9</v>
      </c>
      <c r="B2948" s="18" t="s">
        <v>203</v>
      </c>
      <c r="C2948" s="19" t="s">
        <v>66</v>
      </c>
      <c r="D2948" s="20" t="n">
        <v>2</v>
      </c>
      <c r="E2948" s="20" t="n">
        <v>2</v>
      </c>
      <c r="F2948" s="21" t="n">
        <f aca="false">'📋 Matches'!E20</f>
        <v>0</v>
      </c>
      <c r="G2948" s="21" t="n">
        <f aca="false">'📋 Matches'!F20</f>
        <v>0</v>
      </c>
      <c r="H2948" s="22" t="str">
        <f aca="false">IF(AND(ISNUMBER(F2948),ISNUMBER(G2948)),IF(SIGN(D2948-E2948)=SIGN(F2948-G2948),48,0),"")</f>
        <v/>
      </c>
      <c r="I2948" s="22" t="str">
        <f aca="false">IF(AND(ISNUMBER(F2948),ISNUMBER(G2948)),IF(D2948=F2948,15,0),"")</f>
        <v/>
      </c>
      <c r="J2948" s="22" t="str">
        <f aca="false">IF(AND(ISNUMBER(F2948),ISNUMBER(G2948)),IF(E2948=G2948,15,0),"")</f>
        <v/>
      </c>
      <c r="K2948" s="22" t="str">
        <f aca="false">IF(AND(ISNUMBER(F2948),ISNUMBER(G2948)),IF(ABS(D2948-E2948)=ABS(F2948-G2948),12,0),"")</f>
        <v/>
      </c>
      <c r="L2948" s="23" t="str">
        <f aca="false">IF(ISNUMBER(H2948),H2948+I2948+J2948+K2948,"")</f>
        <v/>
      </c>
    </row>
    <row r="2949" customFormat="false" ht="18" hidden="false" customHeight="true" outlineLevel="0" collapsed="false">
      <c r="A2949" s="17" t="s">
        <v>9</v>
      </c>
      <c r="B2949" s="18" t="s">
        <v>203</v>
      </c>
      <c r="C2949" s="19" t="s">
        <v>69</v>
      </c>
      <c r="D2949" s="20" t="n">
        <v>2</v>
      </c>
      <c r="E2949" s="20" t="n">
        <v>4</v>
      </c>
      <c r="F2949" s="21" t="n">
        <f aca="false">'📋 Matches'!E21</f>
        <v>0</v>
      </c>
      <c r="G2949" s="21" t="n">
        <f aca="false">'📋 Matches'!F21</f>
        <v>0</v>
      </c>
      <c r="H2949" s="22" t="str">
        <f aca="false">IF(AND(ISNUMBER(F2949),ISNUMBER(G2949)),IF(SIGN(D2949-E2949)=SIGN(F2949-G2949),48,0),"")</f>
        <v/>
      </c>
      <c r="I2949" s="22" t="str">
        <f aca="false">IF(AND(ISNUMBER(F2949),ISNUMBER(G2949)),IF(D2949=F2949,15,0),"")</f>
        <v/>
      </c>
      <c r="J2949" s="22" t="str">
        <f aca="false">IF(AND(ISNUMBER(F2949),ISNUMBER(G2949)),IF(E2949=G2949,15,0),"")</f>
        <v/>
      </c>
      <c r="K2949" s="22" t="str">
        <f aca="false">IF(AND(ISNUMBER(F2949),ISNUMBER(G2949)),IF(ABS(D2949-E2949)=ABS(F2949-G2949),12,0),"")</f>
        <v/>
      </c>
      <c r="L2949" s="23" t="str">
        <f aca="false">IF(ISNUMBER(H2949),H2949+I2949+J2949+K2949,"")</f>
        <v/>
      </c>
    </row>
    <row r="2950" customFormat="false" ht="18" hidden="false" customHeight="true" outlineLevel="0" collapsed="false">
      <c r="A2950" s="17" t="s">
        <v>9</v>
      </c>
      <c r="B2950" s="18" t="s">
        <v>203</v>
      </c>
      <c r="C2950" s="19" t="s">
        <v>72</v>
      </c>
      <c r="D2950" s="20" t="n">
        <v>2</v>
      </c>
      <c r="E2950" s="20" t="n">
        <v>1</v>
      </c>
      <c r="F2950" s="21" t="n">
        <f aca="false">'📋 Matches'!E22</f>
        <v>0</v>
      </c>
      <c r="G2950" s="21" t="n">
        <f aca="false">'📋 Matches'!F22</f>
        <v>0</v>
      </c>
      <c r="H2950" s="22" t="str">
        <f aca="false">IF(AND(ISNUMBER(F2950),ISNUMBER(G2950)),IF(SIGN(D2950-E2950)=SIGN(F2950-G2950),48,0),"")</f>
        <v/>
      </c>
      <c r="I2950" s="22" t="str">
        <f aca="false">IF(AND(ISNUMBER(F2950),ISNUMBER(G2950)),IF(D2950=F2950,15,0),"")</f>
        <v/>
      </c>
      <c r="J2950" s="22" t="str">
        <f aca="false">IF(AND(ISNUMBER(F2950),ISNUMBER(G2950)),IF(E2950=G2950,15,0),"")</f>
        <v/>
      </c>
      <c r="K2950" s="22" t="str">
        <f aca="false">IF(AND(ISNUMBER(F2950),ISNUMBER(G2950)),IF(ABS(D2950-E2950)=ABS(F2950-G2950),12,0),"")</f>
        <v/>
      </c>
      <c r="L2950" s="23" t="str">
        <f aca="false">IF(ISNUMBER(H2950),H2950+I2950+J2950+K2950,"")</f>
        <v/>
      </c>
    </row>
    <row r="2951" customFormat="false" ht="18" hidden="false" customHeight="true" outlineLevel="0" collapsed="false">
      <c r="A2951" s="17" t="s">
        <v>9</v>
      </c>
      <c r="B2951" s="18" t="s">
        <v>203</v>
      </c>
      <c r="C2951" s="19" t="s">
        <v>75</v>
      </c>
      <c r="D2951" s="20" t="n">
        <v>3</v>
      </c>
      <c r="E2951" s="20" t="n">
        <v>2</v>
      </c>
      <c r="F2951" s="21" t="n">
        <f aca="false">'📋 Matches'!E23</f>
        <v>0</v>
      </c>
      <c r="G2951" s="21" t="n">
        <f aca="false">'📋 Matches'!F23</f>
        <v>0</v>
      </c>
      <c r="H2951" s="22" t="str">
        <f aca="false">IF(AND(ISNUMBER(F2951),ISNUMBER(G2951)),IF(SIGN(D2951-E2951)=SIGN(F2951-G2951),48,0),"")</f>
        <v/>
      </c>
      <c r="I2951" s="22" t="str">
        <f aca="false">IF(AND(ISNUMBER(F2951),ISNUMBER(G2951)),IF(D2951=F2951,15,0),"")</f>
        <v/>
      </c>
      <c r="J2951" s="22" t="str">
        <f aca="false">IF(AND(ISNUMBER(F2951),ISNUMBER(G2951)),IF(E2951=G2951,15,0),"")</f>
        <v/>
      </c>
      <c r="K2951" s="22" t="str">
        <f aca="false">IF(AND(ISNUMBER(F2951),ISNUMBER(G2951)),IF(ABS(D2951-E2951)=ABS(F2951-G2951),12,0),"")</f>
        <v/>
      </c>
      <c r="L2951" s="23" t="str">
        <f aca="false">IF(ISNUMBER(H2951),H2951+I2951+J2951+K2951,"")</f>
        <v/>
      </c>
    </row>
    <row r="2952" customFormat="false" ht="18" hidden="false" customHeight="true" outlineLevel="0" collapsed="false">
      <c r="A2952" s="17" t="s">
        <v>9</v>
      </c>
      <c r="B2952" s="18" t="s">
        <v>203</v>
      </c>
      <c r="C2952" s="19" t="s">
        <v>78</v>
      </c>
      <c r="D2952" s="20" t="n">
        <v>4</v>
      </c>
      <c r="E2952" s="20" t="n">
        <v>3</v>
      </c>
      <c r="F2952" s="21" t="n">
        <f aca="false">'📋 Matches'!E24</f>
        <v>0</v>
      </c>
      <c r="G2952" s="21" t="n">
        <f aca="false">'📋 Matches'!F24</f>
        <v>0</v>
      </c>
      <c r="H2952" s="22" t="str">
        <f aca="false">IF(AND(ISNUMBER(F2952),ISNUMBER(G2952)),IF(SIGN(D2952-E2952)=SIGN(F2952-G2952),48,0),"")</f>
        <v/>
      </c>
      <c r="I2952" s="22" t="str">
        <f aca="false">IF(AND(ISNUMBER(F2952),ISNUMBER(G2952)),IF(D2952=F2952,15,0),"")</f>
        <v/>
      </c>
      <c r="J2952" s="22" t="str">
        <f aca="false">IF(AND(ISNUMBER(F2952),ISNUMBER(G2952)),IF(E2952=G2952,15,0),"")</f>
        <v/>
      </c>
      <c r="K2952" s="22" t="str">
        <f aca="false">IF(AND(ISNUMBER(F2952),ISNUMBER(G2952)),IF(ABS(D2952-E2952)=ABS(F2952-G2952),12,0),"")</f>
        <v/>
      </c>
      <c r="L2952" s="23" t="str">
        <f aca="false">IF(ISNUMBER(H2952),H2952+I2952+J2952+K2952,"")</f>
        <v/>
      </c>
    </row>
    <row r="2953" customFormat="false" ht="18" hidden="false" customHeight="true" outlineLevel="0" collapsed="false">
      <c r="A2953" s="17" t="s">
        <v>9</v>
      </c>
      <c r="B2953" s="18" t="s">
        <v>203</v>
      </c>
      <c r="C2953" s="19" t="s">
        <v>81</v>
      </c>
      <c r="D2953" s="20" t="n">
        <v>1</v>
      </c>
      <c r="E2953" s="20" t="n">
        <v>3</v>
      </c>
      <c r="F2953" s="21" t="n">
        <f aca="false">'📋 Matches'!E25</f>
        <v>0</v>
      </c>
      <c r="G2953" s="21" t="n">
        <f aca="false">'📋 Matches'!F25</f>
        <v>0</v>
      </c>
      <c r="H2953" s="22" t="str">
        <f aca="false">IF(AND(ISNUMBER(F2953),ISNUMBER(G2953)),IF(SIGN(D2953-E2953)=SIGN(F2953-G2953),48,0),"")</f>
        <v/>
      </c>
      <c r="I2953" s="22" t="str">
        <f aca="false">IF(AND(ISNUMBER(F2953),ISNUMBER(G2953)),IF(D2953=F2953,15,0),"")</f>
        <v/>
      </c>
      <c r="J2953" s="22" t="str">
        <f aca="false">IF(AND(ISNUMBER(F2953),ISNUMBER(G2953)),IF(E2953=G2953,15,0),"")</f>
        <v/>
      </c>
      <c r="K2953" s="22" t="str">
        <f aca="false">IF(AND(ISNUMBER(F2953),ISNUMBER(G2953)),IF(ABS(D2953-E2953)=ABS(F2953-G2953),12,0),"")</f>
        <v/>
      </c>
      <c r="L2953" s="23" t="str">
        <f aca="false">IF(ISNUMBER(H2953),H2953+I2953+J2953+K2953,"")</f>
        <v/>
      </c>
    </row>
    <row r="2954" customFormat="false" ht="18" hidden="false" customHeight="true" outlineLevel="0" collapsed="false">
      <c r="A2954" s="25" t="s">
        <v>9</v>
      </c>
      <c r="B2954" s="32" t="s">
        <v>204</v>
      </c>
      <c r="C2954" s="27" t="s">
        <v>10</v>
      </c>
      <c r="D2954" s="28" t="n">
        <v>3</v>
      </c>
      <c r="E2954" s="28" t="n">
        <v>0</v>
      </c>
      <c r="F2954" s="29" t="n">
        <f aca="false">'📋 Matches'!E2</f>
        <v>2</v>
      </c>
      <c r="G2954" s="29" t="n">
        <f aca="false">'📋 Matches'!F2</f>
        <v>0</v>
      </c>
      <c r="H2954" s="22" t="n">
        <f aca="false">IF(AND(ISNUMBER(F2954),ISNUMBER(G2954)),IF(SIGN(D2954-E2954)=SIGN(F2954-G2954),48,0),"")</f>
        <v>48</v>
      </c>
      <c r="I2954" s="22" t="n">
        <f aca="false">IF(AND(ISNUMBER(F2954),ISNUMBER(G2954)),IF(D2954=F2954,15,0),"")</f>
        <v>0</v>
      </c>
      <c r="J2954" s="22" t="n">
        <f aca="false">IF(AND(ISNUMBER(F2954),ISNUMBER(G2954)),IF(E2954=G2954,15,0),"")</f>
        <v>15</v>
      </c>
      <c r="K2954" s="22" t="n">
        <f aca="false">IF(AND(ISNUMBER(F2954),ISNUMBER(G2954)),IF(ABS(D2954-E2954)=ABS(F2954-G2954),12,0),"")</f>
        <v>0</v>
      </c>
      <c r="L2954" s="23" t="n">
        <f aca="false">IF(ISNUMBER(H2954),H2954+I2954+J2954+K2954,"")</f>
        <v>63</v>
      </c>
    </row>
    <row r="2955" customFormat="false" ht="18" hidden="false" customHeight="true" outlineLevel="0" collapsed="false">
      <c r="A2955" s="25" t="s">
        <v>9</v>
      </c>
      <c r="B2955" s="32" t="s">
        <v>204</v>
      </c>
      <c r="C2955" s="27" t="s">
        <v>14</v>
      </c>
      <c r="D2955" s="28" t="n">
        <v>2</v>
      </c>
      <c r="E2955" s="28" t="n">
        <v>1</v>
      </c>
      <c r="F2955" s="29" t="n">
        <f aca="false">'📋 Matches'!E3</f>
        <v>2</v>
      </c>
      <c r="G2955" s="29" t="n">
        <f aca="false">'📋 Matches'!F3</f>
        <v>1</v>
      </c>
      <c r="H2955" s="22" t="n">
        <f aca="false">IF(AND(ISNUMBER(F2955),ISNUMBER(G2955)),IF(SIGN(D2955-E2955)=SIGN(F2955-G2955),48,0),"")</f>
        <v>48</v>
      </c>
      <c r="I2955" s="22" t="n">
        <f aca="false">IF(AND(ISNUMBER(F2955),ISNUMBER(G2955)),IF(D2955=F2955,15,0),"")</f>
        <v>15</v>
      </c>
      <c r="J2955" s="22" t="n">
        <f aca="false">IF(AND(ISNUMBER(F2955),ISNUMBER(G2955)),IF(E2955=G2955,15,0),"")</f>
        <v>15</v>
      </c>
      <c r="K2955" s="22" t="n">
        <f aca="false">IF(AND(ISNUMBER(F2955),ISNUMBER(G2955)),IF(ABS(D2955-E2955)=ABS(F2955-G2955),12,0),"")</f>
        <v>12</v>
      </c>
      <c r="L2955" s="23" t="n">
        <f aca="false">IF(ISNUMBER(H2955),H2955+I2955+J2955+K2955,"")</f>
        <v>90</v>
      </c>
    </row>
    <row r="2956" customFormat="false" ht="18" hidden="false" customHeight="true" outlineLevel="0" collapsed="false">
      <c r="A2956" s="25" t="s">
        <v>9</v>
      </c>
      <c r="B2956" s="32" t="s">
        <v>204</v>
      </c>
      <c r="C2956" s="27" t="s">
        <v>17</v>
      </c>
      <c r="D2956" s="28" t="n">
        <v>2</v>
      </c>
      <c r="E2956" s="28" t="n">
        <v>0</v>
      </c>
      <c r="F2956" s="29" t="n">
        <f aca="false">'📋 Matches'!E4</f>
        <v>1</v>
      </c>
      <c r="G2956" s="29" t="n">
        <f aca="false">'📋 Matches'!F4</f>
        <v>1</v>
      </c>
      <c r="H2956" s="22" t="n">
        <f aca="false">IF(AND(ISNUMBER(F2956),ISNUMBER(G2956)),IF(SIGN(D2956-E2956)=SIGN(F2956-G2956),48,0),"")</f>
        <v>0</v>
      </c>
      <c r="I2956" s="22" t="n">
        <f aca="false">IF(AND(ISNUMBER(F2956),ISNUMBER(G2956)),IF(D2956=F2956,15,0),"")</f>
        <v>0</v>
      </c>
      <c r="J2956" s="22" t="n">
        <f aca="false">IF(AND(ISNUMBER(F2956),ISNUMBER(G2956)),IF(E2956=G2956,15,0),"")</f>
        <v>0</v>
      </c>
      <c r="K2956" s="22" t="n">
        <f aca="false">IF(AND(ISNUMBER(F2956),ISNUMBER(G2956)),IF(ABS(D2956-E2956)=ABS(F2956-G2956),12,0),"")</f>
        <v>0</v>
      </c>
      <c r="L2956" s="23" t="n">
        <f aca="false">IF(ISNUMBER(H2956),H2956+I2956+J2956+K2956,"")</f>
        <v>0</v>
      </c>
    </row>
    <row r="2957" customFormat="false" ht="18" hidden="false" customHeight="true" outlineLevel="0" collapsed="false">
      <c r="A2957" s="25" t="s">
        <v>9</v>
      </c>
      <c r="B2957" s="32" t="s">
        <v>204</v>
      </c>
      <c r="C2957" s="27" t="s">
        <v>20</v>
      </c>
      <c r="D2957" s="28" t="n">
        <v>2</v>
      </c>
      <c r="E2957" s="28" t="n">
        <v>1</v>
      </c>
      <c r="F2957" s="29" t="n">
        <f aca="false">'📋 Matches'!E5</f>
        <v>4</v>
      </c>
      <c r="G2957" s="29" t="n">
        <f aca="false">'📋 Matches'!F5</f>
        <v>1</v>
      </c>
      <c r="H2957" s="22" t="n">
        <f aca="false">IF(AND(ISNUMBER(F2957),ISNUMBER(G2957)),IF(SIGN(D2957-E2957)=SIGN(F2957-G2957),48,0),"")</f>
        <v>48</v>
      </c>
      <c r="I2957" s="22" t="n">
        <f aca="false">IF(AND(ISNUMBER(F2957),ISNUMBER(G2957)),IF(D2957=F2957,15,0),"")</f>
        <v>0</v>
      </c>
      <c r="J2957" s="22" t="n">
        <f aca="false">IF(AND(ISNUMBER(F2957),ISNUMBER(G2957)),IF(E2957=G2957,15,0),"")</f>
        <v>15</v>
      </c>
      <c r="K2957" s="22" t="n">
        <f aca="false">IF(AND(ISNUMBER(F2957),ISNUMBER(G2957)),IF(ABS(D2957-E2957)=ABS(F2957-G2957),12,0),"")</f>
        <v>0</v>
      </c>
      <c r="L2957" s="23" t="n">
        <f aca="false">IF(ISNUMBER(H2957),H2957+I2957+J2957+K2957,"")</f>
        <v>63</v>
      </c>
    </row>
    <row r="2958" customFormat="false" ht="18" hidden="false" customHeight="true" outlineLevel="0" collapsed="false">
      <c r="A2958" s="25" t="s">
        <v>9</v>
      </c>
      <c r="B2958" s="32" t="s">
        <v>204</v>
      </c>
      <c r="C2958" s="27" t="s">
        <v>23</v>
      </c>
      <c r="D2958" s="28" t="n">
        <v>0</v>
      </c>
      <c r="E2958" s="28" t="n">
        <v>3</v>
      </c>
      <c r="F2958" s="29" t="n">
        <f aca="false">'📋 Matches'!E6</f>
        <v>0</v>
      </c>
      <c r="G2958" s="29" t="n">
        <f aca="false">'📋 Matches'!F6</f>
        <v>0</v>
      </c>
      <c r="H2958" s="22" t="str">
        <f aca="false">IF(AND(ISNUMBER(F2958),ISNUMBER(G2958)),IF(SIGN(D2958-E2958)=SIGN(F2958-G2958),48,0),"")</f>
        <v/>
      </c>
      <c r="I2958" s="22" t="str">
        <f aca="false">IF(AND(ISNUMBER(F2958),ISNUMBER(G2958)),IF(D2958=F2958,15,0),"")</f>
        <v/>
      </c>
      <c r="J2958" s="22" t="str">
        <f aca="false">IF(AND(ISNUMBER(F2958),ISNUMBER(G2958)),IF(E2958=G2958,15,0),"")</f>
        <v/>
      </c>
      <c r="K2958" s="22" t="str">
        <f aca="false">IF(AND(ISNUMBER(F2958),ISNUMBER(G2958)),IF(ABS(D2958-E2958)=ABS(F2958-G2958),12,0),"")</f>
        <v/>
      </c>
      <c r="L2958" s="23" t="str">
        <f aca="false">IF(ISNUMBER(H2958),H2958+I2958+J2958+K2958,"")</f>
        <v/>
      </c>
    </row>
    <row r="2959" customFormat="false" ht="18" hidden="false" customHeight="true" outlineLevel="0" collapsed="false">
      <c r="A2959" s="25" t="s">
        <v>9</v>
      </c>
      <c r="B2959" s="32" t="s">
        <v>204</v>
      </c>
      <c r="C2959" s="27" t="s">
        <v>27</v>
      </c>
      <c r="D2959" s="28" t="n">
        <v>3</v>
      </c>
      <c r="E2959" s="28" t="n">
        <v>0</v>
      </c>
      <c r="F2959" s="29" t="n">
        <f aca="false">'📋 Matches'!E7</f>
        <v>0</v>
      </c>
      <c r="G2959" s="29" t="n">
        <f aca="false">'📋 Matches'!F7</f>
        <v>0</v>
      </c>
      <c r="H2959" s="22" t="str">
        <f aca="false">IF(AND(ISNUMBER(F2959),ISNUMBER(G2959)),IF(SIGN(D2959-E2959)=SIGN(F2959-G2959),48,0),"")</f>
        <v/>
      </c>
      <c r="I2959" s="22" t="str">
        <f aca="false">IF(AND(ISNUMBER(F2959),ISNUMBER(G2959)),IF(D2959=F2959,15,0),"")</f>
        <v/>
      </c>
      <c r="J2959" s="22" t="str">
        <f aca="false">IF(AND(ISNUMBER(F2959),ISNUMBER(G2959)),IF(E2959=G2959,15,0),"")</f>
        <v/>
      </c>
      <c r="K2959" s="22" t="str">
        <f aca="false">IF(AND(ISNUMBER(F2959),ISNUMBER(G2959)),IF(ABS(D2959-E2959)=ABS(F2959-G2959),12,0),"")</f>
        <v/>
      </c>
      <c r="L2959" s="23" t="str">
        <f aca="false">IF(ISNUMBER(H2959),H2959+I2959+J2959+K2959,"")</f>
        <v/>
      </c>
    </row>
    <row r="2960" customFormat="false" ht="18" hidden="false" customHeight="true" outlineLevel="0" collapsed="false">
      <c r="A2960" s="25" t="s">
        <v>9</v>
      </c>
      <c r="B2960" s="32" t="s">
        <v>204</v>
      </c>
      <c r="C2960" s="27" t="s">
        <v>30</v>
      </c>
      <c r="D2960" s="28" t="n">
        <v>0</v>
      </c>
      <c r="E2960" s="28" t="n">
        <v>3</v>
      </c>
      <c r="F2960" s="29" t="n">
        <f aca="false">'📋 Matches'!E8</f>
        <v>0</v>
      </c>
      <c r="G2960" s="29" t="n">
        <f aca="false">'📋 Matches'!F8</f>
        <v>0</v>
      </c>
      <c r="H2960" s="22" t="str">
        <f aca="false">IF(AND(ISNUMBER(F2960),ISNUMBER(G2960)),IF(SIGN(D2960-E2960)=SIGN(F2960-G2960),48,0),"")</f>
        <v/>
      </c>
      <c r="I2960" s="22" t="str">
        <f aca="false">IF(AND(ISNUMBER(F2960),ISNUMBER(G2960)),IF(D2960=F2960,15,0),"")</f>
        <v/>
      </c>
      <c r="J2960" s="22" t="str">
        <f aca="false">IF(AND(ISNUMBER(F2960),ISNUMBER(G2960)),IF(E2960=G2960,15,0),"")</f>
        <v/>
      </c>
      <c r="K2960" s="22" t="str">
        <f aca="false">IF(AND(ISNUMBER(F2960),ISNUMBER(G2960)),IF(ABS(D2960-E2960)=ABS(F2960-G2960),12,0),"")</f>
        <v/>
      </c>
      <c r="L2960" s="23" t="str">
        <f aca="false">IF(ISNUMBER(H2960),H2960+I2960+J2960+K2960,"")</f>
        <v/>
      </c>
    </row>
    <row r="2961" customFormat="false" ht="18" hidden="false" customHeight="true" outlineLevel="0" collapsed="false">
      <c r="A2961" s="25" t="s">
        <v>9</v>
      </c>
      <c r="B2961" s="32" t="s">
        <v>204</v>
      </c>
      <c r="C2961" s="27" t="s">
        <v>33</v>
      </c>
      <c r="D2961" s="28" t="n">
        <v>0</v>
      </c>
      <c r="E2961" s="28" t="n">
        <v>2</v>
      </c>
      <c r="F2961" s="29" t="n">
        <f aca="false">'📋 Matches'!E9</f>
        <v>0</v>
      </c>
      <c r="G2961" s="29" t="n">
        <f aca="false">'📋 Matches'!F9</f>
        <v>0</v>
      </c>
      <c r="H2961" s="22" t="str">
        <f aca="false">IF(AND(ISNUMBER(F2961),ISNUMBER(G2961)),IF(SIGN(D2961-E2961)=SIGN(F2961-G2961),48,0),"")</f>
        <v/>
      </c>
      <c r="I2961" s="22" t="str">
        <f aca="false">IF(AND(ISNUMBER(F2961),ISNUMBER(G2961)),IF(D2961=F2961,15,0),"")</f>
        <v/>
      </c>
      <c r="J2961" s="22" t="str">
        <f aca="false">IF(AND(ISNUMBER(F2961),ISNUMBER(G2961)),IF(E2961=G2961,15,0),"")</f>
        <v/>
      </c>
      <c r="K2961" s="22" t="str">
        <f aca="false">IF(AND(ISNUMBER(F2961),ISNUMBER(G2961)),IF(ABS(D2961-E2961)=ABS(F2961-G2961),12,0),"")</f>
        <v/>
      </c>
      <c r="L2961" s="23" t="str">
        <f aca="false">IF(ISNUMBER(H2961),H2961+I2961+J2961+K2961,"")</f>
        <v/>
      </c>
    </row>
    <row r="2962" customFormat="false" ht="18" hidden="false" customHeight="true" outlineLevel="0" collapsed="false">
      <c r="A2962" s="25" t="s">
        <v>9</v>
      </c>
      <c r="B2962" s="32" t="s">
        <v>204</v>
      </c>
      <c r="C2962" s="27" t="s">
        <v>36</v>
      </c>
      <c r="D2962" s="28" t="n">
        <v>3</v>
      </c>
      <c r="E2962" s="28" t="n">
        <v>0</v>
      </c>
      <c r="F2962" s="29" t="n">
        <f aca="false">'📋 Matches'!E10</f>
        <v>0</v>
      </c>
      <c r="G2962" s="29" t="n">
        <f aca="false">'📋 Matches'!F10</f>
        <v>0</v>
      </c>
      <c r="H2962" s="22" t="str">
        <f aca="false">IF(AND(ISNUMBER(F2962),ISNUMBER(G2962)),IF(SIGN(D2962-E2962)=SIGN(F2962-G2962),48,0),"")</f>
        <v/>
      </c>
      <c r="I2962" s="22" t="str">
        <f aca="false">IF(AND(ISNUMBER(F2962),ISNUMBER(G2962)),IF(D2962=F2962,15,0),"")</f>
        <v/>
      </c>
      <c r="J2962" s="22" t="str">
        <f aca="false">IF(AND(ISNUMBER(F2962),ISNUMBER(G2962)),IF(E2962=G2962,15,0),"")</f>
        <v/>
      </c>
      <c r="K2962" s="22" t="str">
        <f aca="false">IF(AND(ISNUMBER(F2962),ISNUMBER(G2962)),IF(ABS(D2962-E2962)=ABS(F2962-G2962),12,0),"")</f>
        <v/>
      </c>
      <c r="L2962" s="23" t="str">
        <f aca="false">IF(ISNUMBER(H2962),H2962+I2962+J2962+K2962,"")</f>
        <v/>
      </c>
    </row>
    <row r="2963" customFormat="false" ht="18" hidden="false" customHeight="true" outlineLevel="0" collapsed="false">
      <c r="A2963" s="25" t="s">
        <v>9</v>
      </c>
      <c r="B2963" s="32" t="s">
        <v>204</v>
      </c>
      <c r="C2963" s="27" t="s">
        <v>39</v>
      </c>
      <c r="D2963" s="28" t="n">
        <v>2</v>
      </c>
      <c r="E2963" s="28" t="n">
        <v>1</v>
      </c>
      <c r="F2963" s="29" t="n">
        <f aca="false">'📋 Matches'!E11</f>
        <v>0</v>
      </c>
      <c r="G2963" s="29" t="n">
        <f aca="false">'📋 Matches'!F11</f>
        <v>0</v>
      </c>
      <c r="H2963" s="22" t="str">
        <f aca="false">IF(AND(ISNUMBER(F2963),ISNUMBER(G2963)),IF(SIGN(D2963-E2963)=SIGN(F2963-G2963),48,0),"")</f>
        <v/>
      </c>
      <c r="I2963" s="22" t="str">
        <f aca="false">IF(AND(ISNUMBER(F2963),ISNUMBER(G2963)),IF(D2963=F2963,15,0),"")</f>
        <v/>
      </c>
      <c r="J2963" s="22" t="str">
        <f aca="false">IF(AND(ISNUMBER(F2963),ISNUMBER(G2963)),IF(E2963=G2963,15,0),"")</f>
        <v/>
      </c>
      <c r="K2963" s="22" t="str">
        <f aca="false">IF(AND(ISNUMBER(F2963),ISNUMBER(G2963)),IF(ABS(D2963-E2963)=ABS(F2963-G2963),12,0),"")</f>
        <v/>
      </c>
      <c r="L2963" s="23" t="str">
        <f aca="false">IF(ISNUMBER(H2963),H2963+I2963+J2963+K2963,"")</f>
        <v/>
      </c>
    </row>
    <row r="2964" customFormat="false" ht="18" hidden="false" customHeight="true" outlineLevel="0" collapsed="false">
      <c r="A2964" s="25" t="s">
        <v>9</v>
      </c>
      <c r="B2964" s="32" t="s">
        <v>204</v>
      </c>
      <c r="C2964" s="27" t="s">
        <v>42</v>
      </c>
      <c r="D2964" s="28" t="n">
        <v>1</v>
      </c>
      <c r="E2964" s="28" t="n">
        <v>1</v>
      </c>
      <c r="F2964" s="29" t="n">
        <f aca="false">'📋 Matches'!E12</f>
        <v>0</v>
      </c>
      <c r="G2964" s="29" t="n">
        <f aca="false">'📋 Matches'!F12</f>
        <v>0</v>
      </c>
      <c r="H2964" s="22" t="str">
        <f aca="false">IF(AND(ISNUMBER(F2964),ISNUMBER(G2964)),IF(SIGN(D2964-E2964)=SIGN(F2964-G2964),48,0),"")</f>
        <v/>
      </c>
      <c r="I2964" s="22" t="str">
        <f aca="false">IF(AND(ISNUMBER(F2964),ISNUMBER(G2964)),IF(D2964=F2964,15,0),"")</f>
        <v/>
      </c>
      <c r="J2964" s="22" t="str">
        <f aca="false">IF(AND(ISNUMBER(F2964),ISNUMBER(G2964)),IF(E2964=G2964,15,0),"")</f>
        <v/>
      </c>
      <c r="K2964" s="22" t="str">
        <f aca="false">IF(AND(ISNUMBER(F2964),ISNUMBER(G2964)),IF(ABS(D2964-E2964)=ABS(F2964-G2964),12,0),"")</f>
        <v/>
      </c>
      <c r="L2964" s="23" t="str">
        <f aca="false">IF(ISNUMBER(H2964),H2964+I2964+J2964+K2964,"")</f>
        <v/>
      </c>
    </row>
    <row r="2965" customFormat="false" ht="18" hidden="false" customHeight="true" outlineLevel="0" collapsed="false">
      <c r="A2965" s="25" t="s">
        <v>9</v>
      </c>
      <c r="B2965" s="32" t="s">
        <v>204</v>
      </c>
      <c r="C2965" s="27" t="s">
        <v>45</v>
      </c>
      <c r="D2965" s="28" t="n">
        <v>1</v>
      </c>
      <c r="E2965" s="28" t="n">
        <v>0</v>
      </c>
      <c r="F2965" s="29" t="n">
        <f aca="false">'📋 Matches'!E13</f>
        <v>0</v>
      </c>
      <c r="G2965" s="29" t="n">
        <f aca="false">'📋 Matches'!F13</f>
        <v>0</v>
      </c>
      <c r="H2965" s="22" t="str">
        <f aca="false">IF(AND(ISNUMBER(F2965),ISNUMBER(G2965)),IF(SIGN(D2965-E2965)=SIGN(F2965-G2965),48,0),"")</f>
        <v/>
      </c>
      <c r="I2965" s="22" t="str">
        <f aca="false">IF(AND(ISNUMBER(F2965),ISNUMBER(G2965)),IF(D2965=F2965,15,0),"")</f>
        <v/>
      </c>
      <c r="J2965" s="22" t="str">
        <f aca="false">IF(AND(ISNUMBER(F2965),ISNUMBER(G2965)),IF(E2965=G2965,15,0),"")</f>
        <v/>
      </c>
      <c r="K2965" s="22" t="str">
        <f aca="false">IF(AND(ISNUMBER(F2965),ISNUMBER(G2965)),IF(ABS(D2965-E2965)=ABS(F2965-G2965),12,0),"")</f>
        <v/>
      </c>
      <c r="L2965" s="23" t="str">
        <f aca="false">IF(ISNUMBER(H2965),H2965+I2965+J2965+K2965,"")</f>
        <v/>
      </c>
    </row>
    <row r="2966" customFormat="false" ht="18" hidden="false" customHeight="true" outlineLevel="0" collapsed="false">
      <c r="A2966" s="25" t="s">
        <v>9</v>
      </c>
      <c r="B2966" s="32" t="s">
        <v>204</v>
      </c>
      <c r="C2966" s="27" t="s">
        <v>48</v>
      </c>
      <c r="D2966" s="28" t="n">
        <v>4</v>
      </c>
      <c r="E2966" s="28" t="n">
        <v>0</v>
      </c>
      <c r="F2966" s="29" t="n">
        <f aca="false">'📋 Matches'!E14</f>
        <v>0</v>
      </c>
      <c r="G2966" s="29" t="n">
        <f aca="false">'📋 Matches'!F14</f>
        <v>0</v>
      </c>
      <c r="H2966" s="22" t="str">
        <f aca="false">IF(AND(ISNUMBER(F2966),ISNUMBER(G2966)),IF(SIGN(D2966-E2966)=SIGN(F2966-G2966),48,0),"")</f>
        <v/>
      </c>
      <c r="I2966" s="22" t="str">
        <f aca="false">IF(AND(ISNUMBER(F2966),ISNUMBER(G2966)),IF(D2966=F2966,15,0),"")</f>
        <v/>
      </c>
      <c r="J2966" s="22" t="str">
        <f aca="false">IF(AND(ISNUMBER(F2966),ISNUMBER(G2966)),IF(E2966=G2966,15,0),"")</f>
        <v/>
      </c>
      <c r="K2966" s="22" t="str">
        <f aca="false">IF(AND(ISNUMBER(F2966),ISNUMBER(G2966)),IF(ABS(D2966-E2966)=ABS(F2966-G2966),12,0),"")</f>
        <v/>
      </c>
      <c r="L2966" s="23" t="str">
        <f aca="false">IF(ISNUMBER(H2966),H2966+I2966+J2966+K2966,"")</f>
        <v/>
      </c>
    </row>
    <row r="2967" customFormat="false" ht="18" hidden="false" customHeight="true" outlineLevel="0" collapsed="false">
      <c r="A2967" s="25" t="s">
        <v>9</v>
      </c>
      <c r="B2967" s="32" t="s">
        <v>204</v>
      </c>
      <c r="C2967" s="27" t="s">
        <v>51</v>
      </c>
      <c r="D2967" s="28" t="n">
        <v>2</v>
      </c>
      <c r="E2967" s="28" t="n">
        <v>1</v>
      </c>
      <c r="F2967" s="29" t="n">
        <f aca="false">'📋 Matches'!E15</f>
        <v>0</v>
      </c>
      <c r="G2967" s="29" t="n">
        <f aca="false">'📋 Matches'!F15</f>
        <v>0</v>
      </c>
      <c r="H2967" s="22" t="str">
        <f aca="false">IF(AND(ISNUMBER(F2967),ISNUMBER(G2967)),IF(SIGN(D2967-E2967)=SIGN(F2967-G2967),48,0),"")</f>
        <v/>
      </c>
      <c r="I2967" s="22" t="str">
        <f aca="false">IF(AND(ISNUMBER(F2967),ISNUMBER(G2967)),IF(D2967=F2967,15,0),"")</f>
        <v/>
      </c>
      <c r="J2967" s="22" t="str">
        <f aca="false">IF(AND(ISNUMBER(F2967),ISNUMBER(G2967)),IF(E2967=G2967,15,0),"")</f>
        <v/>
      </c>
      <c r="K2967" s="22" t="str">
        <f aca="false">IF(AND(ISNUMBER(F2967),ISNUMBER(G2967)),IF(ABS(D2967-E2967)=ABS(F2967-G2967),12,0),"")</f>
        <v/>
      </c>
      <c r="L2967" s="23" t="str">
        <f aca="false">IF(ISNUMBER(H2967),H2967+I2967+J2967+K2967,"")</f>
        <v/>
      </c>
    </row>
    <row r="2968" customFormat="false" ht="18" hidden="false" customHeight="true" outlineLevel="0" collapsed="false">
      <c r="A2968" s="25" t="s">
        <v>9</v>
      </c>
      <c r="B2968" s="32" t="s">
        <v>204</v>
      </c>
      <c r="C2968" s="27" t="s">
        <v>54</v>
      </c>
      <c r="D2968" s="28" t="n">
        <v>0</v>
      </c>
      <c r="E2968" s="28" t="n">
        <v>3</v>
      </c>
      <c r="F2968" s="29" t="n">
        <f aca="false">'📋 Matches'!E16</f>
        <v>0</v>
      </c>
      <c r="G2968" s="29" t="n">
        <f aca="false">'📋 Matches'!F16</f>
        <v>0</v>
      </c>
      <c r="H2968" s="22" t="str">
        <f aca="false">IF(AND(ISNUMBER(F2968),ISNUMBER(G2968)),IF(SIGN(D2968-E2968)=SIGN(F2968-G2968),48,0),"")</f>
        <v/>
      </c>
      <c r="I2968" s="22" t="str">
        <f aca="false">IF(AND(ISNUMBER(F2968),ISNUMBER(G2968)),IF(D2968=F2968,15,0),"")</f>
        <v/>
      </c>
      <c r="J2968" s="22" t="str">
        <f aca="false">IF(AND(ISNUMBER(F2968),ISNUMBER(G2968)),IF(E2968=G2968,15,0),"")</f>
        <v/>
      </c>
      <c r="K2968" s="22" t="str">
        <f aca="false">IF(AND(ISNUMBER(F2968),ISNUMBER(G2968)),IF(ABS(D2968-E2968)=ABS(F2968-G2968),12,0),"")</f>
        <v/>
      </c>
      <c r="L2968" s="23" t="str">
        <f aca="false">IF(ISNUMBER(H2968),H2968+I2968+J2968+K2968,"")</f>
        <v/>
      </c>
    </row>
    <row r="2969" customFormat="false" ht="18" hidden="false" customHeight="true" outlineLevel="0" collapsed="false">
      <c r="A2969" s="25" t="s">
        <v>9</v>
      </c>
      <c r="B2969" s="32" t="s">
        <v>204</v>
      </c>
      <c r="C2969" s="27" t="s">
        <v>57</v>
      </c>
      <c r="D2969" s="28" t="n">
        <v>2</v>
      </c>
      <c r="E2969" s="28" t="n">
        <v>0</v>
      </c>
      <c r="F2969" s="29" t="n">
        <f aca="false">'📋 Matches'!E17</f>
        <v>0</v>
      </c>
      <c r="G2969" s="29" t="n">
        <f aca="false">'📋 Matches'!F17</f>
        <v>0</v>
      </c>
      <c r="H2969" s="22" t="str">
        <f aca="false">IF(AND(ISNUMBER(F2969),ISNUMBER(G2969)),IF(SIGN(D2969-E2969)=SIGN(F2969-G2969),48,0),"")</f>
        <v/>
      </c>
      <c r="I2969" s="22" t="str">
        <f aca="false">IF(AND(ISNUMBER(F2969),ISNUMBER(G2969)),IF(D2969=F2969,15,0),"")</f>
        <v/>
      </c>
      <c r="J2969" s="22" t="str">
        <f aca="false">IF(AND(ISNUMBER(F2969),ISNUMBER(G2969)),IF(E2969=G2969,15,0),"")</f>
        <v/>
      </c>
      <c r="K2969" s="22" t="str">
        <f aca="false">IF(AND(ISNUMBER(F2969),ISNUMBER(G2969)),IF(ABS(D2969-E2969)=ABS(F2969-G2969),12,0),"")</f>
        <v/>
      </c>
      <c r="L2969" s="23" t="str">
        <f aca="false">IF(ISNUMBER(H2969),H2969+I2969+J2969+K2969,"")</f>
        <v/>
      </c>
    </row>
    <row r="2970" customFormat="false" ht="18" hidden="false" customHeight="true" outlineLevel="0" collapsed="false">
      <c r="A2970" s="25" t="s">
        <v>9</v>
      </c>
      <c r="B2970" s="32" t="s">
        <v>204</v>
      </c>
      <c r="C2970" s="27" t="s">
        <v>60</v>
      </c>
      <c r="D2970" s="28" t="n">
        <v>2</v>
      </c>
      <c r="E2970" s="28" t="n">
        <v>0</v>
      </c>
      <c r="F2970" s="29" t="n">
        <f aca="false">'📋 Matches'!E18</f>
        <v>0</v>
      </c>
      <c r="G2970" s="29" t="n">
        <f aca="false">'📋 Matches'!F18</f>
        <v>0</v>
      </c>
      <c r="H2970" s="22" t="str">
        <f aca="false">IF(AND(ISNUMBER(F2970),ISNUMBER(G2970)),IF(SIGN(D2970-E2970)=SIGN(F2970-G2970),48,0),"")</f>
        <v/>
      </c>
      <c r="I2970" s="22" t="str">
        <f aca="false">IF(AND(ISNUMBER(F2970),ISNUMBER(G2970)),IF(D2970=F2970,15,0),"")</f>
        <v/>
      </c>
      <c r="J2970" s="22" t="str">
        <f aca="false">IF(AND(ISNUMBER(F2970),ISNUMBER(G2970)),IF(E2970=G2970,15,0),"")</f>
        <v/>
      </c>
      <c r="K2970" s="22" t="str">
        <f aca="false">IF(AND(ISNUMBER(F2970),ISNUMBER(G2970)),IF(ABS(D2970-E2970)=ABS(F2970-G2970),12,0),"")</f>
        <v/>
      </c>
      <c r="L2970" s="23" t="str">
        <f aca="false">IF(ISNUMBER(H2970),H2970+I2970+J2970+K2970,"")</f>
        <v/>
      </c>
    </row>
    <row r="2971" customFormat="false" ht="18" hidden="false" customHeight="true" outlineLevel="0" collapsed="false">
      <c r="A2971" s="25" t="s">
        <v>9</v>
      </c>
      <c r="B2971" s="32" t="s">
        <v>204</v>
      </c>
      <c r="C2971" s="27" t="s">
        <v>63</v>
      </c>
      <c r="D2971" s="28" t="n">
        <v>0</v>
      </c>
      <c r="E2971" s="28" t="n">
        <v>3</v>
      </c>
      <c r="F2971" s="29" t="n">
        <f aca="false">'📋 Matches'!E19</f>
        <v>0</v>
      </c>
      <c r="G2971" s="29" t="n">
        <f aca="false">'📋 Matches'!F19</f>
        <v>0</v>
      </c>
      <c r="H2971" s="22" t="str">
        <f aca="false">IF(AND(ISNUMBER(F2971),ISNUMBER(G2971)),IF(SIGN(D2971-E2971)=SIGN(F2971-G2971),48,0),"")</f>
        <v/>
      </c>
      <c r="I2971" s="22" t="str">
        <f aca="false">IF(AND(ISNUMBER(F2971),ISNUMBER(G2971)),IF(D2971=F2971,15,0),"")</f>
        <v/>
      </c>
      <c r="J2971" s="22" t="str">
        <f aca="false">IF(AND(ISNUMBER(F2971),ISNUMBER(G2971)),IF(E2971=G2971,15,0),"")</f>
        <v/>
      </c>
      <c r="K2971" s="22" t="str">
        <f aca="false">IF(AND(ISNUMBER(F2971),ISNUMBER(G2971)),IF(ABS(D2971-E2971)=ABS(F2971-G2971),12,0),"")</f>
        <v/>
      </c>
      <c r="L2971" s="23" t="str">
        <f aca="false">IF(ISNUMBER(H2971),H2971+I2971+J2971+K2971,"")</f>
        <v/>
      </c>
    </row>
    <row r="2972" customFormat="false" ht="18" hidden="false" customHeight="true" outlineLevel="0" collapsed="false">
      <c r="A2972" s="25" t="s">
        <v>9</v>
      </c>
      <c r="B2972" s="32" t="s">
        <v>204</v>
      </c>
      <c r="C2972" s="27" t="s">
        <v>66</v>
      </c>
      <c r="D2972" s="28" t="n">
        <v>2</v>
      </c>
      <c r="E2972" s="28" t="n">
        <v>0</v>
      </c>
      <c r="F2972" s="29" t="n">
        <f aca="false">'📋 Matches'!E20</f>
        <v>0</v>
      </c>
      <c r="G2972" s="29" t="n">
        <f aca="false">'📋 Matches'!F20</f>
        <v>0</v>
      </c>
      <c r="H2972" s="22" t="str">
        <f aca="false">IF(AND(ISNUMBER(F2972),ISNUMBER(G2972)),IF(SIGN(D2972-E2972)=SIGN(F2972-G2972),48,0),"")</f>
        <v/>
      </c>
      <c r="I2972" s="22" t="str">
        <f aca="false">IF(AND(ISNUMBER(F2972),ISNUMBER(G2972)),IF(D2972=F2972,15,0),"")</f>
        <v/>
      </c>
      <c r="J2972" s="22" t="str">
        <f aca="false">IF(AND(ISNUMBER(F2972),ISNUMBER(G2972)),IF(E2972=G2972,15,0),"")</f>
        <v/>
      </c>
      <c r="K2972" s="22" t="str">
        <f aca="false">IF(AND(ISNUMBER(F2972),ISNUMBER(G2972)),IF(ABS(D2972-E2972)=ABS(F2972-G2972),12,0),"")</f>
        <v/>
      </c>
      <c r="L2972" s="23" t="str">
        <f aca="false">IF(ISNUMBER(H2972),H2972+I2972+J2972+K2972,"")</f>
        <v/>
      </c>
    </row>
    <row r="2973" customFormat="false" ht="18" hidden="false" customHeight="true" outlineLevel="0" collapsed="false">
      <c r="A2973" s="25" t="s">
        <v>9</v>
      </c>
      <c r="B2973" s="32" t="s">
        <v>204</v>
      </c>
      <c r="C2973" s="27" t="s">
        <v>69</v>
      </c>
      <c r="D2973" s="28" t="n">
        <v>3</v>
      </c>
      <c r="E2973" s="28" t="n">
        <v>0</v>
      </c>
      <c r="F2973" s="29" t="n">
        <f aca="false">'📋 Matches'!E21</f>
        <v>0</v>
      </c>
      <c r="G2973" s="29" t="n">
        <f aca="false">'📋 Matches'!F21</f>
        <v>0</v>
      </c>
      <c r="H2973" s="22" t="str">
        <f aca="false">IF(AND(ISNUMBER(F2973),ISNUMBER(G2973)),IF(SIGN(D2973-E2973)=SIGN(F2973-G2973),48,0),"")</f>
        <v/>
      </c>
      <c r="I2973" s="22" t="str">
        <f aca="false">IF(AND(ISNUMBER(F2973),ISNUMBER(G2973)),IF(D2973=F2973,15,0),"")</f>
        <v/>
      </c>
      <c r="J2973" s="22" t="str">
        <f aca="false">IF(AND(ISNUMBER(F2973),ISNUMBER(G2973)),IF(E2973=G2973,15,0),"")</f>
        <v/>
      </c>
      <c r="K2973" s="22" t="str">
        <f aca="false">IF(AND(ISNUMBER(F2973),ISNUMBER(G2973)),IF(ABS(D2973-E2973)=ABS(F2973-G2973),12,0),"")</f>
        <v/>
      </c>
      <c r="L2973" s="23" t="str">
        <f aca="false">IF(ISNUMBER(H2973),H2973+I2973+J2973+K2973,"")</f>
        <v/>
      </c>
    </row>
    <row r="2974" customFormat="false" ht="18" hidden="false" customHeight="true" outlineLevel="0" collapsed="false">
      <c r="A2974" s="25" t="s">
        <v>9</v>
      </c>
      <c r="B2974" s="32" t="s">
        <v>204</v>
      </c>
      <c r="C2974" s="27" t="s">
        <v>72</v>
      </c>
      <c r="D2974" s="28" t="n">
        <v>2</v>
      </c>
      <c r="E2974" s="28" t="n">
        <v>0</v>
      </c>
      <c r="F2974" s="29" t="n">
        <f aca="false">'📋 Matches'!E22</f>
        <v>0</v>
      </c>
      <c r="G2974" s="29" t="n">
        <f aca="false">'📋 Matches'!F22</f>
        <v>0</v>
      </c>
      <c r="H2974" s="22" t="str">
        <f aca="false">IF(AND(ISNUMBER(F2974),ISNUMBER(G2974)),IF(SIGN(D2974-E2974)=SIGN(F2974-G2974),48,0),"")</f>
        <v/>
      </c>
      <c r="I2974" s="22" t="str">
        <f aca="false">IF(AND(ISNUMBER(F2974),ISNUMBER(G2974)),IF(D2974=F2974,15,0),"")</f>
        <v/>
      </c>
      <c r="J2974" s="22" t="str">
        <f aca="false">IF(AND(ISNUMBER(F2974),ISNUMBER(G2974)),IF(E2974=G2974,15,0),"")</f>
        <v/>
      </c>
      <c r="K2974" s="22" t="str">
        <f aca="false">IF(AND(ISNUMBER(F2974),ISNUMBER(G2974)),IF(ABS(D2974-E2974)=ABS(F2974-G2974),12,0),"")</f>
        <v/>
      </c>
      <c r="L2974" s="23" t="str">
        <f aca="false">IF(ISNUMBER(H2974),H2974+I2974+J2974+K2974,"")</f>
        <v/>
      </c>
    </row>
    <row r="2975" customFormat="false" ht="18" hidden="false" customHeight="true" outlineLevel="0" collapsed="false">
      <c r="A2975" s="25" t="s">
        <v>9</v>
      </c>
      <c r="B2975" s="32" t="s">
        <v>204</v>
      </c>
      <c r="C2975" s="27" t="s">
        <v>75</v>
      </c>
      <c r="D2975" s="28" t="n">
        <v>1</v>
      </c>
      <c r="E2975" s="28" t="n">
        <v>1</v>
      </c>
      <c r="F2975" s="29" t="n">
        <f aca="false">'📋 Matches'!E23</f>
        <v>0</v>
      </c>
      <c r="G2975" s="29" t="n">
        <f aca="false">'📋 Matches'!F23</f>
        <v>0</v>
      </c>
      <c r="H2975" s="22" t="str">
        <f aca="false">IF(AND(ISNUMBER(F2975),ISNUMBER(G2975)),IF(SIGN(D2975-E2975)=SIGN(F2975-G2975),48,0),"")</f>
        <v/>
      </c>
      <c r="I2975" s="22" t="str">
        <f aca="false">IF(AND(ISNUMBER(F2975),ISNUMBER(G2975)),IF(D2975=F2975,15,0),"")</f>
        <v/>
      </c>
      <c r="J2975" s="22" t="str">
        <f aca="false">IF(AND(ISNUMBER(F2975),ISNUMBER(G2975)),IF(E2975=G2975,15,0),"")</f>
        <v/>
      </c>
      <c r="K2975" s="22" t="str">
        <f aca="false">IF(AND(ISNUMBER(F2975),ISNUMBER(G2975)),IF(ABS(D2975-E2975)=ABS(F2975-G2975),12,0),"")</f>
        <v/>
      </c>
      <c r="L2975" s="23" t="str">
        <f aca="false">IF(ISNUMBER(H2975),H2975+I2975+J2975+K2975,"")</f>
        <v/>
      </c>
    </row>
    <row r="2976" customFormat="false" ht="18" hidden="false" customHeight="true" outlineLevel="0" collapsed="false">
      <c r="A2976" s="25" t="s">
        <v>9</v>
      </c>
      <c r="B2976" s="32" t="s">
        <v>204</v>
      </c>
      <c r="C2976" s="27" t="s">
        <v>78</v>
      </c>
      <c r="D2976" s="28" t="n">
        <v>2</v>
      </c>
      <c r="E2976" s="28" t="n">
        <v>1</v>
      </c>
      <c r="F2976" s="29" t="n">
        <f aca="false">'📋 Matches'!E24</f>
        <v>0</v>
      </c>
      <c r="G2976" s="29" t="n">
        <f aca="false">'📋 Matches'!F24</f>
        <v>0</v>
      </c>
      <c r="H2976" s="22" t="str">
        <f aca="false">IF(AND(ISNUMBER(F2976),ISNUMBER(G2976)),IF(SIGN(D2976-E2976)=SIGN(F2976-G2976),48,0),"")</f>
        <v/>
      </c>
      <c r="I2976" s="22" t="str">
        <f aca="false">IF(AND(ISNUMBER(F2976),ISNUMBER(G2976)),IF(D2976=F2976,15,0),"")</f>
        <v/>
      </c>
      <c r="J2976" s="22" t="str">
        <f aca="false">IF(AND(ISNUMBER(F2976),ISNUMBER(G2976)),IF(E2976=G2976,15,0),"")</f>
        <v/>
      </c>
      <c r="K2976" s="22" t="str">
        <f aca="false">IF(AND(ISNUMBER(F2976),ISNUMBER(G2976)),IF(ABS(D2976-E2976)=ABS(F2976-G2976),12,0),"")</f>
        <v/>
      </c>
      <c r="L2976" s="23" t="str">
        <f aca="false">IF(ISNUMBER(H2976),H2976+I2976+J2976+K2976,"")</f>
        <v/>
      </c>
    </row>
    <row r="2977" customFormat="false" ht="18" hidden="false" customHeight="true" outlineLevel="0" collapsed="false">
      <c r="A2977" s="25" t="s">
        <v>9</v>
      </c>
      <c r="B2977" s="32" t="s">
        <v>204</v>
      </c>
      <c r="C2977" s="27" t="s">
        <v>81</v>
      </c>
      <c r="D2977" s="28" t="n">
        <v>1</v>
      </c>
      <c r="E2977" s="28" t="n">
        <v>3</v>
      </c>
      <c r="F2977" s="29" t="n">
        <f aca="false">'📋 Matches'!E25</f>
        <v>0</v>
      </c>
      <c r="G2977" s="29" t="n">
        <f aca="false">'📋 Matches'!F25</f>
        <v>0</v>
      </c>
      <c r="H2977" s="22" t="str">
        <f aca="false">IF(AND(ISNUMBER(F2977),ISNUMBER(G2977)),IF(SIGN(D2977-E2977)=SIGN(F2977-G2977),48,0),"")</f>
        <v/>
      </c>
      <c r="I2977" s="22" t="str">
        <f aca="false">IF(AND(ISNUMBER(F2977),ISNUMBER(G2977)),IF(D2977=F2977,15,0),"")</f>
        <v/>
      </c>
      <c r="J2977" s="22" t="str">
        <f aca="false">IF(AND(ISNUMBER(F2977),ISNUMBER(G2977)),IF(E2977=G2977,15,0),"")</f>
        <v/>
      </c>
      <c r="K2977" s="22" t="str">
        <f aca="false">IF(AND(ISNUMBER(F2977),ISNUMBER(G2977)),IF(ABS(D2977-E2977)=ABS(F2977-G2977),12,0),"")</f>
        <v/>
      </c>
      <c r="L2977" s="23" t="str">
        <f aca="false">IF(ISNUMBER(H2977),H2977+I2977+J2977+K2977,"")</f>
        <v/>
      </c>
    </row>
    <row r="2978" customFormat="false" ht="18" hidden="false" customHeight="true" outlineLevel="0" collapsed="false">
      <c r="A2978" s="17" t="s">
        <v>9</v>
      </c>
      <c r="B2978" s="31" t="s">
        <v>205</v>
      </c>
      <c r="C2978" s="19" t="s">
        <v>10</v>
      </c>
      <c r="D2978" s="20" t="n">
        <v>2</v>
      </c>
      <c r="E2978" s="20" t="n">
        <v>1</v>
      </c>
      <c r="F2978" s="21" t="n">
        <f aca="false">'📋 Matches'!E2</f>
        <v>2</v>
      </c>
      <c r="G2978" s="21" t="n">
        <f aca="false">'📋 Matches'!F2</f>
        <v>0</v>
      </c>
      <c r="H2978" s="22" t="n">
        <f aca="false">IF(AND(ISNUMBER(F2978),ISNUMBER(G2978)),IF(SIGN(D2978-E2978)=SIGN(F2978-G2978),48,0),"")</f>
        <v>48</v>
      </c>
      <c r="I2978" s="22" t="n">
        <f aca="false">IF(AND(ISNUMBER(F2978),ISNUMBER(G2978)),IF(D2978=F2978,15,0),"")</f>
        <v>15</v>
      </c>
      <c r="J2978" s="22" t="n">
        <f aca="false">IF(AND(ISNUMBER(F2978),ISNUMBER(G2978)),IF(E2978=G2978,15,0),"")</f>
        <v>0</v>
      </c>
      <c r="K2978" s="22" t="n">
        <f aca="false">IF(AND(ISNUMBER(F2978),ISNUMBER(G2978)),IF(ABS(D2978-E2978)=ABS(F2978-G2978),12,0),"")</f>
        <v>0</v>
      </c>
      <c r="L2978" s="23" t="n">
        <f aca="false">IF(ISNUMBER(H2978),H2978+I2978+J2978+K2978,"")</f>
        <v>63</v>
      </c>
    </row>
    <row r="2979" customFormat="false" ht="18" hidden="false" customHeight="true" outlineLevel="0" collapsed="false">
      <c r="A2979" s="17" t="s">
        <v>9</v>
      </c>
      <c r="B2979" s="31" t="s">
        <v>205</v>
      </c>
      <c r="C2979" s="19" t="s">
        <v>14</v>
      </c>
      <c r="D2979" s="20" t="n">
        <v>1</v>
      </c>
      <c r="E2979" s="20" t="n">
        <v>1</v>
      </c>
      <c r="F2979" s="21" t="n">
        <f aca="false">'📋 Matches'!E3</f>
        <v>2</v>
      </c>
      <c r="G2979" s="21" t="n">
        <f aca="false">'📋 Matches'!F3</f>
        <v>1</v>
      </c>
      <c r="H2979" s="22" t="n">
        <f aca="false">IF(AND(ISNUMBER(F2979),ISNUMBER(G2979)),IF(SIGN(D2979-E2979)=SIGN(F2979-G2979),48,0),"")</f>
        <v>0</v>
      </c>
      <c r="I2979" s="22" t="n">
        <f aca="false">IF(AND(ISNUMBER(F2979),ISNUMBER(G2979)),IF(D2979=F2979,15,0),"")</f>
        <v>0</v>
      </c>
      <c r="J2979" s="22" t="n">
        <f aca="false">IF(AND(ISNUMBER(F2979),ISNUMBER(G2979)),IF(E2979=G2979,15,0),"")</f>
        <v>15</v>
      </c>
      <c r="K2979" s="22" t="n">
        <f aca="false">IF(AND(ISNUMBER(F2979),ISNUMBER(G2979)),IF(ABS(D2979-E2979)=ABS(F2979-G2979),12,0),"")</f>
        <v>0</v>
      </c>
      <c r="L2979" s="23" t="n">
        <f aca="false">IF(ISNUMBER(H2979),H2979+I2979+J2979+K2979,"")</f>
        <v>15</v>
      </c>
    </row>
    <row r="2980" customFormat="false" ht="18" hidden="false" customHeight="true" outlineLevel="0" collapsed="false">
      <c r="A2980" s="17" t="s">
        <v>9</v>
      </c>
      <c r="B2980" s="31" t="s">
        <v>205</v>
      </c>
      <c r="C2980" s="19" t="s">
        <v>17</v>
      </c>
      <c r="D2980" s="20" t="n">
        <v>2</v>
      </c>
      <c r="E2980" s="20" t="n">
        <v>0</v>
      </c>
      <c r="F2980" s="21" t="n">
        <f aca="false">'📋 Matches'!E4</f>
        <v>1</v>
      </c>
      <c r="G2980" s="21" t="n">
        <f aca="false">'📋 Matches'!F4</f>
        <v>1</v>
      </c>
      <c r="H2980" s="22" t="n">
        <f aca="false">IF(AND(ISNUMBER(F2980),ISNUMBER(G2980)),IF(SIGN(D2980-E2980)=SIGN(F2980-G2980),48,0),"")</f>
        <v>0</v>
      </c>
      <c r="I2980" s="22" t="n">
        <f aca="false">IF(AND(ISNUMBER(F2980),ISNUMBER(G2980)),IF(D2980=F2980,15,0),"")</f>
        <v>0</v>
      </c>
      <c r="J2980" s="22" t="n">
        <f aca="false">IF(AND(ISNUMBER(F2980),ISNUMBER(G2980)),IF(E2980=G2980,15,0),"")</f>
        <v>0</v>
      </c>
      <c r="K2980" s="22" t="n">
        <f aca="false">IF(AND(ISNUMBER(F2980),ISNUMBER(G2980)),IF(ABS(D2980-E2980)=ABS(F2980-G2980),12,0),"")</f>
        <v>0</v>
      </c>
      <c r="L2980" s="23" t="n">
        <f aca="false">IF(ISNUMBER(H2980),H2980+I2980+J2980+K2980,"")</f>
        <v>0</v>
      </c>
    </row>
    <row r="2981" customFormat="false" ht="18" hidden="false" customHeight="true" outlineLevel="0" collapsed="false">
      <c r="A2981" s="17" t="s">
        <v>9</v>
      </c>
      <c r="B2981" s="31" t="s">
        <v>205</v>
      </c>
      <c r="C2981" s="19" t="s">
        <v>20</v>
      </c>
      <c r="D2981" s="20" t="n">
        <v>1</v>
      </c>
      <c r="E2981" s="20" t="n">
        <v>1</v>
      </c>
      <c r="F2981" s="21" t="n">
        <f aca="false">'📋 Matches'!E5</f>
        <v>4</v>
      </c>
      <c r="G2981" s="21" t="n">
        <f aca="false">'📋 Matches'!F5</f>
        <v>1</v>
      </c>
      <c r="H2981" s="22" t="n">
        <f aca="false">IF(AND(ISNUMBER(F2981),ISNUMBER(G2981)),IF(SIGN(D2981-E2981)=SIGN(F2981-G2981),48,0),"")</f>
        <v>0</v>
      </c>
      <c r="I2981" s="22" t="n">
        <f aca="false">IF(AND(ISNUMBER(F2981),ISNUMBER(G2981)),IF(D2981=F2981,15,0),"")</f>
        <v>0</v>
      </c>
      <c r="J2981" s="22" t="n">
        <f aca="false">IF(AND(ISNUMBER(F2981),ISNUMBER(G2981)),IF(E2981=G2981,15,0),"")</f>
        <v>15</v>
      </c>
      <c r="K2981" s="22" t="n">
        <f aca="false">IF(AND(ISNUMBER(F2981),ISNUMBER(G2981)),IF(ABS(D2981-E2981)=ABS(F2981-G2981),12,0),"")</f>
        <v>0</v>
      </c>
      <c r="L2981" s="23" t="n">
        <f aca="false">IF(ISNUMBER(H2981),H2981+I2981+J2981+K2981,"")</f>
        <v>15</v>
      </c>
    </row>
    <row r="2982" customFormat="false" ht="18" hidden="false" customHeight="true" outlineLevel="0" collapsed="false">
      <c r="A2982" s="17" t="s">
        <v>9</v>
      </c>
      <c r="B2982" s="31" t="s">
        <v>205</v>
      </c>
      <c r="C2982" s="19" t="s">
        <v>23</v>
      </c>
      <c r="D2982" s="20" t="n">
        <v>0</v>
      </c>
      <c r="E2982" s="20" t="n">
        <v>2</v>
      </c>
      <c r="F2982" s="21" t="n">
        <f aca="false">'📋 Matches'!E6</f>
        <v>0</v>
      </c>
      <c r="G2982" s="21" t="n">
        <f aca="false">'📋 Matches'!F6</f>
        <v>0</v>
      </c>
      <c r="H2982" s="22" t="str">
        <f aca="false">IF(AND(ISNUMBER(F2982),ISNUMBER(G2982)),IF(SIGN(D2982-E2982)=SIGN(F2982-G2982),48,0),"")</f>
        <v/>
      </c>
      <c r="I2982" s="22" t="str">
        <f aca="false">IF(AND(ISNUMBER(F2982),ISNUMBER(G2982)),IF(D2982=F2982,15,0),"")</f>
        <v/>
      </c>
      <c r="J2982" s="22" t="str">
        <f aca="false">IF(AND(ISNUMBER(F2982),ISNUMBER(G2982)),IF(E2982=G2982,15,0),"")</f>
        <v/>
      </c>
      <c r="K2982" s="22" t="str">
        <f aca="false">IF(AND(ISNUMBER(F2982),ISNUMBER(G2982)),IF(ABS(D2982-E2982)=ABS(F2982-G2982),12,0),"")</f>
        <v/>
      </c>
      <c r="L2982" s="23" t="str">
        <f aca="false">IF(ISNUMBER(H2982),H2982+I2982+J2982+K2982,"")</f>
        <v/>
      </c>
    </row>
    <row r="2983" customFormat="false" ht="18" hidden="false" customHeight="true" outlineLevel="0" collapsed="false">
      <c r="A2983" s="17" t="s">
        <v>9</v>
      </c>
      <c r="B2983" s="31" t="s">
        <v>205</v>
      </c>
      <c r="C2983" s="19" t="s">
        <v>27</v>
      </c>
      <c r="D2983" s="20" t="n">
        <v>3</v>
      </c>
      <c r="E2983" s="20" t="n">
        <v>1</v>
      </c>
      <c r="F2983" s="21" t="n">
        <f aca="false">'📋 Matches'!E7</f>
        <v>0</v>
      </c>
      <c r="G2983" s="21" t="n">
        <f aca="false">'📋 Matches'!F7</f>
        <v>0</v>
      </c>
      <c r="H2983" s="22" t="str">
        <f aca="false">IF(AND(ISNUMBER(F2983),ISNUMBER(G2983)),IF(SIGN(D2983-E2983)=SIGN(F2983-G2983),48,0),"")</f>
        <v/>
      </c>
      <c r="I2983" s="22" t="str">
        <f aca="false">IF(AND(ISNUMBER(F2983),ISNUMBER(G2983)),IF(D2983=F2983,15,0),"")</f>
        <v/>
      </c>
      <c r="J2983" s="22" t="str">
        <f aca="false">IF(AND(ISNUMBER(F2983),ISNUMBER(G2983)),IF(E2983=G2983,15,0),"")</f>
        <v/>
      </c>
      <c r="K2983" s="22" t="str">
        <f aca="false">IF(AND(ISNUMBER(F2983),ISNUMBER(G2983)),IF(ABS(D2983-E2983)=ABS(F2983-G2983),12,0),"")</f>
        <v/>
      </c>
      <c r="L2983" s="23" t="str">
        <f aca="false">IF(ISNUMBER(H2983),H2983+I2983+J2983+K2983,"")</f>
        <v/>
      </c>
    </row>
    <row r="2984" customFormat="false" ht="18" hidden="false" customHeight="true" outlineLevel="0" collapsed="false">
      <c r="A2984" s="17" t="s">
        <v>9</v>
      </c>
      <c r="B2984" s="31" t="s">
        <v>205</v>
      </c>
      <c r="C2984" s="19" t="s">
        <v>30</v>
      </c>
      <c r="D2984" s="20" t="n">
        <v>0</v>
      </c>
      <c r="E2984" s="20" t="n">
        <v>2</v>
      </c>
      <c r="F2984" s="21" t="n">
        <f aca="false">'📋 Matches'!E8</f>
        <v>0</v>
      </c>
      <c r="G2984" s="21" t="n">
        <f aca="false">'📋 Matches'!F8</f>
        <v>0</v>
      </c>
      <c r="H2984" s="22" t="str">
        <f aca="false">IF(AND(ISNUMBER(F2984),ISNUMBER(G2984)),IF(SIGN(D2984-E2984)=SIGN(F2984-G2984),48,0),"")</f>
        <v/>
      </c>
      <c r="I2984" s="22" t="str">
        <f aca="false">IF(AND(ISNUMBER(F2984),ISNUMBER(G2984)),IF(D2984=F2984,15,0),"")</f>
        <v/>
      </c>
      <c r="J2984" s="22" t="str">
        <f aca="false">IF(AND(ISNUMBER(F2984),ISNUMBER(G2984)),IF(E2984=G2984,15,0),"")</f>
        <v/>
      </c>
      <c r="K2984" s="22" t="str">
        <f aca="false">IF(AND(ISNUMBER(F2984),ISNUMBER(G2984)),IF(ABS(D2984-E2984)=ABS(F2984-G2984),12,0),"")</f>
        <v/>
      </c>
      <c r="L2984" s="23" t="str">
        <f aca="false">IF(ISNUMBER(H2984),H2984+I2984+J2984+K2984,"")</f>
        <v/>
      </c>
    </row>
    <row r="2985" customFormat="false" ht="18" hidden="false" customHeight="true" outlineLevel="0" collapsed="false">
      <c r="A2985" s="17" t="s">
        <v>9</v>
      </c>
      <c r="B2985" s="31" t="s">
        <v>205</v>
      </c>
      <c r="C2985" s="19" t="s">
        <v>33</v>
      </c>
      <c r="D2985" s="20" t="n">
        <v>0</v>
      </c>
      <c r="E2985" s="20" t="n">
        <v>2</v>
      </c>
      <c r="F2985" s="21" t="n">
        <f aca="false">'📋 Matches'!E9</f>
        <v>0</v>
      </c>
      <c r="G2985" s="21" t="n">
        <f aca="false">'📋 Matches'!F9</f>
        <v>0</v>
      </c>
      <c r="H2985" s="22" t="str">
        <f aca="false">IF(AND(ISNUMBER(F2985),ISNUMBER(G2985)),IF(SIGN(D2985-E2985)=SIGN(F2985-G2985),48,0),"")</f>
        <v/>
      </c>
      <c r="I2985" s="22" t="str">
        <f aca="false">IF(AND(ISNUMBER(F2985),ISNUMBER(G2985)),IF(D2985=F2985,15,0),"")</f>
        <v/>
      </c>
      <c r="J2985" s="22" t="str">
        <f aca="false">IF(AND(ISNUMBER(F2985),ISNUMBER(G2985)),IF(E2985=G2985,15,0),"")</f>
        <v/>
      </c>
      <c r="K2985" s="22" t="str">
        <f aca="false">IF(AND(ISNUMBER(F2985),ISNUMBER(G2985)),IF(ABS(D2985-E2985)=ABS(F2985-G2985),12,0),"")</f>
        <v/>
      </c>
      <c r="L2985" s="23" t="str">
        <f aca="false">IF(ISNUMBER(H2985),H2985+I2985+J2985+K2985,"")</f>
        <v/>
      </c>
    </row>
    <row r="2986" customFormat="false" ht="18" hidden="false" customHeight="true" outlineLevel="0" collapsed="false">
      <c r="A2986" s="17" t="s">
        <v>9</v>
      </c>
      <c r="B2986" s="31" t="s">
        <v>205</v>
      </c>
      <c r="C2986" s="19" t="s">
        <v>36</v>
      </c>
      <c r="D2986" s="20" t="n">
        <v>3</v>
      </c>
      <c r="E2986" s="20" t="n">
        <v>0</v>
      </c>
      <c r="F2986" s="21" t="n">
        <f aca="false">'📋 Matches'!E10</f>
        <v>0</v>
      </c>
      <c r="G2986" s="21" t="n">
        <f aca="false">'📋 Matches'!F10</f>
        <v>0</v>
      </c>
      <c r="H2986" s="22" t="str">
        <f aca="false">IF(AND(ISNUMBER(F2986),ISNUMBER(G2986)),IF(SIGN(D2986-E2986)=SIGN(F2986-G2986),48,0),"")</f>
        <v/>
      </c>
      <c r="I2986" s="22" t="str">
        <f aca="false">IF(AND(ISNUMBER(F2986),ISNUMBER(G2986)),IF(D2986=F2986,15,0),"")</f>
        <v/>
      </c>
      <c r="J2986" s="22" t="str">
        <f aca="false">IF(AND(ISNUMBER(F2986),ISNUMBER(G2986)),IF(E2986=G2986,15,0),"")</f>
        <v/>
      </c>
      <c r="K2986" s="22" t="str">
        <f aca="false">IF(AND(ISNUMBER(F2986),ISNUMBER(G2986)),IF(ABS(D2986-E2986)=ABS(F2986-G2986),12,0),"")</f>
        <v/>
      </c>
      <c r="L2986" s="23" t="str">
        <f aca="false">IF(ISNUMBER(H2986),H2986+I2986+J2986+K2986,"")</f>
        <v/>
      </c>
    </row>
    <row r="2987" customFormat="false" ht="18" hidden="false" customHeight="true" outlineLevel="0" collapsed="false">
      <c r="A2987" s="17" t="s">
        <v>9</v>
      </c>
      <c r="B2987" s="31" t="s">
        <v>205</v>
      </c>
      <c r="C2987" s="19" t="s">
        <v>39</v>
      </c>
      <c r="D2987" s="20" t="n">
        <v>2</v>
      </c>
      <c r="E2987" s="20" t="n">
        <v>1</v>
      </c>
      <c r="F2987" s="21" t="n">
        <f aca="false">'📋 Matches'!E11</f>
        <v>0</v>
      </c>
      <c r="G2987" s="21" t="n">
        <f aca="false">'📋 Matches'!F11</f>
        <v>0</v>
      </c>
      <c r="H2987" s="22" t="str">
        <f aca="false">IF(AND(ISNUMBER(F2987),ISNUMBER(G2987)),IF(SIGN(D2987-E2987)=SIGN(F2987-G2987),48,0),"")</f>
        <v/>
      </c>
      <c r="I2987" s="22" t="str">
        <f aca="false">IF(AND(ISNUMBER(F2987),ISNUMBER(G2987)),IF(D2987=F2987,15,0),"")</f>
        <v/>
      </c>
      <c r="J2987" s="22" t="str">
        <f aca="false">IF(AND(ISNUMBER(F2987),ISNUMBER(G2987)),IF(E2987=G2987,15,0),"")</f>
        <v/>
      </c>
      <c r="K2987" s="22" t="str">
        <f aca="false">IF(AND(ISNUMBER(F2987),ISNUMBER(G2987)),IF(ABS(D2987-E2987)=ABS(F2987-G2987),12,0),"")</f>
        <v/>
      </c>
      <c r="L2987" s="23" t="str">
        <f aca="false">IF(ISNUMBER(H2987),H2987+I2987+J2987+K2987,"")</f>
        <v/>
      </c>
    </row>
    <row r="2988" customFormat="false" ht="18" hidden="false" customHeight="true" outlineLevel="0" collapsed="false">
      <c r="A2988" s="17" t="s">
        <v>9</v>
      </c>
      <c r="B2988" s="31" t="s">
        <v>205</v>
      </c>
      <c r="C2988" s="19" t="s">
        <v>42</v>
      </c>
      <c r="D2988" s="20" t="n">
        <v>0</v>
      </c>
      <c r="E2988" s="20" t="n">
        <v>2</v>
      </c>
      <c r="F2988" s="21" t="n">
        <f aca="false">'📋 Matches'!E12</f>
        <v>0</v>
      </c>
      <c r="G2988" s="21" t="n">
        <f aca="false">'📋 Matches'!F12</f>
        <v>0</v>
      </c>
      <c r="H2988" s="22" t="str">
        <f aca="false">IF(AND(ISNUMBER(F2988),ISNUMBER(G2988)),IF(SIGN(D2988-E2988)=SIGN(F2988-G2988),48,0),"")</f>
        <v/>
      </c>
      <c r="I2988" s="22" t="str">
        <f aca="false">IF(AND(ISNUMBER(F2988),ISNUMBER(G2988)),IF(D2988=F2988,15,0),"")</f>
        <v/>
      </c>
      <c r="J2988" s="22" t="str">
        <f aca="false">IF(AND(ISNUMBER(F2988),ISNUMBER(G2988)),IF(E2988=G2988,15,0),"")</f>
        <v/>
      </c>
      <c r="K2988" s="22" t="str">
        <f aca="false">IF(AND(ISNUMBER(F2988),ISNUMBER(G2988)),IF(ABS(D2988-E2988)=ABS(F2988-G2988),12,0),"")</f>
        <v/>
      </c>
      <c r="L2988" s="23" t="str">
        <f aca="false">IF(ISNUMBER(H2988),H2988+I2988+J2988+K2988,"")</f>
        <v/>
      </c>
    </row>
    <row r="2989" customFormat="false" ht="18" hidden="false" customHeight="true" outlineLevel="0" collapsed="false">
      <c r="A2989" s="17" t="s">
        <v>9</v>
      </c>
      <c r="B2989" s="31" t="s">
        <v>205</v>
      </c>
      <c r="C2989" s="19" t="s">
        <v>45</v>
      </c>
      <c r="D2989" s="20" t="n">
        <v>2</v>
      </c>
      <c r="E2989" s="20" t="n">
        <v>0</v>
      </c>
      <c r="F2989" s="21" t="n">
        <f aca="false">'📋 Matches'!E13</f>
        <v>0</v>
      </c>
      <c r="G2989" s="21" t="n">
        <f aca="false">'📋 Matches'!F13</f>
        <v>0</v>
      </c>
      <c r="H2989" s="22" t="str">
        <f aca="false">IF(AND(ISNUMBER(F2989),ISNUMBER(G2989)),IF(SIGN(D2989-E2989)=SIGN(F2989-G2989),48,0),"")</f>
        <v/>
      </c>
      <c r="I2989" s="22" t="str">
        <f aca="false">IF(AND(ISNUMBER(F2989),ISNUMBER(G2989)),IF(D2989=F2989,15,0),"")</f>
        <v/>
      </c>
      <c r="J2989" s="22" t="str">
        <f aca="false">IF(AND(ISNUMBER(F2989),ISNUMBER(G2989)),IF(E2989=G2989,15,0),"")</f>
        <v/>
      </c>
      <c r="K2989" s="22" t="str">
        <f aca="false">IF(AND(ISNUMBER(F2989),ISNUMBER(G2989)),IF(ABS(D2989-E2989)=ABS(F2989-G2989),12,0),"")</f>
        <v/>
      </c>
      <c r="L2989" s="23" t="str">
        <f aca="false">IF(ISNUMBER(H2989),H2989+I2989+J2989+K2989,"")</f>
        <v/>
      </c>
    </row>
    <row r="2990" customFormat="false" ht="18" hidden="false" customHeight="true" outlineLevel="0" collapsed="false">
      <c r="A2990" s="17" t="s">
        <v>9</v>
      </c>
      <c r="B2990" s="31" t="s">
        <v>205</v>
      </c>
      <c r="C2990" s="19" t="s">
        <v>48</v>
      </c>
      <c r="D2990" s="20" t="n">
        <v>3</v>
      </c>
      <c r="E2990" s="20" t="n">
        <v>0</v>
      </c>
      <c r="F2990" s="21" t="n">
        <f aca="false">'📋 Matches'!E14</f>
        <v>0</v>
      </c>
      <c r="G2990" s="21" t="n">
        <f aca="false">'📋 Matches'!F14</f>
        <v>0</v>
      </c>
      <c r="H2990" s="22" t="str">
        <f aca="false">IF(AND(ISNUMBER(F2990),ISNUMBER(G2990)),IF(SIGN(D2990-E2990)=SIGN(F2990-G2990),48,0),"")</f>
        <v/>
      </c>
      <c r="I2990" s="22" t="str">
        <f aca="false">IF(AND(ISNUMBER(F2990),ISNUMBER(G2990)),IF(D2990=F2990,15,0),"")</f>
        <v/>
      </c>
      <c r="J2990" s="22" t="str">
        <f aca="false">IF(AND(ISNUMBER(F2990),ISNUMBER(G2990)),IF(E2990=G2990,15,0),"")</f>
        <v/>
      </c>
      <c r="K2990" s="22" t="str">
        <f aca="false">IF(AND(ISNUMBER(F2990),ISNUMBER(G2990)),IF(ABS(D2990-E2990)=ABS(F2990-G2990),12,0),"")</f>
        <v/>
      </c>
      <c r="L2990" s="23" t="str">
        <f aca="false">IF(ISNUMBER(H2990),H2990+I2990+J2990+K2990,"")</f>
        <v/>
      </c>
    </row>
    <row r="2991" customFormat="false" ht="18" hidden="false" customHeight="true" outlineLevel="0" collapsed="false">
      <c r="A2991" s="17" t="s">
        <v>9</v>
      </c>
      <c r="B2991" s="31" t="s">
        <v>205</v>
      </c>
      <c r="C2991" s="19" t="s">
        <v>51</v>
      </c>
      <c r="D2991" s="20" t="n">
        <v>2</v>
      </c>
      <c r="E2991" s="20" t="n">
        <v>1</v>
      </c>
      <c r="F2991" s="21" t="n">
        <f aca="false">'📋 Matches'!E15</f>
        <v>0</v>
      </c>
      <c r="G2991" s="21" t="n">
        <f aca="false">'📋 Matches'!F15</f>
        <v>0</v>
      </c>
      <c r="H2991" s="22" t="str">
        <f aca="false">IF(AND(ISNUMBER(F2991),ISNUMBER(G2991)),IF(SIGN(D2991-E2991)=SIGN(F2991-G2991),48,0),"")</f>
        <v/>
      </c>
      <c r="I2991" s="22" t="str">
        <f aca="false">IF(AND(ISNUMBER(F2991),ISNUMBER(G2991)),IF(D2991=F2991,15,0),"")</f>
        <v/>
      </c>
      <c r="J2991" s="22" t="str">
        <f aca="false">IF(AND(ISNUMBER(F2991),ISNUMBER(G2991)),IF(E2991=G2991,15,0),"")</f>
        <v/>
      </c>
      <c r="K2991" s="22" t="str">
        <f aca="false">IF(AND(ISNUMBER(F2991),ISNUMBER(G2991)),IF(ABS(D2991-E2991)=ABS(F2991-G2991),12,0),"")</f>
        <v/>
      </c>
      <c r="L2991" s="23" t="str">
        <f aca="false">IF(ISNUMBER(H2991),H2991+I2991+J2991+K2991,"")</f>
        <v/>
      </c>
    </row>
    <row r="2992" customFormat="false" ht="18" hidden="false" customHeight="true" outlineLevel="0" collapsed="false">
      <c r="A2992" s="17" t="s">
        <v>9</v>
      </c>
      <c r="B2992" s="31" t="s">
        <v>205</v>
      </c>
      <c r="C2992" s="19" t="s">
        <v>54</v>
      </c>
      <c r="D2992" s="20" t="n">
        <v>1</v>
      </c>
      <c r="E2992" s="20" t="n">
        <v>3</v>
      </c>
      <c r="F2992" s="21" t="n">
        <f aca="false">'📋 Matches'!E16</f>
        <v>0</v>
      </c>
      <c r="G2992" s="21" t="n">
        <f aca="false">'📋 Matches'!F16</f>
        <v>0</v>
      </c>
      <c r="H2992" s="22" t="str">
        <f aca="false">IF(AND(ISNUMBER(F2992),ISNUMBER(G2992)),IF(SIGN(D2992-E2992)=SIGN(F2992-G2992),48,0),"")</f>
        <v/>
      </c>
      <c r="I2992" s="22" t="str">
        <f aca="false">IF(AND(ISNUMBER(F2992),ISNUMBER(G2992)),IF(D2992=F2992,15,0),"")</f>
        <v/>
      </c>
      <c r="J2992" s="22" t="str">
        <f aca="false">IF(AND(ISNUMBER(F2992),ISNUMBER(G2992)),IF(E2992=G2992,15,0),"")</f>
        <v/>
      </c>
      <c r="K2992" s="22" t="str">
        <f aca="false">IF(AND(ISNUMBER(F2992),ISNUMBER(G2992)),IF(ABS(D2992-E2992)=ABS(F2992-G2992),12,0),"")</f>
        <v/>
      </c>
      <c r="L2992" s="23" t="str">
        <f aca="false">IF(ISNUMBER(H2992),H2992+I2992+J2992+K2992,"")</f>
        <v/>
      </c>
    </row>
    <row r="2993" customFormat="false" ht="18" hidden="false" customHeight="true" outlineLevel="0" collapsed="false">
      <c r="A2993" s="17" t="s">
        <v>9</v>
      </c>
      <c r="B2993" s="31" t="s">
        <v>205</v>
      </c>
      <c r="C2993" s="19" t="s">
        <v>57</v>
      </c>
      <c r="D2993" s="20" t="n">
        <v>2</v>
      </c>
      <c r="E2993" s="20" t="n">
        <v>0</v>
      </c>
      <c r="F2993" s="21" t="n">
        <f aca="false">'📋 Matches'!E17</f>
        <v>0</v>
      </c>
      <c r="G2993" s="21" t="n">
        <f aca="false">'📋 Matches'!F17</f>
        <v>0</v>
      </c>
      <c r="H2993" s="22" t="str">
        <f aca="false">IF(AND(ISNUMBER(F2993),ISNUMBER(G2993)),IF(SIGN(D2993-E2993)=SIGN(F2993-G2993),48,0),"")</f>
        <v/>
      </c>
      <c r="I2993" s="22" t="str">
        <f aca="false">IF(AND(ISNUMBER(F2993),ISNUMBER(G2993)),IF(D2993=F2993,15,0),"")</f>
        <v/>
      </c>
      <c r="J2993" s="22" t="str">
        <f aca="false">IF(AND(ISNUMBER(F2993),ISNUMBER(G2993)),IF(E2993=G2993,15,0),"")</f>
        <v/>
      </c>
      <c r="K2993" s="22" t="str">
        <f aca="false">IF(AND(ISNUMBER(F2993),ISNUMBER(G2993)),IF(ABS(D2993-E2993)=ABS(F2993-G2993),12,0),"")</f>
        <v/>
      </c>
      <c r="L2993" s="23" t="str">
        <f aca="false">IF(ISNUMBER(H2993),H2993+I2993+J2993+K2993,"")</f>
        <v/>
      </c>
    </row>
    <row r="2994" customFormat="false" ht="18" hidden="false" customHeight="true" outlineLevel="0" collapsed="false">
      <c r="A2994" s="17" t="s">
        <v>9</v>
      </c>
      <c r="B2994" s="31" t="s">
        <v>205</v>
      </c>
      <c r="C2994" s="19" t="s">
        <v>60</v>
      </c>
      <c r="D2994" s="20" t="n">
        <v>2</v>
      </c>
      <c r="E2994" s="20" t="n">
        <v>0</v>
      </c>
      <c r="F2994" s="21" t="n">
        <f aca="false">'📋 Matches'!E18</f>
        <v>0</v>
      </c>
      <c r="G2994" s="21" t="n">
        <f aca="false">'📋 Matches'!F18</f>
        <v>0</v>
      </c>
      <c r="H2994" s="22" t="str">
        <f aca="false">IF(AND(ISNUMBER(F2994),ISNUMBER(G2994)),IF(SIGN(D2994-E2994)=SIGN(F2994-G2994),48,0),"")</f>
        <v/>
      </c>
      <c r="I2994" s="22" t="str">
        <f aca="false">IF(AND(ISNUMBER(F2994),ISNUMBER(G2994)),IF(D2994=F2994,15,0),"")</f>
        <v/>
      </c>
      <c r="J2994" s="22" t="str">
        <f aca="false">IF(AND(ISNUMBER(F2994),ISNUMBER(G2994)),IF(E2994=G2994,15,0),"")</f>
        <v/>
      </c>
      <c r="K2994" s="22" t="str">
        <f aca="false">IF(AND(ISNUMBER(F2994),ISNUMBER(G2994)),IF(ABS(D2994-E2994)=ABS(F2994-G2994),12,0),"")</f>
        <v/>
      </c>
      <c r="L2994" s="23" t="str">
        <f aca="false">IF(ISNUMBER(H2994),H2994+I2994+J2994+K2994,"")</f>
        <v/>
      </c>
    </row>
    <row r="2995" customFormat="false" ht="18" hidden="false" customHeight="true" outlineLevel="0" collapsed="false">
      <c r="A2995" s="17" t="s">
        <v>9</v>
      </c>
      <c r="B2995" s="31" t="s">
        <v>205</v>
      </c>
      <c r="C2995" s="19" t="s">
        <v>63</v>
      </c>
      <c r="D2995" s="20" t="n">
        <v>1</v>
      </c>
      <c r="E2995" s="20" t="n">
        <v>3</v>
      </c>
      <c r="F2995" s="21" t="n">
        <f aca="false">'📋 Matches'!E19</f>
        <v>0</v>
      </c>
      <c r="G2995" s="21" t="n">
        <f aca="false">'📋 Matches'!F19</f>
        <v>0</v>
      </c>
      <c r="H2995" s="22" t="str">
        <f aca="false">IF(AND(ISNUMBER(F2995),ISNUMBER(G2995)),IF(SIGN(D2995-E2995)=SIGN(F2995-G2995),48,0),"")</f>
        <v/>
      </c>
      <c r="I2995" s="22" t="str">
        <f aca="false">IF(AND(ISNUMBER(F2995),ISNUMBER(G2995)),IF(D2995=F2995,15,0),"")</f>
        <v/>
      </c>
      <c r="J2995" s="22" t="str">
        <f aca="false">IF(AND(ISNUMBER(F2995),ISNUMBER(G2995)),IF(E2995=G2995,15,0),"")</f>
        <v/>
      </c>
      <c r="K2995" s="22" t="str">
        <f aca="false">IF(AND(ISNUMBER(F2995),ISNUMBER(G2995)),IF(ABS(D2995-E2995)=ABS(F2995-G2995),12,0),"")</f>
        <v/>
      </c>
      <c r="L2995" s="23" t="str">
        <f aca="false">IF(ISNUMBER(H2995),H2995+I2995+J2995+K2995,"")</f>
        <v/>
      </c>
    </row>
    <row r="2996" customFormat="false" ht="18" hidden="false" customHeight="true" outlineLevel="0" collapsed="false">
      <c r="A2996" s="17" t="s">
        <v>9</v>
      </c>
      <c r="B2996" s="31" t="s">
        <v>205</v>
      </c>
      <c r="C2996" s="19" t="s">
        <v>66</v>
      </c>
      <c r="D2996" s="20" t="n">
        <v>3</v>
      </c>
      <c r="E2996" s="20" t="n">
        <v>0</v>
      </c>
      <c r="F2996" s="21" t="n">
        <f aca="false">'📋 Matches'!E20</f>
        <v>0</v>
      </c>
      <c r="G2996" s="21" t="n">
        <f aca="false">'📋 Matches'!F20</f>
        <v>0</v>
      </c>
      <c r="H2996" s="22" t="str">
        <f aca="false">IF(AND(ISNUMBER(F2996),ISNUMBER(G2996)),IF(SIGN(D2996-E2996)=SIGN(F2996-G2996),48,0),"")</f>
        <v/>
      </c>
      <c r="I2996" s="22" t="str">
        <f aca="false">IF(AND(ISNUMBER(F2996),ISNUMBER(G2996)),IF(D2996=F2996,15,0),"")</f>
        <v/>
      </c>
      <c r="J2996" s="22" t="str">
        <f aca="false">IF(AND(ISNUMBER(F2996),ISNUMBER(G2996)),IF(E2996=G2996,15,0),"")</f>
        <v/>
      </c>
      <c r="K2996" s="22" t="str">
        <f aca="false">IF(AND(ISNUMBER(F2996),ISNUMBER(G2996)),IF(ABS(D2996-E2996)=ABS(F2996-G2996),12,0),"")</f>
        <v/>
      </c>
      <c r="L2996" s="23" t="str">
        <f aca="false">IF(ISNUMBER(H2996),H2996+I2996+J2996+K2996,"")</f>
        <v/>
      </c>
    </row>
    <row r="2997" customFormat="false" ht="18" hidden="false" customHeight="true" outlineLevel="0" collapsed="false">
      <c r="A2997" s="17" t="s">
        <v>9</v>
      </c>
      <c r="B2997" s="31" t="s">
        <v>205</v>
      </c>
      <c r="C2997" s="19" t="s">
        <v>69</v>
      </c>
      <c r="D2997" s="20" t="n">
        <v>2</v>
      </c>
      <c r="E2997" s="20" t="n">
        <v>0</v>
      </c>
      <c r="F2997" s="21" t="n">
        <f aca="false">'📋 Matches'!E21</f>
        <v>0</v>
      </c>
      <c r="G2997" s="21" t="n">
        <f aca="false">'📋 Matches'!F21</f>
        <v>0</v>
      </c>
      <c r="H2997" s="22" t="str">
        <f aca="false">IF(AND(ISNUMBER(F2997),ISNUMBER(G2997)),IF(SIGN(D2997-E2997)=SIGN(F2997-G2997),48,0),"")</f>
        <v/>
      </c>
      <c r="I2997" s="22" t="str">
        <f aca="false">IF(AND(ISNUMBER(F2997),ISNUMBER(G2997)),IF(D2997=F2997,15,0),"")</f>
        <v/>
      </c>
      <c r="J2997" s="22" t="str">
        <f aca="false">IF(AND(ISNUMBER(F2997),ISNUMBER(G2997)),IF(E2997=G2997,15,0),"")</f>
        <v/>
      </c>
      <c r="K2997" s="22" t="str">
        <f aca="false">IF(AND(ISNUMBER(F2997),ISNUMBER(G2997)),IF(ABS(D2997-E2997)=ABS(F2997-G2997),12,0),"")</f>
        <v/>
      </c>
      <c r="L2997" s="23" t="str">
        <f aca="false">IF(ISNUMBER(H2997),H2997+I2997+J2997+K2997,"")</f>
        <v/>
      </c>
    </row>
    <row r="2998" customFormat="false" ht="18" hidden="false" customHeight="true" outlineLevel="0" collapsed="false">
      <c r="A2998" s="17" t="s">
        <v>9</v>
      </c>
      <c r="B2998" s="31" t="s">
        <v>205</v>
      </c>
      <c r="C2998" s="19" t="s">
        <v>72</v>
      </c>
      <c r="D2998" s="20" t="n">
        <v>3</v>
      </c>
      <c r="E2998" s="20" t="n">
        <v>1</v>
      </c>
      <c r="F2998" s="21" t="n">
        <f aca="false">'📋 Matches'!E22</f>
        <v>0</v>
      </c>
      <c r="G2998" s="21" t="n">
        <f aca="false">'📋 Matches'!F22</f>
        <v>0</v>
      </c>
      <c r="H2998" s="22" t="str">
        <f aca="false">IF(AND(ISNUMBER(F2998),ISNUMBER(G2998)),IF(SIGN(D2998-E2998)=SIGN(F2998-G2998),48,0),"")</f>
        <v/>
      </c>
      <c r="I2998" s="22" t="str">
        <f aca="false">IF(AND(ISNUMBER(F2998),ISNUMBER(G2998)),IF(D2998=F2998,15,0),"")</f>
        <v/>
      </c>
      <c r="J2998" s="22" t="str">
        <f aca="false">IF(AND(ISNUMBER(F2998),ISNUMBER(G2998)),IF(E2998=G2998,15,0),"")</f>
        <v/>
      </c>
      <c r="K2998" s="22" t="str">
        <f aca="false">IF(AND(ISNUMBER(F2998),ISNUMBER(G2998)),IF(ABS(D2998-E2998)=ABS(F2998-G2998),12,0),"")</f>
        <v/>
      </c>
      <c r="L2998" s="23" t="str">
        <f aca="false">IF(ISNUMBER(H2998),H2998+I2998+J2998+K2998,"")</f>
        <v/>
      </c>
    </row>
    <row r="2999" customFormat="false" ht="18" hidden="false" customHeight="true" outlineLevel="0" collapsed="false">
      <c r="A2999" s="17" t="s">
        <v>9</v>
      </c>
      <c r="B2999" s="31" t="s">
        <v>205</v>
      </c>
      <c r="C2999" s="19" t="s">
        <v>75</v>
      </c>
      <c r="D2999" s="20" t="n">
        <v>1</v>
      </c>
      <c r="E2999" s="20" t="n">
        <v>0</v>
      </c>
      <c r="F2999" s="21" t="n">
        <f aca="false">'📋 Matches'!E23</f>
        <v>0</v>
      </c>
      <c r="G2999" s="21" t="n">
        <f aca="false">'📋 Matches'!F23</f>
        <v>0</v>
      </c>
      <c r="H2999" s="22" t="str">
        <f aca="false">IF(AND(ISNUMBER(F2999),ISNUMBER(G2999)),IF(SIGN(D2999-E2999)=SIGN(F2999-G2999),48,0),"")</f>
        <v/>
      </c>
      <c r="I2999" s="22" t="str">
        <f aca="false">IF(AND(ISNUMBER(F2999),ISNUMBER(G2999)),IF(D2999=F2999,15,0),"")</f>
        <v/>
      </c>
      <c r="J2999" s="22" t="str">
        <f aca="false">IF(AND(ISNUMBER(F2999),ISNUMBER(G2999)),IF(E2999=G2999,15,0),"")</f>
        <v/>
      </c>
      <c r="K2999" s="22" t="str">
        <f aca="false">IF(AND(ISNUMBER(F2999),ISNUMBER(G2999)),IF(ABS(D2999-E2999)=ABS(F2999-G2999),12,0),"")</f>
        <v/>
      </c>
      <c r="L2999" s="23" t="str">
        <f aca="false">IF(ISNUMBER(H2999),H2999+I2999+J2999+K2999,"")</f>
        <v/>
      </c>
    </row>
    <row r="3000" customFormat="false" ht="18" hidden="false" customHeight="true" outlineLevel="0" collapsed="false">
      <c r="A3000" s="17" t="s">
        <v>9</v>
      </c>
      <c r="B3000" s="31" t="s">
        <v>205</v>
      </c>
      <c r="C3000" s="19" t="s">
        <v>78</v>
      </c>
      <c r="D3000" s="20" t="n">
        <v>3</v>
      </c>
      <c r="E3000" s="20" t="n">
        <v>1</v>
      </c>
      <c r="F3000" s="21" t="n">
        <f aca="false">'📋 Matches'!E24</f>
        <v>0</v>
      </c>
      <c r="G3000" s="21" t="n">
        <f aca="false">'📋 Matches'!F24</f>
        <v>0</v>
      </c>
      <c r="H3000" s="22" t="str">
        <f aca="false">IF(AND(ISNUMBER(F3000),ISNUMBER(G3000)),IF(SIGN(D3000-E3000)=SIGN(F3000-G3000),48,0),"")</f>
        <v/>
      </c>
      <c r="I3000" s="22" t="str">
        <f aca="false">IF(AND(ISNUMBER(F3000),ISNUMBER(G3000)),IF(D3000=F3000,15,0),"")</f>
        <v/>
      </c>
      <c r="J3000" s="22" t="str">
        <f aca="false">IF(AND(ISNUMBER(F3000),ISNUMBER(G3000)),IF(E3000=G3000,15,0),"")</f>
        <v/>
      </c>
      <c r="K3000" s="22" t="str">
        <f aca="false">IF(AND(ISNUMBER(F3000),ISNUMBER(G3000)),IF(ABS(D3000-E3000)=ABS(F3000-G3000),12,0),"")</f>
        <v/>
      </c>
      <c r="L3000" s="23" t="str">
        <f aca="false">IF(ISNUMBER(H3000),H3000+I3000+J3000+K3000,"")</f>
        <v/>
      </c>
    </row>
    <row r="3001" customFormat="false" ht="18" hidden="false" customHeight="true" outlineLevel="0" collapsed="false">
      <c r="A3001" s="17" t="s">
        <v>9</v>
      </c>
      <c r="B3001" s="31" t="s">
        <v>205</v>
      </c>
      <c r="C3001" s="19" t="s">
        <v>81</v>
      </c>
      <c r="D3001" s="20" t="n">
        <v>1</v>
      </c>
      <c r="E3001" s="20" t="n">
        <v>2</v>
      </c>
      <c r="F3001" s="21" t="n">
        <f aca="false">'📋 Matches'!E25</f>
        <v>0</v>
      </c>
      <c r="G3001" s="21" t="n">
        <f aca="false">'📋 Matches'!F25</f>
        <v>0</v>
      </c>
      <c r="H3001" s="22" t="str">
        <f aca="false">IF(AND(ISNUMBER(F3001),ISNUMBER(G3001)),IF(SIGN(D3001-E3001)=SIGN(F3001-G3001),48,0),"")</f>
        <v/>
      </c>
      <c r="I3001" s="22" t="str">
        <f aca="false">IF(AND(ISNUMBER(F3001),ISNUMBER(G3001)),IF(D3001=F3001,15,0),"")</f>
        <v/>
      </c>
      <c r="J3001" s="22" t="str">
        <f aca="false">IF(AND(ISNUMBER(F3001),ISNUMBER(G3001)),IF(E3001=G3001,15,0),"")</f>
        <v/>
      </c>
      <c r="K3001" s="22" t="str">
        <f aca="false">IF(AND(ISNUMBER(F3001),ISNUMBER(G3001)),IF(ABS(D3001-E3001)=ABS(F3001-G3001),12,0),"")</f>
        <v/>
      </c>
      <c r="L3001" s="23" t="str">
        <f aca="false">IF(ISNUMBER(H3001),H3001+I3001+J3001+K3001,"")</f>
        <v/>
      </c>
    </row>
    <row r="3002" customFormat="false" ht="18" hidden="false" customHeight="true" outlineLevel="0" collapsed="false">
      <c r="A3002" s="25" t="s">
        <v>9</v>
      </c>
      <c r="B3002" s="26" t="s">
        <v>206</v>
      </c>
      <c r="C3002" s="27" t="s">
        <v>10</v>
      </c>
      <c r="D3002" s="28" t="n">
        <v>2</v>
      </c>
      <c r="E3002" s="28" t="n">
        <v>1</v>
      </c>
      <c r="F3002" s="29" t="n">
        <f aca="false">'📋 Matches'!E2</f>
        <v>2</v>
      </c>
      <c r="G3002" s="29" t="n">
        <f aca="false">'📋 Matches'!F2</f>
        <v>0</v>
      </c>
      <c r="H3002" s="22" t="n">
        <f aca="false">IF(AND(ISNUMBER(F3002),ISNUMBER(G3002)),IF(SIGN(D3002-E3002)=SIGN(F3002-G3002),48,0),"")</f>
        <v>48</v>
      </c>
      <c r="I3002" s="22" t="n">
        <f aca="false">IF(AND(ISNUMBER(F3002),ISNUMBER(G3002)),IF(D3002=F3002,15,0),"")</f>
        <v>15</v>
      </c>
      <c r="J3002" s="22" t="n">
        <f aca="false">IF(AND(ISNUMBER(F3002),ISNUMBER(G3002)),IF(E3002=G3002,15,0),"")</f>
        <v>0</v>
      </c>
      <c r="K3002" s="22" t="n">
        <f aca="false">IF(AND(ISNUMBER(F3002),ISNUMBER(G3002)),IF(ABS(D3002-E3002)=ABS(F3002-G3002),12,0),"")</f>
        <v>0</v>
      </c>
      <c r="L3002" s="23" t="n">
        <f aca="false">IF(ISNUMBER(H3002),H3002+I3002+J3002+K3002,"")</f>
        <v>63</v>
      </c>
    </row>
    <row r="3003" customFormat="false" ht="18" hidden="false" customHeight="true" outlineLevel="0" collapsed="false">
      <c r="A3003" s="25" t="s">
        <v>9</v>
      </c>
      <c r="B3003" s="26" t="s">
        <v>206</v>
      </c>
      <c r="C3003" s="27" t="s">
        <v>14</v>
      </c>
      <c r="D3003" s="28" t="n">
        <v>2</v>
      </c>
      <c r="E3003" s="28" t="n">
        <v>2</v>
      </c>
      <c r="F3003" s="29" t="n">
        <f aca="false">'📋 Matches'!E3</f>
        <v>2</v>
      </c>
      <c r="G3003" s="29" t="n">
        <f aca="false">'📋 Matches'!F3</f>
        <v>1</v>
      </c>
      <c r="H3003" s="22" t="n">
        <f aca="false">IF(AND(ISNUMBER(F3003),ISNUMBER(G3003)),IF(SIGN(D3003-E3003)=SIGN(F3003-G3003),48,0),"")</f>
        <v>0</v>
      </c>
      <c r="I3003" s="22" t="n">
        <f aca="false">IF(AND(ISNUMBER(F3003),ISNUMBER(G3003)),IF(D3003=F3003,15,0),"")</f>
        <v>15</v>
      </c>
      <c r="J3003" s="22" t="n">
        <f aca="false">IF(AND(ISNUMBER(F3003),ISNUMBER(G3003)),IF(E3003=G3003,15,0),"")</f>
        <v>0</v>
      </c>
      <c r="K3003" s="22" t="n">
        <f aca="false">IF(AND(ISNUMBER(F3003),ISNUMBER(G3003)),IF(ABS(D3003-E3003)=ABS(F3003-G3003),12,0),"")</f>
        <v>0</v>
      </c>
      <c r="L3003" s="23" t="n">
        <f aca="false">IF(ISNUMBER(H3003),H3003+I3003+J3003+K3003,"")</f>
        <v>15</v>
      </c>
    </row>
    <row r="3004" customFormat="false" ht="18" hidden="false" customHeight="true" outlineLevel="0" collapsed="false">
      <c r="A3004" s="25" t="s">
        <v>9</v>
      </c>
      <c r="B3004" s="26" t="s">
        <v>206</v>
      </c>
      <c r="C3004" s="27" t="s">
        <v>17</v>
      </c>
      <c r="D3004" s="28" t="n">
        <v>1</v>
      </c>
      <c r="E3004" s="28" t="n">
        <v>0</v>
      </c>
      <c r="F3004" s="29" t="n">
        <f aca="false">'📋 Matches'!E4</f>
        <v>1</v>
      </c>
      <c r="G3004" s="29" t="n">
        <f aca="false">'📋 Matches'!F4</f>
        <v>1</v>
      </c>
      <c r="H3004" s="22" t="n">
        <f aca="false">IF(AND(ISNUMBER(F3004),ISNUMBER(G3004)),IF(SIGN(D3004-E3004)=SIGN(F3004-G3004),48,0),"")</f>
        <v>0</v>
      </c>
      <c r="I3004" s="22" t="n">
        <f aca="false">IF(AND(ISNUMBER(F3004),ISNUMBER(G3004)),IF(D3004=F3004,15,0),"")</f>
        <v>15</v>
      </c>
      <c r="J3004" s="22" t="n">
        <f aca="false">IF(AND(ISNUMBER(F3004),ISNUMBER(G3004)),IF(E3004=G3004,15,0),"")</f>
        <v>0</v>
      </c>
      <c r="K3004" s="22" t="n">
        <f aca="false">IF(AND(ISNUMBER(F3004),ISNUMBER(G3004)),IF(ABS(D3004-E3004)=ABS(F3004-G3004),12,0),"")</f>
        <v>0</v>
      </c>
      <c r="L3004" s="23" t="n">
        <f aca="false">IF(ISNUMBER(H3004),H3004+I3004+J3004+K3004,"")</f>
        <v>15</v>
      </c>
    </row>
    <row r="3005" customFormat="false" ht="18" hidden="false" customHeight="true" outlineLevel="0" collapsed="false">
      <c r="A3005" s="25" t="s">
        <v>9</v>
      </c>
      <c r="B3005" s="26" t="s">
        <v>206</v>
      </c>
      <c r="C3005" s="27" t="s">
        <v>20</v>
      </c>
      <c r="D3005" s="28" t="n">
        <v>1</v>
      </c>
      <c r="E3005" s="28" t="n">
        <v>3</v>
      </c>
      <c r="F3005" s="29" t="n">
        <f aca="false">'📋 Matches'!E5</f>
        <v>4</v>
      </c>
      <c r="G3005" s="29" t="n">
        <f aca="false">'📋 Matches'!F5</f>
        <v>1</v>
      </c>
      <c r="H3005" s="22" t="n">
        <f aca="false">IF(AND(ISNUMBER(F3005),ISNUMBER(G3005)),IF(SIGN(D3005-E3005)=SIGN(F3005-G3005),48,0),"")</f>
        <v>0</v>
      </c>
      <c r="I3005" s="22" t="n">
        <f aca="false">IF(AND(ISNUMBER(F3005),ISNUMBER(G3005)),IF(D3005=F3005,15,0),"")</f>
        <v>0</v>
      </c>
      <c r="J3005" s="22" t="n">
        <f aca="false">IF(AND(ISNUMBER(F3005),ISNUMBER(G3005)),IF(E3005=G3005,15,0),"")</f>
        <v>0</v>
      </c>
      <c r="K3005" s="22" t="n">
        <f aca="false">IF(AND(ISNUMBER(F3005),ISNUMBER(G3005)),IF(ABS(D3005-E3005)=ABS(F3005-G3005),12,0),"")</f>
        <v>0</v>
      </c>
      <c r="L3005" s="23" t="n">
        <f aca="false">IF(ISNUMBER(H3005),H3005+I3005+J3005+K3005,"")</f>
        <v>0</v>
      </c>
    </row>
    <row r="3006" customFormat="false" ht="18" hidden="false" customHeight="true" outlineLevel="0" collapsed="false">
      <c r="A3006" s="25" t="s">
        <v>9</v>
      </c>
      <c r="B3006" s="26" t="s">
        <v>206</v>
      </c>
      <c r="C3006" s="27" t="s">
        <v>23</v>
      </c>
      <c r="D3006" s="28" t="n">
        <v>1</v>
      </c>
      <c r="E3006" s="28" t="n">
        <v>2</v>
      </c>
      <c r="F3006" s="29" t="n">
        <f aca="false">'📋 Matches'!E6</f>
        <v>0</v>
      </c>
      <c r="G3006" s="29" t="n">
        <f aca="false">'📋 Matches'!F6</f>
        <v>0</v>
      </c>
      <c r="H3006" s="22" t="str">
        <f aca="false">IF(AND(ISNUMBER(F3006),ISNUMBER(G3006)),IF(SIGN(D3006-E3006)=SIGN(F3006-G3006),48,0),"")</f>
        <v/>
      </c>
      <c r="I3006" s="22" t="str">
        <f aca="false">IF(AND(ISNUMBER(F3006),ISNUMBER(G3006)),IF(D3006=F3006,15,0),"")</f>
        <v/>
      </c>
      <c r="J3006" s="22" t="str">
        <f aca="false">IF(AND(ISNUMBER(F3006),ISNUMBER(G3006)),IF(E3006=G3006,15,0),"")</f>
        <v/>
      </c>
      <c r="K3006" s="22" t="str">
        <f aca="false">IF(AND(ISNUMBER(F3006),ISNUMBER(G3006)),IF(ABS(D3006-E3006)=ABS(F3006-G3006),12,0),"")</f>
        <v/>
      </c>
      <c r="L3006" s="23" t="str">
        <f aca="false">IF(ISNUMBER(H3006),H3006+I3006+J3006+K3006,"")</f>
        <v/>
      </c>
    </row>
    <row r="3007" customFormat="false" ht="18" hidden="false" customHeight="true" outlineLevel="0" collapsed="false">
      <c r="A3007" s="25" t="s">
        <v>9</v>
      </c>
      <c r="B3007" s="26" t="s">
        <v>206</v>
      </c>
      <c r="C3007" s="27" t="s">
        <v>27</v>
      </c>
      <c r="D3007" s="28" t="n">
        <v>3</v>
      </c>
      <c r="E3007" s="28" t="n">
        <v>1</v>
      </c>
      <c r="F3007" s="29" t="n">
        <f aca="false">'📋 Matches'!E7</f>
        <v>0</v>
      </c>
      <c r="G3007" s="29" t="n">
        <f aca="false">'📋 Matches'!F7</f>
        <v>0</v>
      </c>
      <c r="H3007" s="22" t="str">
        <f aca="false">IF(AND(ISNUMBER(F3007),ISNUMBER(G3007)),IF(SIGN(D3007-E3007)=SIGN(F3007-G3007),48,0),"")</f>
        <v/>
      </c>
      <c r="I3007" s="22" t="str">
        <f aca="false">IF(AND(ISNUMBER(F3007),ISNUMBER(G3007)),IF(D3007=F3007,15,0),"")</f>
        <v/>
      </c>
      <c r="J3007" s="22" t="str">
        <f aca="false">IF(AND(ISNUMBER(F3007),ISNUMBER(G3007)),IF(E3007=G3007,15,0),"")</f>
        <v/>
      </c>
      <c r="K3007" s="22" t="str">
        <f aca="false">IF(AND(ISNUMBER(F3007),ISNUMBER(G3007)),IF(ABS(D3007-E3007)=ABS(F3007-G3007),12,0),"")</f>
        <v/>
      </c>
      <c r="L3007" s="23" t="str">
        <f aca="false">IF(ISNUMBER(H3007),H3007+I3007+J3007+K3007,"")</f>
        <v/>
      </c>
    </row>
    <row r="3008" customFormat="false" ht="18" hidden="false" customHeight="true" outlineLevel="0" collapsed="false">
      <c r="A3008" s="25" t="s">
        <v>9</v>
      </c>
      <c r="B3008" s="26" t="s">
        <v>206</v>
      </c>
      <c r="C3008" s="27" t="s">
        <v>30</v>
      </c>
      <c r="D3008" s="28" t="n">
        <v>0</v>
      </c>
      <c r="E3008" s="28" t="n">
        <v>0</v>
      </c>
      <c r="F3008" s="29" t="n">
        <f aca="false">'📋 Matches'!E8</f>
        <v>0</v>
      </c>
      <c r="G3008" s="29" t="n">
        <f aca="false">'📋 Matches'!F8</f>
        <v>0</v>
      </c>
      <c r="H3008" s="22" t="str">
        <f aca="false">IF(AND(ISNUMBER(F3008),ISNUMBER(G3008)),IF(SIGN(D3008-E3008)=SIGN(F3008-G3008),48,0),"")</f>
        <v/>
      </c>
      <c r="I3008" s="22" t="str">
        <f aca="false">IF(AND(ISNUMBER(F3008),ISNUMBER(G3008)),IF(D3008=F3008,15,0),"")</f>
        <v/>
      </c>
      <c r="J3008" s="22" t="str">
        <f aca="false">IF(AND(ISNUMBER(F3008),ISNUMBER(G3008)),IF(E3008=G3008,15,0),"")</f>
        <v/>
      </c>
      <c r="K3008" s="22" t="str">
        <f aca="false">IF(AND(ISNUMBER(F3008),ISNUMBER(G3008)),IF(ABS(D3008-E3008)=ABS(F3008-G3008),12,0),"")</f>
        <v/>
      </c>
      <c r="L3008" s="23" t="str">
        <f aca="false">IF(ISNUMBER(H3008),H3008+I3008+J3008+K3008,"")</f>
        <v/>
      </c>
    </row>
    <row r="3009" customFormat="false" ht="18" hidden="false" customHeight="true" outlineLevel="0" collapsed="false">
      <c r="A3009" s="25" t="s">
        <v>9</v>
      </c>
      <c r="B3009" s="26" t="s">
        <v>206</v>
      </c>
      <c r="C3009" s="27" t="s">
        <v>33</v>
      </c>
      <c r="D3009" s="28" t="n">
        <v>1</v>
      </c>
      <c r="E3009" s="28" t="n">
        <v>2</v>
      </c>
      <c r="F3009" s="29" t="n">
        <f aca="false">'📋 Matches'!E9</f>
        <v>0</v>
      </c>
      <c r="G3009" s="29" t="n">
        <f aca="false">'📋 Matches'!F9</f>
        <v>0</v>
      </c>
      <c r="H3009" s="22" t="str">
        <f aca="false">IF(AND(ISNUMBER(F3009),ISNUMBER(G3009)),IF(SIGN(D3009-E3009)=SIGN(F3009-G3009),48,0),"")</f>
        <v/>
      </c>
      <c r="I3009" s="22" t="str">
        <f aca="false">IF(AND(ISNUMBER(F3009),ISNUMBER(G3009)),IF(D3009=F3009,15,0),"")</f>
        <v/>
      </c>
      <c r="J3009" s="22" t="str">
        <f aca="false">IF(AND(ISNUMBER(F3009),ISNUMBER(G3009)),IF(E3009=G3009,15,0),"")</f>
        <v/>
      </c>
      <c r="K3009" s="22" t="str">
        <f aca="false">IF(AND(ISNUMBER(F3009),ISNUMBER(G3009)),IF(ABS(D3009-E3009)=ABS(F3009-G3009),12,0),"")</f>
        <v/>
      </c>
      <c r="L3009" s="23" t="str">
        <f aca="false">IF(ISNUMBER(H3009),H3009+I3009+J3009+K3009,"")</f>
        <v/>
      </c>
    </row>
    <row r="3010" customFormat="false" ht="18" hidden="false" customHeight="true" outlineLevel="0" collapsed="false">
      <c r="A3010" s="25" t="s">
        <v>9</v>
      </c>
      <c r="B3010" s="26" t="s">
        <v>206</v>
      </c>
      <c r="C3010" s="27" t="s">
        <v>36</v>
      </c>
      <c r="D3010" s="28" t="n">
        <v>2</v>
      </c>
      <c r="E3010" s="28" t="n">
        <v>0</v>
      </c>
      <c r="F3010" s="29" t="n">
        <f aca="false">'📋 Matches'!E10</f>
        <v>0</v>
      </c>
      <c r="G3010" s="29" t="n">
        <f aca="false">'📋 Matches'!F10</f>
        <v>0</v>
      </c>
      <c r="H3010" s="22" t="str">
        <f aca="false">IF(AND(ISNUMBER(F3010),ISNUMBER(G3010)),IF(SIGN(D3010-E3010)=SIGN(F3010-G3010),48,0),"")</f>
        <v/>
      </c>
      <c r="I3010" s="22" t="str">
        <f aca="false">IF(AND(ISNUMBER(F3010),ISNUMBER(G3010)),IF(D3010=F3010,15,0),"")</f>
        <v/>
      </c>
      <c r="J3010" s="22" t="str">
        <f aca="false">IF(AND(ISNUMBER(F3010),ISNUMBER(G3010)),IF(E3010=G3010,15,0),"")</f>
        <v/>
      </c>
      <c r="K3010" s="22" t="str">
        <f aca="false">IF(AND(ISNUMBER(F3010),ISNUMBER(G3010)),IF(ABS(D3010-E3010)=ABS(F3010-G3010),12,0),"")</f>
        <v/>
      </c>
      <c r="L3010" s="23" t="str">
        <f aca="false">IF(ISNUMBER(H3010),H3010+I3010+J3010+K3010,"")</f>
        <v/>
      </c>
    </row>
    <row r="3011" customFormat="false" ht="18" hidden="false" customHeight="true" outlineLevel="0" collapsed="false">
      <c r="A3011" s="25" t="s">
        <v>9</v>
      </c>
      <c r="B3011" s="26" t="s">
        <v>206</v>
      </c>
      <c r="C3011" s="27" t="s">
        <v>39</v>
      </c>
      <c r="D3011" s="28" t="n">
        <v>1</v>
      </c>
      <c r="E3011" s="28" t="n">
        <v>2</v>
      </c>
      <c r="F3011" s="29" t="n">
        <f aca="false">'📋 Matches'!E11</f>
        <v>0</v>
      </c>
      <c r="G3011" s="29" t="n">
        <f aca="false">'📋 Matches'!F11</f>
        <v>0</v>
      </c>
      <c r="H3011" s="22" t="str">
        <f aca="false">IF(AND(ISNUMBER(F3011),ISNUMBER(G3011)),IF(SIGN(D3011-E3011)=SIGN(F3011-G3011),48,0),"")</f>
        <v/>
      </c>
      <c r="I3011" s="22" t="str">
        <f aca="false">IF(AND(ISNUMBER(F3011),ISNUMBER(G3011)),IF(D3011=F3011,15,0),"")</f>
        <v/>
      </c>
      <c r="J3011" s="22" t="str">
        <f aca="false">IF(AND(ISNUMBER(F3011),ISNUMBER(G3011)),IF(E3011=G3011,15,0),"")</f>
        <v/>
      </c>
      <c r="K3011" s="22" t="str">
        <f aca="false">IF(AND(ISNUMBER(F3011),ISNUMBER(G3011)),IF(ABS(D3011-E3011)=ABS(F3011-G3011),12,0),"")</f>
        <v/>
      </c>
      <c r="L3011" s="23" t="str">
        <f aca="false">IF(ISNUMBER(H3011),H3011+I3011+J3011+K3011,"")</f>
        <v/>
      </c>
    </row>
    <row r="3012" customFormat="false" ht="18" hidden="false" customHeight="true" outlineLevel="0" collapsed="false">
      <c r="A3012" s="25" t="s">
        <v>9</v>
      </c>
      <c r="B3012" s="26" t="s">
        <v>206</v>
      </c>
      <c r="C3012" s="27" t="s">
        <v>42</v>
      </c>
      <c r="D3012" s="28" t="n">
        <v>0</v>
      </c>
      <c r="E3012" s="28" t="n">
        <v>0</v>
      </c>
      <c r="F3012" s="29" t="n">
        <f aca="false">'📋 Matches'!E12</f>
        <v>0</v>
      </c>
      <c r="G3012" s="29" t="n">
        <f aca="false">'📋 Matches'!F12</f>
        <v>0</v>
      </c>
      <c r="H3012" s="22" t="str">
        <f aca="false">IF(AND(ISNUMBER(F3012),ISNUMBER(G3012)),IF(SIGN(D3012-E3012)=SIGN(F3012-G3012),48,0),"")</f>
        <v/>
      </c>
      <c r="I3012" s="22" t="str">
        <f aca="false">IF(AND(ISNUMBER(F3012),ISNUMBER(G3012)),IF(D3012=F3012,15,0),"")</f>
        <v/>
      </c>
      <c r="J3012" s="22" t="str">
        <f aca="false">IF(AND(ISNUMBER(F3012),ISNUMBER(G3012)),IF(E3012=G3012,15,0),"")</f>
        <v/>
      </c>
      <c r="K3012" s="22" t="str">
        <f aca="false">IF(AND(ISNUMBER(F3012),ISNUMBER(G3012)),IF(ABS(D3012-E3012)=ABS(F3012-G3012),12,0),"")</f>
        <v/>
      </c>
      <c r="L3012" s="23" t="str">
        <f aca="false">IF(ISNUMBER(H3012),H3012+I3012+J3012+K3012,"")</f>
        <v/>
      </c>
    </row>
    <row r="3013" customFormat="false" ht="18" hidden="false" customHeight="true" outlineLevel="0" collapsed="false">
      <c r="A3013" s="25" t="s">
        <v>9</v>
      </c>
      <c r="B3013" s="26" t="s">
        <v>206</v>
      </c>
      <c r="C3013" s="27" t="s">
        <v>45</v>
      </c>
      <c r="D3013" s="28" t="n">
        <v>1</v>
      </c>
      <c r="E3013" s="28" t="n">
        <v>1</v>
      </c>
      <c r="F3013" s="29" t="n">
        <f aca="false">'📋 Matches'!E13</f>
        <v>0</v>
      </c>
      <c r="G3013" s="29" t="n">
        <f aca="false">'📋 Matches'!F13</f>
        <v>0</v>
      </c>
      <c r="H3013" s="22" t="str">
        <f aca="false">IF(AND(ISNUMBER(F3013),ISNUMBER(G3013)),IF(SIGN(D3013-E3013)=SIGN(F3013-G3013),48,0),"")</f>
        <v/>
      </c>
      <c r="I3013" s="22" t="str">
        <f aca="false">IF(AND(ISNUMBER(F3013),ISNUMBER(G3013)),IF(D3013=F3013,15,0),"")</f>
        <v/>
      </c>
      <c r="J3013" s="22" t="str">
        <f aca="false">IF(AND(ISNUMBER(F3013),ISNUMBER(G3013)),IF(E3013=G3013,15,0),"")</f>
        <v/>
      </c>
      <c r="K3013" s="22" t="str">
        <f aca="false">IF(AND(ISNUMBER(F3013),ISNUMBER(G3013)),IF(ABS(D3013-E3013)=ABS(F3013-G3013),12,0),"")</f>
        <v/>
      </c>
      <c r="L3013" s="23" t="str">
        <f aca="false">IF(ISNUMBER(H3013),H3013+I3013+J3013+K3013,"")</f>
        <v/>
      </c>
    </row>
    <row r="3014" customFormat="false" ht="18" hidden="false" customHeight="true" outlineLevel="0" collapsed="false">
      <c r="A3014" s="25" t="s">
        <v>9</v>
      </c>
      <c r="B3014" s="26" t="s">
        <v>206</v>
      </c>
      <c r="C3014" s="27" t="s">
        <v>48</v>
      </c>
      <c r="D3014" s="28" t="n">
        <v>3</v>
      </c>
      <c r="E3014" s="28" t="n">
        <v>0</v>
      </c>
      <c r="F3014" s="29" t="n">
        <f aca="false">'📋 Matches'!E14</f>
        <v>0</v>
      </c>
      <c r="G3014" s="29" t="n">
        <f aca="false">'📋 Matches'!F14</f>
        <v>0</v>
      </c>
      <c r="H3014" s="22" t="str">
        <f aca="false">IF(AND(ISNUMBER(F3014),ISNUMBER(G3014)),IF(SIGN(D3014-E3014)=SIGN(F3014-G3014),48,0),"")</f>
        <v/>
      </c>
      <c r="I3014" s="22" t="str">
        <f aca="false">IF(AND(ISNUMBER(F3014),ISNUMBER(G3014)),IF(D3014=F3014,15,0),"")</f>
        <v/>
      </c>
      <c r="J3014" s="22" t="str">
        <f aca="false">IF(AND(ISNUMBER(F3014),ISNUMBER(G3014)),IF(E3014=G3014,15,0),"")</f>
        <v/>
      </c>
      <c r="K3014" s="22" t="str">
        <f aca="false">IF(AND(ISNUMBER(F3014),ISNUMBER(G3014)),IF(ABS(D3014-E3014)=ABS(F3014-G3014),12,0),"")</f>
        <v/>
      </c>
      <c r="L3014" s="23" t="str">
        <f aca="false">IF(ISNUMBER(H3014),H3014+I3014+J3014+K3014,"")</f>
        <v/>
      </c>
    </row>
    <row r="3015" customFormat="false" ht="18" hidden="false" customHeight="true" outlineLevel="0" collapsed="false">
      <c r="A3015" s="25" t="s">
        <v>9</v>
      </c>
      <c r="B3015" s="26" t="s">
        <v>206</v>
      </c>
      <c r="C3015" s="27" t="s">
        <v>51</v>
      </c>
      <c r="D3015" s="28" t="n">
        <v>1</v>
      </c>
      <c r="E3015" s="28" t="n">
        <v>2</v>
      </c>
      <c r="F3015" s="29" t="n">
        <f aca="false">'📋 Matches'!E15</f>
        <v>0</v>
      </c>
      <c r="G3015" s="29" t="n">
        <f aca="false">'📋 Matches'!F15</f>
        <v>0</v>
      </c>
      <c r="H3015" s="22" t="str">
        <f aca="false">IF(AND(ISNUMBER(F3015),ISNUMBER(G3015)),IF(SIGN(D3015-E3015)=SIGN(F3015-G3015),48,0),"")</f>
        <v/>
      </c>
      <c r="I3015" s="22" t="str">
        <f aca="false">IF(AND(ISNUMBER(F3015),ISNUMBER(G3015)),IF(D3015=F3015,15,0),"")</f>
        <v/>
      </c>
      <c r="J3015" s="22" t="str">
        <f aca="false">IF(AND(ISNUMBER(F3015),ISNUMBER(G3015)),IF(E3015=G3015,15,0),"")</f>
        <v/>
      </c>
      <c r="K3015" s="22" t="str">
        <f aca="false">IF(AND(ISNUMBER(F3015),ISNUMBER(G3015)),IF(ABS(D3015-E3015)=ABS(F3015-G3015),12,0),"")</f>
        <v/>
      </c>
      <c r="L3015" s="23" t="str">
        <f aca="false">IF(ISNUMBER(H3015),H3015+I3015+J3015+K3015,"")</f>
        <v/>
      </c>
    </row>
    <row r="3016" customFormat="false" ht="18" hidden="false" customHeight="true" outlineLevel="0" collapsed="false">
      <c r="A3016" s="25" t="s">
        <v>9</v>
      </c>
      <c r="B3016" s="26" t="s">
        <v>206</v>
      </c>
      <c r="C3016" s="27" t="s">
        <v>54</v>
      </c>
      <c r="D3016" s="28" t="n">
        <v>1</v>
      </c>
      <c r="E3016" s="28" t="n">
        <v>4</v>
      </c>
      <c r="F3016" s="29" t="n">
        <f aca="false">'📋 Matches'!E16</f>
        <v>0</v>
      </c>
      <c r="G3016" s="29" t="n">
        <f aca="false">'📋 Matches'!F16</f>
        <v>0</v>
      </c>
      <c r="H3016" s="22" t="str">
        <f aca="false">IF(AND(ISNUMBER(F3016),ISNUMBER(G3016)),IF(SIGN(D3016-E3016)=SIGN(F3016-G3016),48,0),"")</f>
        <v/>
      </c>
      <c r="I3016" s="22" t="str">
        <f aca="false">IF(AND(ISNUMBER(F3016),ISNUMBER(G3016)),IF(D3016=F3016,15,0),"")</f>
        <v/>
      </c>
      <c r="J3016" s="22" t="str">
        <f aca="false">IF(AND(ISNUMBER(F3016),ISNUMBER(G3016)),IF(E3016=G3016,15,0),"")</f>
        <v/>
      </c>
      <c r="K3016" s="22" t="str">
        <f aca="false">IF(AND(ISNUMBER(F3016),ISNUMBER(G3016)),IF(ABS(D3016-E3016)=ABS(F3016-G3016),12,0),"")</f>
        <v/>
      </c>
      <c r="L3016" s="23" t="str">
        <f aca="false">IF(ISNUMBER(H3016),H3016+I3016+J3016+K3016,"")</f>
        <v/>
      </c>
    </row>
    <row r="3017" customFormat="false" ht="18" hidden="false" customHeight="true" outlineLevel="0" collapsed="false">
      <c r="A3017" s="25" t="s">
        <v>9</v>
      </c>
      <c r="B3017" s="26" t="s">
        <v>206</v>
      </c>
      <c r="C3017" s="27" t="s">
        <v>57</v>
      </c>
      <c r="D3017" s="28" t="n">
        <v>0</v>
      </c>
      <c r="E3017" s="28" t="n">
        <v>0</v>
      </c>
      <c r="F3017" s="29" t="n">
        <f aca="false">'📋 Matches'!E17</f>
        <v>0</v>
      </c>
      <c r="G3017" s="29" t="n">
        <f aca="false">'📋 Matches'!F17</f>
        <v>0</v>
      </c>
      <c r="H3017" s="22" t="str">
        <f aca="false">IF(AND(ISNUMBER(F3017),ISNUMBER(G3017)),IF(SIGN(D3017-E3017)=SIGN(F3017-G3017),48,0),"")</f>
        <v/>
      </c>
      <c r="I3017" s="22" t="str">
        <f aca="false">IF(AND(ISNUMBER(F3017),ISNUMBER(G3017)),IF(D3017=F3017,15,0),"")</f>
        <v/>
      </c>
      <c r="J3017" s="22" t="str">
        <f aca="false">IF(AND(ISNUMBER(F3017),ISNUMBER(G3017)),IF(E3017=G3017,15,0),"")</f>
        <v/>
      </c>
      <c r="K3017" s="22" t="str">
        <f aca="false">IF(AND(ISNUMBER(F3017),ISNUMBER(G3017)),IF(ABS(D3017-E3017)=ABS(F3017-G3017),12,0),"")</f>
        <v/>
      </c>
      <c r="L3017" s="23" t="str">
        <f aca="false">IF(ISNUMBER(H3017),H3017+I3017+J3017+K3017,"")</f>
        <v/>
      </c>
    </row>
    <row r="3018" customFormat="false" ht="18" hidden="false" customHeight="true" outlineLevel="0" collapsed="false">
      <c r="A3018" s="25" t="s">
        <v>9</v>
      </c>
      <c r="B3018" s="26" t="s">
        <v>206</v>
      </c>
      <c r="C3018" s="27" t="s">
        <v>60</v>
      </c>
      <c r="D3018" s="28" t="n">
        <v>1</v>
      </c>
      <c r="E3018" s="28" t="n">
        <v>3</v>
      </c>
      <c r="F3018" s="29" t="n">
        <f aca="false">'📋 Matches'!E18</f>
        <v>0</v>
      </c>
      <c r="G3018" s="29" t="n">
        <f aca="false">'📋 Matches'!F18</f>
        <v>0</v>
      </c>
      <c r="H3018" s="22" t="str">
        <f aca="false">IF(AND(ISNUMBER(F3018),ISNUMBER(G3018)),IF(SIGN(D3018-E3018)=SIGN(F3018-G3018),48,0),"")</f>
        <v/>
      </c>
      <c r="I3018" s="22" t="str">
        <f aca="false">IF(AND(ISNUMBER(F3018),ISNUMBER(G3018)),IF(D3018=F3018,15,0),"")</f>
        <v/>
      </c>
      <c r="J3018" s="22" t="str">
        <f aca="false">IF(AND(ISNUMBER(F3018),ISNUMBER(G3018)),IF(E3018=G3018,15,0),"")</f>
        <v/>
      </c>
      <c r="K3018" s="22" t="str">
        <f aca="false">IF(AND(ISNUMBER(F3018),ISNUMBER(G3018)),IF(ABS(D3018-E3018)=ABS(F3018-G3018),12,0),"")</f>
        <v/>
      </c>
      <c r="L3018" s="23" t="str">
        <f aca="false">IF(ISNUMBER(H3018),H3018+I3018+J3018+K3018,"")</f>
        <v/>
      </c>
    </row>
    <row r="3019" customFormat="false" ht="18" hidden="false" customHeight="true" outlineLevel="0" collapsed="false">
      <c r="A3019" s="25" t="s">
        <v>9</v>
      </c>
      <c r="B3019" s="26" t="s">
        <v>206</v>
      </c>
      <c r="C3019" s="27" t="s">
        <v>63</v>
      </c>
      <c r="D3019" s="28" t="n">
        <v>0</v>
      </c>
      <c r="E3019" s="28" t="n">
        <v>5</v>
      </c>
      <c r="F3019" s="29" t="n">
        <f aca="false">'📋 Matches'!E19</f>
        <v>0</v>
      </c>
      <c r="G3019" s="29" t="n">
        <f aca="false">'📋 Matches'!F19</f>
        <v>0</v>
      </c>
      <c r="H3019" s="22" t="str">
        <f aca="false">IF(AND(ISNUMBER(F3019),ISNUMBER(G3019)),IF(SIGN(D3019-E3019)=SIGN(F3019-G3019),48,0),"")</f>
        <v/>
      </c>
      <c r="I3019" s="22" t="str">
        <f aca="false">IF(AND(ISNUMBER(F3019),ISNUMBER(G3019)),IF(D3019=F3019,15,0),"")</f>
        <v/>
      </c>
      <c r="J3019" s="22" t="str">
        <f aca="false">IF(AND(ISNUMBER(F3019),ISNUMBER(G3019)),IF(E3019=G3019,15,0),"")</f>
        <v/>
      </c>
      <c r="K3019" s="22" t="str">
        <f aca="false">IF(AND(ISNUMBER(F3019),ISNUMBER(G3019)),IF(ABS(D3019-E3019)=ABS(F3019-G3019),12,0),"")</f>
        <v/>
      </c>
      <c r="L3019" s="23" t="str">
        <f aca="false">IF(ISNUMBER(H3019),H3019+I3019+J3019+K3019,"")</f>
        <v/>
      </c>
    </row>
    <row r="3020" customFormat="false" ht="18" hidden="false" customHeight="true" outlineLevel="0" collapsed="false">
      <c r="A3020" s="25" t="s">
        <v>9</v>
      </c>
      <c r="B3020" s="26" t="s">
        <v>206</v>
      </c>
      <c r="C3020" s="27" t="s">
        <v>66</v>
      </c>
      <c r="D3020" s="28" t="n">
        <v>3</v>
      </c>
      <c r="E3020" s="28" t="n">
        <v>0</v>
      </c>
      <c r="F3020" s="29" t="n">
        <f aca="false">'📋 Matches'!E20</f>
        <v>0</v>
      </c>
      <c r="G3020" s="29" t="n">
        <f aca="false">'📋 Matches'!F20</f>
        <v>0</v>
      </c>
      <c r="H3020" s="22" t="str">
        <f aca="false">IF(AND(ISNUMBER(F3020),ISNUMBER(G3020)),IF(SIGN(D3020-E3020)=SIGN(F3020-G3020),48,0),"")</f>
        <v/>
      </c>
      <c r="I3020" s="22" t="str">
        <f aca="false">IF(AND(ISNUMBER(F3020),ISNUMBER(G3020)),IF(D3020=F3020,15,0),"")</f>
        <v/>
      </c>
      <c r="J3020" s="22" t="str">
        <f aca="false">IF(AND(ISNUMBER(F3020),ISNUMBER(G3020)),IF(E3020=G3020,15,0),"")</f>
        <v/>
      </c>
      <c r="K3020" s="22" t="str">
        <f aca="false">IF(AND(ISNUMBER(F3020),ISNUMBER(G3020)),IF(ABS(D3020-E3020)=ABS(F3020-G3020),12,0),"")</f>
        <v/>
      </c>
      <c r="L3020" s="23" t="str">
        <f aca="false">IF(ISNUMBER(H3020),H3020+I3020+J3020+K3020,"")</f>
        <v/>
      </c>
    </row>
    <row r="3021" customFormat="false" ht="18" hidden="false" customHeight="true" outlineLevel="0" collapsed="false">
      <c r="A3021" s="25" t="s">
        <v>9</v>
      </c>
      <c r="B3021" s="26" t="s">
        <v>206</v>
      </c>
      <c r="C3021" s="27" t="s">
        <v>69</v>
      </c>
      <c r="D3021" s="28" t="n">
        <v>0</v>
      </c>
      <c r="E3021" s="28" t="n">
        <v>1</v>
      </c>
      <c r="F3021" s="29" t="n">
        <f aca="false">'📋 Matches'!E21</f>
        <v>0</v>
      </c>
      <c r="G3021" s="29" t="n">
        <f aca="false">'📋 Matches'!F21</f>
        <v>0</v>
      </c>
      <c r="H3021" s="22" t="str">
        <f aca="false">IF(AND(ISNUMBER(F3021),ISNUMBER(G3021)),IF(SIGN(D3021-E3021)=SIGN(F3021-G3021),48,0),"")</f>
        <v/>
      </c>
      <c r="I3021" s="22" t="str">
        <f aca="false">IF(AND(ISNUMBER(F3021),ISNUMBER(G3021)),IF(D3021=F3021,15,0),"")</f>
        <v/>
      </c>
      <c r="J3021" s="22" t="str">
        <f aca="false">IF(AND(ISNUMBER(F3021),ISNUMBER(G3021)),IF(E3021=G3021,15,0),"")</f>
        <v/>
      </c>
      <c r="K3021" s="22" t="str">
        <f aca="false">IF(AND(ISNUMBER(F3021),ISNUMBER(G3021)),IF(ABS(D3021-E3021)=ABS(F3021-G3021),12,0),"")</f>
        <v/>
      </c>
      <c r="L3021" s="23" t="str">
        <f aca="false">IF(ISNUMBER(H3021),H3021+I3021+J3021+K3021,"")</f>
        <v/>
      </c>
    </row>
    <row r="3022" customFormat="false" ht="18" hidden="false" customHeight="true" outlineLevel="0" collapsed="false">
      <c r="A3022" s="25" t="s">
        <v>9</v>
      </c>
      <c r="B3022" s="26" t="s">
        <v>206</v>
      </c>
      <c r="C3022" s="27" t="s">
        <v>72</v>
      </c>
      <c r="D3022" s="28" t="n">
        <v>2</v>
      </c>
      <c r="E3022" s="28" t="n">
        <v>1</v>
      </c>
      <c r="F3022" s="29" t="n">
        <f aca="false">'📋 Matches'!E22</f>
        <v>0</v>
      </c>
      <c r="G3022" s="29" t="n">
        <f aca="false">'📋 Matches'!F22</f>
        <v>0</v>
      </c>
      <c r="H3022" s="22" t="str">
        <f aca="false">IF(AND(ISNUMBER(F3022),ISNUMBER(G3022)),IF(SIGN(D3022-E3022)=SIGN(F3022-G3022),48,0),"")</f>
        <v/>
      </c>
      <c r="I3022" s="22" t="str">
        <f aca="false">IF(AND(ISNUMBER(F3022),ISNUMBER(G3022)),IF(D3022=F3022,15,0),"")</f>
        <v/>
      </c>
      <c r="J3022" s="22" t="str">
        <f aca="false">IF(AND(ISNUMBER(F3022),ISNUMBER(G3022)),IF(E3022=G3022,15,0),"")</f>
        <v/>
      </c>
      <c r="K3022" s="22" t="str">
        <f aca="false">IF(AND(ISNUMBER(F3022),ISNUMBER(G3022)),IF(ABS(D3022-E3022)=ABS(F3022-G3022),12,0),"")</f>
        <v/>
      </c>
      <c r="L3022" s="23" t="str">
        <f aca="false">IF(ISNUMBER(H3022),H3022+I3022+J3022+K3022,"")</f>
        <v/>
      </c>
    </row>
    <row r="3023" customFormat="false" ht="18" hidden="false" customHeight="true" outlineLevel="0" collapsed="false">
      <c r="A3023" s="25" t="s">
        <v>9</v>
      </c>
      <c r="B3023" s="26" t="s">
        <v>206</v>
      </c>
      <c r="C3023" s="27" t="s">
        <v>75</v>
      </c>
      <c r="D3023" s="28" t="n">
        <v>0</v>
      </c>
      <c r="E3023" s="28" t="n">
        <v>0</v>
      </c>
      <c r="F3023" s="29" t="n">
        <f aca="false">'📋 Matches'!E23</f>
        <v>0</v>
      </c>
      <c r="G3023" s="29" t="n">
        <f aca="false">'📋 Matches'!F23</f>
        <v>0</v>
      </c>
      <c r="H3023" s="22" t="str">
        <f aca="false">IF(AND(ISNUMBER(F3023),ISNUMBER(G3023)),IF(SIGN(D3023-E3023)=SIGN(F3023-G3023),48,0),"")</f>
        <v/>
      </c>
      <c r="I3023" s="22" t="str">
        <f aca="false">IF(AND(ISNUMBER(F3023),ISNUMBER(G3023)),IF(D3023=F3023,15,0),"")</f>
        <v/>
      </c>
      <c r="J3023" s="22" t="str">
        <f aca="false">IF(AND(ISNUMBER(F3023),ISNUMBER(G3023)),IF(E3023=G3023,15,0),"")</f>
        <v/>
      </c>
      <c r="K3023" s="22" t="str">
        <f aca="false">IF(AND(ISNUMBER(F3023),ISNUMBER(G3023)),IF(ABS(D3023-E3023)=ABS(F3023-G3023),12,0),"")</f>
        <v/>
      </c>
      <c r="L3023" s="23" t="str">
        <f aca="false">IF(ISNUMBER(H3023),H3023+I3023+J3023+K3023,"")</f>
        <v/>
      </c>
    </row>
    <row r="3024" customFormat="false" ht="18" hidden="false" customHeight="true" outlineLevel="0" collapsed="false">
      <c r="A3024" s="25" t="s">
        <v>9</v>
      </c>
      <c r="B3024" s="26" t="s">
        <v>206</v>
      </c>
      <c r="C3024" s="27" t="s">
        <v>78</v>
      </c>
      <c r="D3024" s="28" t="n">
        <v>0</v>
      </c>
      <c r="E3024" s="28" t="n">
        <v>0</v>
      </c>
      <c r="F3024" s="29" t="n">
        <f aca="false">'📋 Matches'!E24</f>
        <v>0</v>
      </c>
      <c r="G3024" s="29" t="n">
        <f aca="false">'📋 Matches'!F24</f>
        <v>0</v>
      </c>
      <c r="H3024" s="22" t="str">
        <f aca="false">IF(AND(ISNUMBER(F3024),ISNUMBER(G3024)),IF(SIGN(D3024-E3024)=SIGN(F3024-G3024),48,0),"")</f>
        <v/>
      </c>
      <c r="I3024" s="22" t="str">
        <f aca="false">IF(AND(ISNUMBER(F3024),ISNUMBER(G3024)),IF(D3024=F3024,15,0),"")</f>
        <v/>
      </c>
      <c r="J3024" s="22" t="str">
        <f aca="false">IF(AND(ISNUMBER(F3024),ISNUMBER(G3024)),IF(E3024=G3024,15,0),"")</f>
        <v/>
      </c>
      <c r="K3024" s="22" t="str">
        <f aca="false">IF(AND(ISNUMBER(F3024),ISNUMBER(G3024)),IF(ABS(D3024-E3024)=ABS(F3024-G3024),12,0),"")</f>
        <v/>
      </c>
      <c r="L3024" s="23" t="str">
        <f aca="false">IF(ISNUMBER(H3024),H3024+I3024+J3024+K3024,"")</f>
        <v/>
      </c>
    </row>
    <row r="3025" customFormat="false" ht="18" hidden="false" customHeight="true" outlineLevel="0" collapsed="false">
      <c r="A3025" s="25" t="s">
        <v>9</v>
      </c>
      <c r="B3025" s="26" t="s">
        <v>206</v>
      </c>
      <c r="C3025" s="27" t="s">
        <v>81</v>
      </c>
      <c r="D3025" s="28" t="n">
        <v>0</v>
      </c>
      <c r="E3025" s="28" t="n">
        <v>4</v>
      </c>
      <c r="F3025" s="29" t="n">
        <f aca="false">'📋 Matches'!E25</f>
        <v>0</v>
      </c>
      <c r="G3025" s="29" t="n">
        <f aca="false">'📋 Matches'!F25</f>
        <v>0</v>
      </c>
      <c r="H3025" s="22" t="str">
        <f aca="false">IF(AND(ISNUMBER(F3025),ISNUMBER(G3025)),IF(SIGN(D3025-E3025)=SIGN(F3025-G3025),48,0),"")</f>
        <v/>
      </c>
      <c r="I3025" s="22" t="str">
        <f aca="false">IF(AND(ISNUMBER(F3025),ISNUMBER(G3025)),IF(D3025=F3025,15,0),"")</f>
        <v/>
      </c>
      <c r="J3025" s="22" t="str">
        <f aca="false">IF(AND(ISNUMBER(F3025),ISNUMBER(G3025)),IF(E3025=G3025,15,0),"")</f>
        <v/>
      </c>
      <c r="K3025" s="22" t="str">
        <f aca="false">IF(AND(ISNUMBER(F3025),ISNUMBER(G3025)),IF(ABS(D3025-E3025)=ABS(F3025-G3025),12,0),"")</f>
        <v/>
      </c>
      <c r="L3025" s="23" t="str">
        <f aca="false">IF(ISNUMBER(H3025),H3025+I3025+J3025+K3025,"")</f>
        <v/>
      </c>
    </row>
    <row r="3026" customFormat="false" ht="18" hidden="false" customHeight="true" outlineLevel="0" collapsed="false">
      <c r="A3026" s="17" t="s">
        <v>9</v>
      </c>
      <c r="B3026" s="18" t="s">
        <v>207</v>
      </c>
      <c r="C3026" s="19" t="s">
        <v>10</v>
      </c>
      <c r="D3026" s="20" t="n">
        <v>3</v>
      </c>
      <c r="E3026" s="20" t="n">
        <v>1</v>
      </c>
      <c r="F3026" s="21" t="n">
        <f aca="false">'📋 Matches'!E2</f>
        <v>2</v>
      </c>
      <c r="G3026" s="21" t="n">
        <f aca="false">'📋 Matches'!F2</f>
        <v>0</v>
      </c>
      <c r="H3026" s="22" t="n">
        <f aca="false">IF(AND(ISNUMBER(F3026),ISNUMBER(G3026)),IF(SIGN(D3026-E3026)=SIGN(F3026-G3026),48,0),"")</f>
        <v>48</v>
      </c>
      <c r="I3026" s="22" t="n">
        <f aca="false">IF(AND(ISNUMBER(F3026),ISNUMBER(G3026)),IF(D3026=F3026,15,0),"")</f>
        <v>0</v>
      </c>
      <c r="J3026" s="22" t="n">
        <f aca="false">IF(AND(ISNUMBER(F3026),ISNUMBER(G3026)),IF(E3026=G3026,15,0),"")</f>
        <v>0</v>
      </c>
      <c r="K3026" s="22" t="n">
        <f aca="false">IF(AND(ISNUMBER(F3026),ISNUMBER(G3026)),IF(ABS(D3026-E3026)=ABS(F3026-G3026),12,0),"")</f>
        <v>12</v>
      </c>
      <c r="L3026" s="23" t="n">
        <f aca="false">IF(ISNUMBER(H3026),H3026+I3026+J3026+K3026,"")</f>
        <v>60</v>
      </c>
    </row>
    <row r="3027" customFormat="false" ht="18" hidden="false" customHeight="true" outlineLevel="0" collapsed="false">
      <c r="A3027" s="17" t="s">
        <v>9</v>
      </c>
      <c r="B3027" s="18" t="s">
        <v>207</v>
      </c>
      <c r="C3027" s="19" t="s">
        <v>14</v>
      </c>
      <c r="D3027" s="20" t="n">
        <v>2</v>
      </c>
      <c r="E3027" s="20" t="n">
        <v>0</v>
      </c>
      <c r="F3027" s="21" t="n">
        <f aca="false">'📋 Matches'!E3</f>
        <v>2</v>
      </c>
      <c r="G3027" s="21" t="n">
        <f aca="false">'📋 Matches'!F3</f>
        <v>1</v>
      </c>
      <c r="H3027" s="22" t="n">
        <f aca="false">IF(AND(ISNUMBER(F3027),ISNUMBER(G3027)),IF(SIGN(D3027-E3027)=SIGN(F3027-G3027),48,0),"")</f>
        <v>48</v>
      </c>
      <c r="I3027" s="22" t="n">
        <f aca="false">IF(AND(ISNUMBER(F3027),ISNUMBER(G3027)),IF(D3027=F3027,15,0),"")</f>
        <v>15</v>
      </c>
      <c r="J3027" s="22" t="n">
        <f aca="false">IF(AND(ISNUMBER(F3027),ISNUMBER(G3027)),IF(E3027=G3027,15,0),"")</f>
        <v>0</v>
      </c>
      <c r="K3027" s="22" t="n">
        <f aca="false">IF(AND(ISNUMBER(F3027),ISNUMBER(G3027)),IF(ABS(D3027-E3027)=ABS(F3027-G3027),12,0),"")</f>
        <v>0</v>
      </c>
      <c r="L3027" s="23" t="n">
        <f aca="false">IF(ISNUMBER(H3027),H3027+I3027+J3027+K3027,"")</f>
        <v>63</v>
      </c>
    </row>
    <row r="3028" customFormat="false" ht="18" hidden="false" customHeight="true" outlineLevel="0" collapsed="false">
      <c r="A3028" s="17" t="s">
        <v>9</v>
      </c>
      <c r="B3028" s="18" t="s">
        <v>207</v>
      </c>
      <c r="C3028" s="19" t="s">
        <v>17</v>
      </c>
      <c r="D3028" s="20" t="n">
        <v>1</v>
      </c>
      <c r="E3028" s="20" t="n">
        <v>1</v>
      </c>
      <c r="F3028" s="21" t="n">
        <f aca="false">'📋 Matches'!E4</f>
        <v>1</v>
      </c>
      <c r="G3028" s="21" t="n">
        <f aca="false">'📋 Matches'!F4</f>
        <v>1</v>
      </c>
      <c r="H3028" s="22" t="n">
        <f aca="false">IF(AND(ISNUMBER(F3028),ISNUMBER(G3028)),IF(SIGN(D3028-E3028)=SIGN(F3028-G3028),48,0),"")</f>
        <v>48</v>
      </c>
      <c r="I3028" s="22" t="n">
        <f aca="false">IF(AND(ISNUMBER(F3028),ISNUMBER(G3028)),IF(D3028=F3028,15,0),"")</f>
        <v>15</v>
      </c>
      <c r="J3028" s="22" t="n">
        <f aca="false">IF(AND(ISNUMBER(F3028),ISNUMBER(G3028)),IF(E3028=G3028,15,0),"")</f>
        <v>15</v>
      </c>
      <c r="K3028" s="22" t="n">
        <f aca="false">IF(AND(ISNUMBER(F3028),ISNUMBER(G3028)),IF(ABS(D3028-E3028)=ABS(F3028-G3028),12,0),"")</f>
        <v>12</v>
      </c>
      <c r="L3028" s="23" t="n">
        <f aca="false">IF(ISNUMBER(H3028),H3028+I3028+J3028+K3028,"")</f>
        <v>90</v>
      </c>
    </row>
    <row r="3029" customFormat="false" ht="18" hidden="false" customHeight="true" outlineLevel="0" collapsed="false">
      <c r="A3029" s="17" t="s">
        <v>9</v>
      </c>
      <c r="B3029" s="18" t="s">
        <v>207</v>
      </c>
      <c r="C3029" s="19" t="s">
        <v>20</v>
      </c>
      <c r="D3029" s="20" t="n">
        <v>0</v>
      </c>
      <c r="E3029" s="20" t="n">
        <v>3</v>
      </c>
      <c r="F3029" s="21" t="n">
        <f aca="false">'📋 Matches'!E5</f>
        <v>4</v>
      </c>
      <c r="G3029" s="21" t="n">
        <f aca="false">'📋 Matches'!F5</f>
        <v>1</v>
      </c>
      <c r="H3029" s="22" t="n">
        <f aca="false">IF(AND(ISNUMBER(F3029),ISNUMBER(G3029)),IF(SIGN(D3029-E3029)=SIGN(F3029-G3029),48,0),"")</f>
        <v>0</v>
      </c>
      <c r="I3029" s="22" t="n">
        <f aca="false">IF(AND(ISNUMBER(F3029),ISNUMBER(G3029)),IF(D3029=F3029,15,0),"")</f>
        <v>0</v>
      </c>
      <c r="J3029" s="22" t="n">
        <f aca="false">IF(AND(ISNUMBER(F3029),ISNUMBER(G3029)),IF(E3029=G3029,15,0),"")</f>
        <v>0</v>
      </c>
      <c r="K3029" s="22" t="n">
        <f aca="false">IF(AND(ISNUMBER(F3029),ISNUMBER(G3029)),IF(ABS(D3029-E3029)=ABS(F3029-G3029),12,0),"")</f>
        <v>12</v>
      </c>
      <c r="L3029" s="23" t="n">
        <f aca="false">IF(ISNUMBER(H3029),H3029+I3029+J3029+K3029,"")</f>
        <v>12</v>
      </c>
    </row>
    <row r="3030" customFormat="false" ht="18" hidden="false" customHeight="true" outlineLevel="0" collapsed="false">
      <c r="A3030" s="17" t="s">
        <v>9</v>
      </c>
      <c r="B3030" s="18" t="s">
        <v>207</v>
      </c>
      <c r="C3030" s="19" t="s">
        <v>23</v>
      </c>
      <c r="D3030" s="20" t="n">
        <v>1</v>
      </c>
      <c r="E3030" s="20" t="n">
        <v>2</v>
      </c>
      <c r="F3030" s="21" t="n">
        <f aca="false">'📋 Matches'!E6</f>
        <v>0</v>
      </c>
      <c r="G3030" s="21" t="n">
        <f aca="false">'📋 Matches'!F6</f>
        <v>0</v>
      </c>
      <c r="H3030" s="22" t="str">
        <f aca="false">IF(AND(ISNUMBER(F3030),ISNUMBER(G3030)),IF(SIGN(D3030-E3030)=SIGN(F3030-G3030),48,0),"")</f>
        <v/>
      </c>
      <c r="I3030" s="22" t="str">
        <f aca="false">IF(AND(ISNUMBER(F3030),ISNUMBER(G3030)),IF(D3030=F3030,15,0),"")</f>
        <v/>
      </c>
      <c r="J3030" s="22" t="str">
        <f aca="false">IF(AND(ISNUMBER(F3030),ISNUMBER(G3030)),IF(E3030=G3030,15,0),"")</f>
        <v/>
      </c>
      <c r="K3030" s="22" t="str">
        <f aca="false">IF(AND(ISNUMBER(F3030),ISNUMBER(G3030)),IF(ABS(D3030-E3030)=ABS(F3030-G3030),12,0),"")</f>
        <v/>
      </c>
      <c r="L3030" s="23" t="str">
        <f aca="false">IF(ISNUMBER(H3030),H3030+I3030+J3030+K3030,"")</f>
        <v/>
      </c>
    </row>
    <row r="3031" customFormat="false" ht="18" hidden="false" customHeight="true" outlineLevel="0" collapsed="false">
      <c r="A3031" s="17" t="s">
        <v>9</v>
      </c>
      <c r="B3031" s="18" t="s">
        <v>207</v>
      </c>
      <c r="C3031" s="19" t="s">
        <v>27</v>
      </c>
      <c r="D3031" s="20" t="n">
        <v>2</v>
      </c>
      <c r="E3031" s="20" t="n">
        <v>1</v>
      </c>
      <c r="F3031" s="21" t="n">
        <f aca="false">'📋 Matches'!E7</f>
        <v>0</v>
      </c>
      <c r="G3031" s="21" t="n">
        <f aca="false">'📋 Matches'!F7</f>
        <v>0</v>
      </c>
      <c r="H3031" s="22" t="str">
        <f aca="false">IF(AND(ISNUMBER(F3031),ISNUMBER(G3031)),IF(SIGN(D3031-E3031)=SIGN(F3031-G3031),48,0),"")</f>
        <v/>
      </c>
      <c r="I3031" s="22" t="str">
        <f aca="false">IF(AND(ISNUMBER(F3031),ISNUMBER(G3031)),IF(D3031=F3031,15,0),"")</f>
        <v/>
      </c>
      <c r="J3031" s="22" t="str">
        <f aca="false">IF(AND(ISNUMBER(F3031),ISNUMBER(G3031)),IF(E3031=G3031,15,0),"")</f>
        <v/>
      </c>
      <c r="K3031" s="22" t="str">
        <f aca="false">IF(AND(ISNUMBER(F3031),ISNUMBER(G3031)),IF(ABS(D3031-E3031)=ABS(F3031-G3031),12,0),"")</f>
        <v/>
      </c>
      <c r="L3031" s="23" t="str">
        <f aca="false">IF(ISNUMBER(H3031),H3031+I3031+J3031+K3031,"")</f>
        <v/>
      </c>
    </row>
    <row r="3032" customFormat="false" ht="18" hidden="false" customHeight="true" outlineLevel="0" collapsed="false">
      <c r="A3032" s="17" t="s">
        <v>9</v>
      </c>
      <c r="B3032" s="18" t="s">
        <v>207</v>
      </c>
      <c r="C3032" s="19" t="s">
        <v>30</v>
      </c>
      <c r="D3032" s="20" t="n">
        <v>0</v>
      </c>
      <c r="E3032" s="20" t="n">
        <v>4</v>
      </c>
      <c r="F3032" s="21" t="n">
        <f aca="false">'📋 Matches'!E8</f>
        <v>0</v>
      </c>
      <c r="G3032" s="21" t="n">
        <f aca="false">'📋 Matches'!F8</f>
        <v>0</v>
      </c>
      <c r="H3032" s="22" t="str">
        <f aca="false">IF(AND(ISNUMBER(F3032),ISNUMBER(G3032)),IF(SIGN(D3032-E3032)=SIGN(F3032-G3032),48,0),"")</f>
        <v/>
      </c>
      <c r="I3032" s="22" t="str">
        <f aca="false">IF(AND(ISNUMBER(F3032),ISNUMBER(G3032)),IF(D3032=F3032,15,0),"")</f>
        <v/>
      </c>
      <c r="J3032" s="22" t="str">
        <f aca="false">IF(AND(ISNUMBER(F3032),ISNUMBER(G3032)),IF(E3032=G3032,15,0),"")</f>
        <v/>
      </c>
      <c r="K3032" s="22" t="str">
        <f aca="false">IF(AND(ISNUMBER(F3032),ISNUMBER(G3032)),IF(ABS(D3032-E3032)=ABS(F3032-G3032),12,0),"")</f>
        <v/>
      </c>
      <c r="L3032" s="23" t="str">
        <f aca="false">IF(ISNUMBER(H3032),H3032+I3032+J3032+K3032,"")</f>
        <v/>
      </c>
    </row>
    <row r="3033" customFormat="false" ht="18" hidden="false" customHeight="true" outlineLevel="0" collapsed="false">
      <c r="A3033" s="17" t="s">
        <v>9</v>
      </c>
      <c r="B3033" s="18" t="s">
        <v>207</v>
      </c>
      <c r="C3033" s="19" t="s">
        <v>33</v>
      </c>
      <c r="D3033" s="20" t="n">
        <v>1</v>
      </c>
      <c r="E3033" s="20" t="n">
        <v>2</v>
      </c>
      <c r="F3033" s="21" t="n">
        <f aca="false">'📋 Matches'!E9</f>
        <v>0</v>
      </c>
      <c r="G3033" s="21" t="n">
        <f aca="false">'📋 Matches'!F9</f>
        <v>0</v>
      </c>
      <c r="H3033" s="22" t="str">
        <f aca="false">IF(AND(ISNUMBER(F3033),ISNUMBER(G3033)),IF(SIGN(D3033-E3033)=SIGN(F3033-G3033),48,0),"")</f>
        <v/>
      </c>
      <c r="I3033" s="22" t="str">
        <f aca="false">IF(AND(ISNUMBER(F3033),ISNUMBER(G3033)),IF(D3033=F3033,15,0),"")</f>
        <v/>
      </c>
      <c r="J3033" s="22" t="str">
        <f aca="false">IF(AND(ISNUMBER(F3033),ISNUMBER(G3033)),IF(E3033=G3033,15,0),"")</f>
        <v/>
      </c>
      <c r="K3033" s="22" t="str">
        <f aca="false">IF(AND(ISNUMBER(F3033),ISNUMBER(G3033)),IF(ABS(D3033-E3033)=ABS(F3033-G3033),12,0),"")</f>
        <v/>
      </c>
      <c r="L3033" s="23" t="str">
        <f aca="false">IF(ISNUMBER(H3033),H3033+I3033+J3033+K3033,"")</f>
        <v/>
      </c>
    </row>
    <row r="3034" customFormat="false" ht="18" hidden="false" customHeight="true" outlineLevel="0" collapsed="false">
      <c r="A3034" s="17" t="s">
        <v>9</v>
      </c>
      <c r="B3034" s="18" t="s">
        <v>207</v>
      </c>
      <c r="C3034" s="19" t="s">
        <v>36</v>
      </c>
      <c r="D3034" s="20" t="n">
        <v>4</v>
      </c>
      <c r="E3034" s="20" t="n">
        <v>0</v>
      </c>
      <c r="F3034" s="21" t="n">
        <f aca="false">'📋 Matches'!E10</f>
        <v>0</v>
      </c>
      <c r="G3034" s="21" t="n">
        <f aca="false">'📋 Matches'!F10</f>
        <v>0</v>
      </c>
      <c r="H3034" s="22" t="str">
        <f aca="false">IF(AND(ISNUMBER(F3034),ISNUMBER(G3034)),IF(SIGN(D3034-E3034)=SIGN(F3034-G3034),48,0),"")</f>
        <v/>
      </c>
      <c r="I3034" s="22" t="str">
        <f aca="false">IF(AND(ISNUMBER(F3034),ISNUMBER(G3034)),IF(D3034=F3034,15,0),"")</f>
        <v/>
      </c>
      <c r="J3034" s="22" t="str">
        <f aca="false">IF(AND(ISNUMBER(F3034),ISNUMBER(G3034)),IF(E3034=G3034,15,0),"")</f>
        <v/>
      </c>
      <c r="K3034" s="22" t="str">
        <f aca="false">IF(AND(ISNUMBER(F3034),ISNUMBER(G3034)),IF(ABS(D3034-E3034)=ABS(F3034-G3034),12,0),"")</f>
        <v/>
      </c>
      <c r="L3034" s="23" t="str">
        <f aca="false">IF(ISNUMBER(H3034),H3034+I3034+J3034+K3034,"")</f>
        <v/>
      </c>
    </row>
    <row r="3035" customFormat="false" ht="18" hidden="false" customHeight="true" outlineLevel="0" collapsed="false">
      <c r="A3035" s="17" t="s">
        <v>9</v>
      </c>
      <c r="B3035" s="18" t="s">
        <v>207</v>
      </c>
      <c r="C3035" s="19" t="s">
        <v>39</v>
      </c>
      <c r="D3035" s="20" t="n">
        <v>1</v>
      </c>
      <c r="E3035" s="20" t="n">
        <v>2</v>
      </c>
      <c r="F3035" s="21" t="n">
        <f aca="false">'📋 Matches'!E11</f>
        <v>0</v>
      </c>
      <c r="G3035" s="21" t="n">
        <f aca="false">'📋 Matches'!F11</f>
        <v>0</v>
      </c>
      <c r="H3035" s="22" t="str">
        <f aca="false">IF(AND(ISNUMBER(F3035),ISNUMBER(G3035)),IF(SIGN(D3035-E3035)=SIGN(F3035-G3035),48,0),"")</f>
        <v/>
      </c>
      <c r="I3035" s="22" t="str">
        <f aca="false">IF(AND(ISNUMBER(F3035),ISNUMBER(G3035)),IF(D3035=F3035,15,0),"")</f>
        <v/>
      </c>
      <c r="J3035" s="22" t="str">
        <f aca="false">IF(AND(ISNUMBER(F3035),ISNUMBER(G3035)),IF(E3035=G3035,15,0),"")</f>
        <v/>
      </c>
      <c r="K3035" s="22" t="str">
        <f aca="false">IF(AND(ISNUMBER(F3035),ISNUMBER(G3035)),IF(ABS(D3035-E3035)=ABS(F3035-G3035),12,0),"")</f>
        <v/>
      </c>
      <c r="L3035" s="23" t="str">
        <f aca="false">IF(ISNUMBER(H3035),H3035+I3035+J3035+K3035,"")</f>
        <v/>
      </c>
    </row>
    <row r="3036" customFormat="false" ht="18" hidden="false" customHeight="true" outlineLevel="0" collapsed="false">
      <c r="A3036" s="17" t="s">
        <v>9</v>
      </c>
      <c r="B3036" s="18" t="s">
        <v>207</v>
      </c>
      <c r="C3036" s="19" t="s">
        <v>42</v>
      </c>
      <c r="D3036" s="20" t="n">
        <v>2</v>
      </c>
      <c r="E3036" s="20" t="n">
        <v>2</v>
      </c>
      <c r="F3036" s="21" t="n">
        <f aca="false">'📋 Matches'!E12</f>
        <v>0</v>
      </c>
      <c r="G3036" s="21" t="n">
        <f aca="false">'📋 Matches'!F12</f>
        <v>0</v>
      </c>
      <c r="H3036" s="22" t="str">
        <f aca="false">IF(AND(ISNUMBER(F3036),ISNUMBER(G3036)),IF(SIGN(D3036-E3036)=SIGN(F3036-G3036),48,0),"")</f>
        <v/>
      </c>
      <c r="I3036" s="22" t="str">
        <f aca="false">IF(AND(ISNUMBER(F3036),ISNUMBER(G3036)),IF(D3036=F3036,15,0),"")</f>
        <v/>
      </c>
      <c r="J3036" s="22" t="str">
        <f aca="false">IF(AND(ISNUMBER(F3036),ISNUMBER(G3036)),IF(E3036=G3036,15,0),"")</f>
        <v/>
      </c>
      <c r="K3036" s="22" t="str">
        <f aca="false">IF(AND(ISNUMBER(F3036),ISNUMBER(G3036)),IF(ABS(D3036-E3036)=ABS(F3036-G3036),12,0),"")</f>
        <v/>
      </c>
      <c r="L3036" s="23" t="str">
        <f aca="false">IF(ISNUMBER(H3036),H3036+I3036+J3036+K3036,"")</f>
        <v/>
      </c>
    </row>
    <row r="3037" customFormat="false" ht="18" hidden="false" customHeight="true" outlineLevel="0" collapsed="false">
      <c r="A3037" s="17" t="s">
        <v>9</v>
      </c>
      <c r="B3037" s="18" t="s">
        <v>207</v>
      </c>
      <c r="C3037" s="19" t="s">
        <v>45</v>
      </c>
      <c r="D3037" s="20" t="n">
        <v>3</v>
      </c>
      <c r="E3037" s="20" t="n">
        <v>1</v>
      </c>
      <c r="F3037" s="21" t="n">
        <f aca="false">'📋 Matches'!E13</f>
        <v>0</v>
      </c>
      <c r="G3037" s="21" t="n">
        <f aca="false">'📋 Matches'!F13</f>
        <v>0</v>
      </c>
      <c r="H3037" s="22" t="str">
        <f aca="false">IF(AND(ISNUMBER(F3037),ISNUMBER(G3037)),IF(SIGN(D3037-E3037)=SIGN(F3037-G3037),48,0),"")</f>
        <v/>
      </c>
      <c r="I3037" s="22" t="str">
        <f aca="false">IF(AND(ISNUMBER(F3037),ISNUMBER(G3037)),IF(D3037=F3037,15,0),"")</f>
        <v/>
      </c>
      <c r="J3037" s="22" t="str">
        <f aca="false">IF(AND(ISNUMBER(F3037),ISNUMBER(G3037)),IF(E3037=G3037,15,0),"")</f>
        <v/>
      </c>
      <c r="K3037" s="22" t="str">
        <f aca="false">IF(AND(ISNUMBER(F3037),ISNUMBER(G3037)),IF(ABS(D3037-E3037)=ABS(F3037-G3037),12,0),"")</f>
        <v/>
      </c>
      <c r="L3037" s="23" t="str">
        <f aca="false">IF(ISNUMBER(H3037),H3037+I3037+J3037+K3037,"")</f>
        <v/>
      </c>
    </row>
    <row r="3038" customFormat="false" ht="18" hidden="false" customHeight="true" outlineLevel="0" collapsed="false">
      <c r="A3038" s="17" t="s">
        <v>9</v>
      </c>
      <c r="B3038" s="18" t="s">
        <v>207</v>
      </c>
      <c r="C3038" s="19" t="s">
        <v>48</v>
      </c>
      <c r="D3038" s="20" t="n">
        <v>4</v>
      </c>
      <c r="E3038" s="20" t="n">
        <v>0</v>
      </c>
      <c r="F3038" s="21" t="n">
        <f aca="false">'📋 Matches'!E14</f>
        <v>0</v>
      </c>
      <c r="G3038" s="21" t="n">
        <f aca="false">'📋 Matches'!F14</f>
        <v>0</v>
      </c>
      <c r="H3038" s="22" t="str">
        <f aca="false">IF(AND(ISNUMBER(F3038),ISNUMBER(G3038)),IF(SIGN(D3038-E3038)=SIGN(F3038-G3038),48,0),"")</f>
        <v/>
      </c>
      <c r="I3038" s="22" t="str">
        <f aca="false">IF(AND(ISNUMBER(F3038),ISNUMBER(G3038)),IF(D3038=F3038,15,0),"")</f>
        <v/>
      </c>
      <c r="J3038" s="22" t="str">
        <f aca="false">IF(AND(ISNUMBER(F3038),ISNUMBER(G3038)),IF(E3038=G3038,15,0),"")</f>
        <v/>
      </c>
      <c r="K3038" s="22" t="str">
        <f aca="false">IF(AND(ISNUMBER(F3038),ISNUMBER(G3038)),IF(ABS(D3038-E3038)=ABS(F3038-G3038),12,0),"")</f>
        <v/>
      </c>
      <c r="L3038" s="23" t="str">
        <f aca="false">IF(ISNUMBER(H3038),H3038+I3038+J3038+K3038,"")</f>
        <v/>
      </c>
    </row>
    <row r="3039" customFormat="false" ht="18" hidden="false" customHeight="true" outlineLevel="0" collapsed="false">
      <c r="A3039" s="17" t="s">
        <v>9</v>
      </c>
      <c r="B3039" s="18" t="s">
        <v>207</v>
      </c>
      <c r="C3039" s="19" t="s">
        <v>51</v>
      </c>
      <c r="D3039" s="20" t="n">
        <v>0</v>
      </c>
      <c r="E3039" s="20" t="n">
        <v>2</v>
      </c>
      <c r="F3039" s="21" t="n">
        <f aca="false">'📋 Matches'!E15</f>
        <v>0</v>
      </c>
      <c r="G3039" s="21" t="n">
        <f aca="false">'📋 Matches'!F15</f>
        <v>0</v>
      </c>
      <c r="H3039" s="22" t="str">
        <f aca="false">IF(AND(ISNUMBER(F3039),ISNUMBER(G3039)),IF(SIGN(D3039-E3039)=SIGN(F3039-G3039),48,0),"")</f>
        <v/>
      </c>
      <c r="I3039" s="22" t="str">
        <f aca="false">IF(AND(ISNUMBER(F3039),ISNUMBER(G3039)),IF(D3039=F3039,15,0),"")</f>
        <v/>
      </c>
      <c r="J3039" s="22" t="str">
        <f aca="false">IF(AND(ISNUMBER(F3039),ISNUMBER(G3039)),IF(E3039=G3039,15,0),"")</f>
        <v/>
      </c>
      <c r="K3039" s="22" t="str">
        <f aca="false">IF(AND(ISNUMBER(F3039),ISNUMBER(G3039)),IF(ABS(D3039-E3039)=ABS(F3039-G3039),12,0),"")</f>
        <v/>
      </c>
      <c r="L3039" s="23" t="str">
        <f aca="false">IF(ISNUMBER(H3039),H3039+I3039+J3039+K3039,"")</f>
        <v/>
      </c>
    </row>
    <row r="3040" customFormat="false" ht="18" hidden="false" customHeight="true" outlineLevel="0" collapsed="false">
      <c r="A3040" s="17" t="s">
        <v>9</v>
      </c>
      <c r="B3040" s="18" t="s">
        <v>207</v>
      </c>
      <c r="C3040" s="19" t="s">
        <v>54</v>
      </c>
      <c r="D3040" s="20" t="n">
        <v>0</v>
      </c>
      <c r="E3040" s="20" t="n">
        <v>3</v>
      </c>
      <c r="F3040" s="21" t="n">
        <f aca="false">'📋 Matches'!E16</f>
        <v>0</v>
      </c>
      <c r="G3040" s="21" t="n">
        <f aca="false">'📋 Matches'!F16</f>
        <v>0</v>
      </c>
      <c r="H3040" s="22" t="str">
        <f aca="false">IF(AND(ISNUMBER(F3040),ISNUMBER(G3040)),IF(SIGN(D3040-E3040)=SIGN(F3040-G3040),48,0),"")</f>
        <v/>
      </c>
      <c r="I3040" s="22" t="str">
        <f aca="false">IF(AND(ISNUMBER(F3040),ISNUMBER(G3040)),IF(D3040=F3040,15,0),"")</f>
        <v/>
      </c>
      <c r="J3040" s="22" t="str">
        <f aca="false">IF(AND(ISNUMBER(F3040),ISNUMBER(G3040)),IF(E3040=G3040,15,0),"")</f>
        <v/>
      </c>
      <c r="K3040" s="22" t="str">
        <f aca="false">IF(AND(ISNUMBER(F3040),ISNUMBER(G3040)),IF(ABS(D3040-E3040)=ABS(F3040-G3040),12,0),"")</f>
        <v/>
      </c>
      <c r="L3040" s="23" t="str">
        <f aca="false">IF(ISNUMBER(H3040),H3040+I3040+J3040+K3040,"")</f>
        <v/>
      </c>
    </row>
    <row r="3041" customFormat="false" ht="18" hidden="false" customHeight="true" outlineLevel="0" collapsed="false">
      <c r="A3041" s="17" t="s">
        <v>9</v>
      </c>
      <c r="B3041" s="18" t="s">
        <v>207</v>
      </c>
      <c r="C3041" s="19" t="s">
        <v>57</v>
      </c>
      <c r="D3041" s="20" t="n">
        <v>2</v>
      </c>
      <c r="E3041" s="20" t="n">
        <v>0</v>
      </c>
      <c r="F3041" s="21" t="n">
        <f aca="false">'📋 Matches'!E17</f>
        <v>0</v>
      </c>
      <c r="G3041" s="21" t="n">
        <f aca="false">'📋 Matches'!F17</f>
        <v>0</v>
      </c>
      <c r="H3041" s="22" t="str">
        <f aca="false">IF(AND(ISNUMBER(F3041),ISNUMBER(G3041)),IF(SIGN(D3041-E3041)=SIGN(F3041-G3041),48,0),"")</f>
        <v/>
      </c>
      <c r="I3041" s="22" t="str">
        <f aca="false">IF(AND(ISNUMBER(F3041),ISNUMBER(G3041)),IF(D3041=F3041,15,0),"")</f>
        <v/>
      </c>
      <c r="J3041" s="22" t="str">
        <f aca="false">IF(AND(ISNUMBER(F3041),ISNUMBER(G3041)),IF(E3041=G3041,15,0),"")</f>
        <v/>
      </c>
      <c r="K3041" s="22" t="str">
        <f aca="false">IF(AND(ISNUMBER(F3041),ISNUMBER(G3041)),IF(ABS(D3041-E3041)=ABS(F3041-G3041),12,0),"")</f>
        <v/>
      </c>
      <c r="L3041" s="23" t="str">
        <f aca="false">IF(ISNUMBER(H3041),H3041+I3041+J3041+K3041,"")</f>
        <v/>
      </c>
    </row>
    <row r="3042" customFormat="false" ht="18" hidden="false" customHeight="true" outlineLevel="0" collapsed="false">
      <c r="A3042" s="17" t="s">
        <v>9</v>
      </c>
      <c r="B3042" s="18" t="s">
        <v>207</v>
      </c>
      <c r="C3042" s="19" t="s">
        <v>60</v>
      </c>
      <c r="D3042" s="20" t="n">
        <v>3</v>
      </c>
      <c r="E3042" s="20" t="n">
        <v>2</v>
      </c>
      <c r="F3042" s="21" t="n">
        <f aca="false">'📋 Matches'!E18</f>
        <v>0</v>
      </c>
      <c r="G3042" s="21" t="n">
        <f aca="false">'📋 Matches'!F18</f>
        <v>0</v>
      </c>
      <c r="H3042" s="22" t="str">
        <f aca="false">IF(AND(ISNUMBER(F3042),ISNUMBER(G3042)),IF(SIGN(D3042-E3042)=SIGN(F3042-G3042),48,0),"")</f>
        <v/>
      </c>
      <c r="I3042" s="22" t="str">
        <f aca="false">IF(AND(ISNUMBER(F3042),ISNUMBER(G3042)),IF(D3042=F3042,15,0),"")</f>
        <v/>
      </c>
      <c r="J3042" s="22" t="str">
        <f aca="false">IF(AND(ISNUMBER(F3042),ISNUMBER(G3042)),IF(E3042=G3042,15,0),"")</f>
        <v/>
      </c>
      <c r="K3042" s="22" t="str">
        <f aca="false">IF(AND(ISNUMBER(F3042),ISNUMBER(G3042)),IF(ABS(D3042-E3042)=ABS(F3042-G3042),12,0),"")</f>
        <v/>
      </c>
      <c r="L3042" s="23" t="str">
        <f aca="false">IF(ISNUMBER(H3042),H3042+I3042+J3042+K3042,"")</f>
        <v/>
      </c>
    </row>
    <row r="3043" customFormat="false" ht="18" hidden="false" customHeight="true" outlineLevel="0" collapsed="false">
      <c r="A3043" s="17" t="s">
        <v>9</v>
      </c>
      <c r="B3043" s="18" t="s">
        <v>207</v>
      </c>
      <c r="C3043" s="19" t="s">
        <v>63</v>
      </c>
      <c r="D3043" s="20" t="n">
        <v>0</v>
      </c>
      <c r="E3043" s="20" t="n">
        <v>4</v>
      </c>
      <c r="F3043" s="21" t="n">
        <f aca="false">'📋 Matches'!E19</f>
        <v>0</v>
      </c>
      <c r="G3043" s="21" t="n">
        <f aca="false">'📋 Matches'!F19</f>
        <v>0</v>
      </c>
      <c r="H3043" s="22" t="str">
        <f aca="false">IF(AND(ISNUMBER(F3043),ISNUMBER(G3043)),IF(SIGN(D3043-E3043)=SIGN(F3043-G3043),48,0),"")</f>
        <v/>
      </c>
      <c r="I3043" s="22" t="str">
        <f aca="false">IF(AND(ISNUMBER(F3043),ISNUMBER(G3043)),IF(D3043=F3043,15,0),"")</f>
        <v/>
      </c>
      <c r="J3043" s="22" t="str">
        <f aca="false">IF(AND(ISNUMBER(F3043),ISNUMBER(G3043)),IF(E3043=G3043,15,0),"")</f>
        <v/>
      </c>
      <c r="K3043" s="22" t="str">
        <f aca="false">IF(AND(ISNUMBER(F3043),ISNUMBER(G3043)),IF(ABS(D3043-E3043)=ABS(F3043-G3043),12,0),"")</f>
        <v/>
      </c>
      <c r="L3043" s="23" t="str">
        <f aca="false">IF(ISNUMBER(H3043),H3043+I3043+J3043+K3043,"")</f>
        <v/>
      </c>
    </row>
    <row r="3044" customFormat="false" ht="18" hidden="false" customHeight="true" outlineLevel="0" collapsed="false">
      <c r="A3044" s="17" t="s">
        <v>9</v>
      </c>
      <c r="B3044" s="18" t="s">
        <v>207</v>
      </c>
      <c r="C3044" s="19" t="s">
        <v>66</v>
      </c>
      <c r="D3044" s="20" t="n">
        <v>1</v>
      </c>
      <c r="E3044" s="20" t="n">
        <v>1</v>
      </c>
      <c r="F3044" s="21" t="n">
        <f aca="false">'📋 Matches'!E20</f>
        <v>0</v>
      </c>
      <c r="G3044" s="21" t="n">
        <f aca="false">'📋 Matches'!F20</f>
        <v>0</v>
      </c>
      <c r="H3044" s="22" t="str">
        <f aca="false">IF(AND(ISNUMBER(F3044),ISNUMBER(G3044)),IF(SIGN(D3044-E3044)=SIGN(F3044-G3044),48,0),"")</f>
        <v/>
      </c>
      <c r="I3044" s="22" t="str">
        <f aca="false">IF(AND(ISNUMBER(F3044),ISNUMBER(G3044)),IF(D3044=F3044,15,0),"")</f>
        <v/>
      </c>
      <c r="J3044" s="22" t="str">
        <f aca="false">IF(AND(ISNUMBER(F3044),ISNUMBER(G3044)),IF(E3044=G3044,15,0),"")</f>
        <v/>
      </c>
      <c r="K3044" s="22" t="str">
        <f aca="false">IF(AND(ISNUMBER(F3044),ISNUMBER(G3044)),IF(ABS(D3044-E3044)=ABS(F3044-G3044),12,0),"")</f>
        <v/>
      </c>
      <c r="L3044" s="23" t="str">
        <f aca="false">IF(ISNUMBER(H3044),H3044+I3044+J3044+K3044,"")</f>
        <v/>
      </c>
    </row>
    <row r="3045" customFormat="false" ht="18" hidden="false" customHeight="true" outlineLevel="0" collapsed="false">
      <c r="A3045" s="17" t="s">
        <v>9</v>
      </c>
      <c r="B3045" s="18" t="s">
        <v>207</v>
      </c>
      <c r="C3045" s="19" t="s">
        <v>69</v>
      </c>
      <c r="D3045" s="20" t="n">
        <v>3</v>
      </c>
      <c r="E3045" s="20" t="n">
        <v>0</v>
      </c>
      <c r="F3045" s="21" t="n">
        <f aca="false">'📋 Matches'!E21</f>
        <v>0</v>
      </c>
      <c r="G3045" s="21" t="n">
        <f aca="false">'📋 Matches'!F21</f>
        <v>0</v>
      </c>
      <c r="H3045" s="22" t="str">
        <f aca="false">IF(AND(ISNUMBER(F3045),ISNUMBER(G3045)),IF(SIGN(D3045-E3045)=SIGN(F3045-G3045),48,0),"")</f>
        <v/>
      </c>
      <c r="I3045" s="22" t="str">
        <f aca="false">IF(AND(ISNUMBER(F3045),ISNUMBER(G3045)),IF(D3045=F3045,15,0),"")</f>
        <v/>
      </c>
      <c r="J3045" s="22" t="str">
        <f aca="false">IF(AND(ISNUMBER(F3045),ISNUMBER(G3045)),IF(E3045=G3045,15,0),"")</f>
        <v/>
      </c>
      <c r="K3045" s="22" t="str">
        <f aca="false">IF(AND(ISNUMBER(F3045),ISNUMBER(G3045)),IF(ABS(D3045-E3045)=ABS(F3045-G3045),12,0),"")</f>
        <v/>
      </c>
      <c r="L3045" s="23" t="str">
        <f aca="false">IF(ISNUMBER(H3045),H3045+I3045+J3045+K3045,"")</f>
        <v/>
      </c>
    </row>
    <row r="3046" customFormat="false" ht="18" hidden="false" customHeight="true" outlineLevel="0" collapsed="false">
      <c r="A3046" s="17" t="s">
        <v>9</v>
      </c>
      <c r="B3046" s="18" t="s">
        <v>207</v>
      </c>
      <c r="C3046" s="19" t="s">
        <v>72</v>
      </c>
      <c r="D3046" s="20" t="n">
        <v>4</v>
      </c>
      <c r="E3046" s="20" t="n">
        <v>0</v>
      </c>
      <c r="F3046" s="21" t="n">
        <f aca="false">'📋 Matches'!E22</f>
        <v>0</v>
      </c>
      <c r="G3046" s="21" t="n">
        <f aca="false">'📋 Matches'!F22</f>
        <v>0</v>
      </c>
      <c r="H3046" s="22" t="str">
        <f aca="false">IF(AND(ISNUMBER(F3046),ISNUMBER(G3046)),IF(SIGN(D3046-E3046)=SIGN(F3046-G3046),48,0),"")</f>
        <v/>
      </c>
      <c r="I3046" s="22" t="str">
        <f aca="false">IF(AND(ISNUMBER(F3046),ISNUMBER(G3046)),IF(D3046=F3046,15,0),"")</f>
        <v/>
      </c>
      <c r="J3046" s="22" t="str">
        <f aca="false">IF(AND(ISNUMBER(F3046),ISNUMBER(G3046)),IF(E3046=G3046,15,0),"")</f>
        <v/>
      </c>
      <c r="K3046" s="22" t="str">
        <f aca="false">IF(AND(ISNUMBER(F3046),ISNUMBER(G3046)),IF(ABS(D3046-E3046)=ABS(F3046-G3046),12,0),"")</f>
        <v/>
      </c>
      <c r="L3046" s="23" t="str">
        <f aca="false">IF(ISNUMBER(H3046),H3046+I3046+J3046+K3046,"")</f>
        <v/>
      </c>
    </row>
    <row r="3047" customFormat="false" ht="18" hidden="false" customHeight="true" outlineLevel="0" collapsed="false">
      <c r="A3047" s="17" t="s">
        <v>9</v>
      </c>
      <c r="B3047" s="18" t="s">
        <v>207</v>
      </c>
      <c r="C3047" s="19" t="s">
        <v>75</v>
      </c>
      <c r="D3047" s="20" t="n">
        <v>1</v>
      </c>
      <c r="E3047" s="20" t="n">
        <v>1</v>
      </c>
      <c r="F3047" s="21" t="n">
        <f aca="false">'📋 Matches'!E23</f>
        <v>0</v>
      </c>
      <c r="G3047" s="21" t="n">
        <f aca="false">'📋 Matches'!F23</f>
        <v>0</v>
      </c>
      <c r="H3047" s="22" t="str">
        <f aca="false">IF(AND(ISNUMBER(F3047),ISNUMBER(G3047)),IF(SIGN(D3047-E3047)=SIGN(F3047-G3047),48,0),"")</f>
        <v/>
      </c>
      <c r="I3047" s="22" t="str">
        <f aca="false">IF(AND(ISNUMBER(F3047),ISNUMBER(G3047)),IF(D3047=F3047,15,0),"")</f>
        <v/>
      </c>
      <c r="J3047" s="22" t="str">
        <f aca="false">IF(AND(ISNUMBER(F3047),ISNUMBER(G3047)),IF(E3047=G3047,15,0),"")</f>
        <v/>
      </c>
      <c r="K3047" s="22" t="str">
        <f aca="false">IF(AND(ISNUMBER(F3047),ISNUMBER(G3047)),IF(ABS(D3047-E3047)=ABS(F3047-G3047),12,0),"")</f>
        <v/>
      </c>
      <c r="L3047" s="23" t="str">
        <f aca="false">IF(ISNUMBER(H3047),H3047+I3047+J3047+K3047,"")</f>
        <v/>
      </c>
    </row>
    <row r="3048" customFormat="false" ht="18" hidden="false" customHeight="true" outlineLevel="0" collapsed="false">
      <c r="A3048" s="17" t="s">
        <v>9</v>
      </c>
      <c r="B3048" s="18" t="s">
        <v>207</v>
      </c>
      <c r="C3048" s="19" t="s">
        <v>78</v>
      </c>
      <c r="D3048" s="20" t="n">
        <v>2</v>
      </c>
      <c r="E3048" s="20" t="n">
        <v>0</v>
      </c>
      <c r="F3048" s="21" t="n">
        <f aca="false">'📋 Matches'!E24</f>
        <v>0</v>
      </c>
      <c r="G3048" s="21" t="n">
        <f aca="false">'📋 Matches'!F24</f>
        <v>0</v>
      </c>
      <c r="H3048" s="22" t="str">
        <f aca="false">IF(AND(ISNUMBER(F3048),ISNUMBER(G3048)),IF(SIGN(D3048-E3048)=SIGN(F3048-G3048),48,0),"")</f>
        <v/>
      </c>
      <c r="I3048" s="22" t="str">
        <f aca="false">IF(AND(ISNUMBER(F3048),ISNUMBER(G3048)),IF(D3048=F3048,15,0),"")</f>
        <v/>
      </c>
      <c r="J3048" s="22" t="str">
        <f aca="false">IF(AND(ISNUMBER(F3048),ISNUMBER(G3048)),IF(E3048=G3048,15,0),"")</f>
        <v/>
      </c>
      <c r="K3048" s="22" t="str">
        <f aca="false">IF(AND(ISNUMBER(F3048),ISNUMBER(G3048)),IF(ABS(D3048-E3048)=ABS(F3048-G3048),12,0),"")</f>
        <v/>
      </c>
      <c r="L3048" s="23" t="str">
        <f aca="false">IF(ISNUMBER(H3048),H3048+I3048+J3048+K3048,"")</f>
        <v/>
      </c>
    </row>
    <row r="3049" customFormat="false" ht="18" hidden="false" customHeight="true" outlineLevel="0" collapsed="false">
      <c r="A3049" s="17" t="s">
        <v>9</v>
      </c>
      <c r="B3049" s="18" t="s">
        <v>207</v>
      </c>
      <c r="C3049" s="19" t="s">
        <v>81</v>
      </c>
      <c r="D3049" s="20" t="n">
        <v>1</v>
      </c>
      <c r="E3049" s="20" t="n">
        <v>2</v>
      </c>
      <c r="F3049" s="21" t="n">
        <f aca="false">'📋 Matches'!E25</f>
        <v>0</v>
      </c>
      <c r="G3049" s="21" t="n">
        <f aca="false">'📋 Matches'!F25</f>
        <v>0</v>
      </c>
      <c r="H3049" s="22" t="str">
        <f aca="false">IF(AND(ISNUMBER(F3049),ISNUMBER(G3049)),IF(SIGN(D3049-E3049)=SIGN(F3049-G3049),48,0),"")</f>
        <v/>
      </c>
      <c r="I3049" s="22" t="str">
        <f aca="false">IF(AND(ISNUMBER(F3049),ISNUMBER(G3049)),IF(D3049=F3049,15,0),"")</f>
        <v/>
      </c>
      <c r="J3049" s="22" t="str">
        <f aca="false">IF(AND(ISNUMBER(F3049),ISNUMBER(G3049)),IF(E3049=G3049,15,0),"")</f>
        <v/>
      </c>
      <c r="K3049" s="22" t="str">
        <f aca="false">IF(AND(ISNUMBER(F3049),ISNUMBER(G3049)),IF(ABS(D3049-E3049)=ABS(F3049-G3049),12,0),"")</f>
        <v/>
      </c>
      <c r="L3049" s="23" t="str">
        <f aca="false">IF(ISNUMBER(H3049),H3049+I3049+J3049+K3049,"")</f>
        <v/>
      </c>
    </row>
    <row r="3050" customFormat="false" ht="18" hidden="false" customHeight="true" outlineLevel="0" collapsed="false">
      <c r="A3050" s="25" t="s">
        <v>9</v>
      </c>
      <c r="B3050" s="26" t="s">
        <v>208</v>
      </c>
      <c r="C3050" s="27" t="s">
        <v>10</v>
      </c>
      <c r="D3050" s="28" t="n">
        <v>2</v>
      </c>
      <c r="E3050" s="28" t="n">
        <v>1</v>
      </c>
      <c r="F3050" s="29" t="n">
        <f aca="false">'📋 Matches'!E2</f>
        <v>2</v>
      </c>
      <c r="G3050" s="29" t="n">
        <f aca="false">'📋 Matches'!F2</f>
        <v>0</v>
      </c>
      <c r="H3050" s="22" t="n">
        <f aca="false">IF(AND(ISNUMBER(F3050),ISNUMBER(G3050)),IF(SIGN(D3050-E3050)=SIGN(F3050-G3050),48,0),"")</f>
        <v>48</v>
      </c>
      <c r="I3050" s="22" t="n">
        <f aca="false">IF(AND(ISNUMBER(F3050),ISNUMBER(G3050)),IF(D3050=F3050,15,0),"")</f>
        <v>15</v>
      </c>
      <c r="J3050" s="22" t="n">
        <f aca="false">IF(AND(ISNUMBER(F3050),ISNUMBER(G3050)),IF(E3050=G3050,15,0),"")</f>
        <v>0</v>
      </c>
      <c r="K3050" s="22" t="n">
        <f aca="false">IF(AND(ISNUMBER(F3050),ISNUMBER(G3050)),IF(ABS(D3050-E3050)=ABS(F3050-G3050),12,0),"")</f>
        <v>0</v>
      </c>
      <c r="L3050" s="23" t="n">
        <f aca="false">IF(ISNUMBER(H3050),H3050+I3050+J3050+K3050,"")</f>
        <v>63</v>
      </c>
    </row>
    <row r="3051" customFormat="false" ht="18" hidden="false" customHeight="true" outlineLevel="0" collapsed="false">
      <c r="A3051" s="25" t="s">
        <v>9</v>
      </c>
      <c r="B3051" s="26" t="s">
        <v>208</v>
      </c>
      <c r="C3051" s="27" t="s">
        <v>14</v>
      </c>
      <c r="D3051" s="28" t="n">
        <v>0</v>
      </c>
      <c r="E3051" s="28" t="n">
        <v>2</v>
      </c>
      <c r="F3051" s="29" t="n">
        <f aca="false">'📋 Matches'!E3</f>
        <v>2</v>
      </c>
      <c r="G3051" s="29" t="n">
        <f aca="false">'📋 Matches'!F3</f>
        <v>1</v>
      </c>
      <c r="H3051" s="22" t="n">
        <f aca="false">IF(AND(ISNUMBER(F3051),ISNUMBER(G3051)),IF(SIGN(D3051-E3051)=SIGN(F3051-G3051),48,0),"")</f>
        <v>0</v>
      </c>
      <c r="I3051" s="22" t="n">
        <f aca="false">IF(AND(ISNUMBER(F3051),ISNUMBER(G3051)),IF(D3051=F3051,15,0),"")</f>
        <v>0</v>
      </c>
      <c r="J3051" s="22" t="n">
        <f aca="false">IF(AND(ISNUMBER(F3051),ISNUMBER(G3051)),IF(E3051=G3051,15,0),"")</f>
        <v>0</v>
      </c>
      <c r="K3051" s="22" t="n">
        <f aca="false">IF(AND(ISNUMBER(F3051),ISNUMBER(G3051)),IF(ABS(D3051-E3051)=ABS(F3051-G3051),12,0),"")</f>
        <v>0</v>
      </c>
      <c r="L3051" s="23" t="n">
        <f aca="false">IF(ISNUMBER(H3051),H3051+I3051+J3051+K3051,"")</f>
        <v>0</v>
      </c>
    </row>
    <row r="3052" customFormat="false" ht="18" hidden="false" customHeight="true" outlineLevel="0" collapsed="false">
      <c r="A3052" s="25" t="s">
        <v>9</v>
      </c>
      <c r="B3052" s="26" t="s">
        <v>208</v>
      </c>
      <c r="C3052" s="27" t="s">
        <v>17</v>
      </c>
      <c r="D3052" s="28" t="n">
        <v>2</v>
      </c>
      <c r="E3052" s="28" t="n">
        <v>0</v>
      </c>
      <c r="F3052" s="29" t="n">
        <f aca="false">'📋 Matches'!E4</f>
        <v>1</v>
      </c>
      <c r="G3052" s="29" t="n">
        <f aca="false">'📋 Matches'!F4</f>
        <v>1</v>
      </c>
      <c r="H3052" s="22" t="n">
        <f aca="false">IF(AND(ISNUMBER(F3052),ISNUMBER(G3052)),IF(SIGN(D3052-E3052)=SIGN(F3052-G3052),48,0),"")</f>
        <v>0</v>
      </c>
      <c r="I3052" s="22" t="n">
        <f aca="false">IF(AND(ISNUMBER(F3052),ISNUMBER(G3052)),IF(D3052=F3052,15,0),"")</f>
        <v>0</v>
      </c>
      <c r="J3052" s="22" t="n">
        <f aca="false">IF(AND(ISNUMBER(F3052),ISNUMBER(G3052)),IF(E3052=G3052,15,0),"")</f>
        <v>0</v>
      </c>
      <c r="K3052" s="22" t="n">
        <f aca="false">IF(AND(ISNUMBER(F3052),ISNUMBER(G3052)),IF(ABS(D3052-E3052)=ABS(F3052-G3052),12,0),"")</f>
        <v>0</v>
      </c>
      <c r="L3052" s="23" t="n">
        <f aca="false">IF(ISNUMBER(H3052),H3052+I3052+J3052+K3052,"")</f>
        <v>0</v>
      </c>
    </row>
    <row r="3053" customFormat="false" ht="18" hidden="false" customHeight="true" outlineLevel="0" collapsed="false">
      <c r="A3053" s="25" t="s">
        <v>9</v>
      </c>
      <c r="B3053" s="26" t="s">
        <v>208</v>
      </c>
      <c r="C3053" s="27" t="s">
        <v>20</v>
      </c>
      <c r="D3053" s="28" t="n">
        <v>1</v>
      </c>
      <c r="E3053" s="28" t="n">
        <v>2</v>
      </c>
      <c r="F3053" s="29" t="n">
        <f aca="false">'📋 Matches'!E5</f>
        <v>4</v>
      </c>
      <c r="G3053" s="29" t="n">
        <f aca="false">'📋 Matches'!F5</f>
        <v>1</v>
      </c>
      <c r="H3053" s="22" t="n">
        <f aca="false">IF(AND(ISNUMBER(F3053),ISNUMBER(G3053)),IF(SIGN(D3053-E3053)=SIGN(F3053-G3053),48,0),"")</f>
        <v>0</v>
      </c>
      <c r="I3053" s="22" t="n">
        <f aca="false">IF(AND(ISNUMBER(F3053),ISNUMBER(G3053)),IF(D3053=F3053,15,0),"")</f>
        <v>0</v>
      </c>
      <c r="J3053" s="22" t="n">
        <f aca="false">IF(AND(ISNUMBER(F3053),ISNUMBER(G3053)),IF(E3053=G3053,15,0),"")</f>
        <v>0</v>
      </c>
      <c r="K3053" s="22" t="n">
        <f aca="false">IF(AND(ISNUMBER(F3053),ISNUMBER(G3053)),IF(ABS(D3053-E3053)=ABS(F3053-G3053),12,0),"")</f>
        <v>0</v>
      </c>
      <c r="L3053" s="23" t="n">
        <f aca="false">IF(ISNUMBER(H3053),H3053+I3053+J3053+K3053,"")</f>
        <v>0</v>
      </c>
    </row>
    <row r="3054" customFormat="false" ht="18" hidden="false" customHeight="true" outlineLevel="0" collapsed="false">
      <c r="A3054" s="25" t="s">
        <v>9</v>
      </c>
      <c r="B3054" s="26" t="s">
        <v>208</v>
      </c>
      <c r="C3054" s="27" t="s">
        <v>23</v>
      </c>
      <c r="D3054" s="28" t="n">
        <v>0</v>
      </c>
      <c r="E3054" s="28" t="n">
        <v>2</v>
      </c>
      <c r="F3054" s="29" t="n">
        <f aca="false">'📋 Matches'!E6</f>
        <v>0</v>
      </c>
      <c r="G3054" s="29" t="n">
        <f aca="false">'📋 Matches'!F6</f>
        <v>0</v>
      </c>
      <c r="H3054" s="22" t="str">
        <f aca="false">IF(AND(ISNUMBER(F3054),ISNUMBER(G3054)),IF(SIGN(D3054-E3054)=SIGN(F3054-G3054),48,0),"")</f>
        <v/>
      </c>
      <c r="I3054" s="22" t="str">
        <f aca="false">IF(AND(ISNUMBER(F3054),ISNUMBER(G3054)),IF(D3054=F3054,15,0),"")</f>
        <v/>
      </c>
      <c r="J3054" s="22" t="str">
        <f aca="false">IF(AND(ISNUMBER(F3054),ISNUMBER(G3054)),IF(E3054=G3054,15,0),"")</f>
        <v/>
      </c>
      <c r="K3054" s="22" t="str">
        <f aca="false">IF(AND(ISNUMBER(F3054),ISNUMBER(G3054)),IF(ABS(D3054-E3054)=ABS(F3054-G3054),12,0),"")</f>
        <v/>
      </c>
      <c r="L3054" s="23" t="str">
        <f aca="false">IF(ISNUMBER(H3054),H3054+I3054+J3054+K3054,"")</f>
        <v/>
      </c>
    </row>
    <row r="3055" customFormat="false" ht="18" hidden="false" customHeight="true" outlineLevel="0" collapsed="false">
      <c r="A3055" s="25" t="s">
        <v>9</v>
      </c>
      <c r="B3055" s="26" t="s">
        <v>208</v>
      </c>
      <c r="C3055" s="27" t="s">
        <v>27</v>
      </c>
      <c r="D3055" s="28" t="n">
        <v>5</v>
      </c>
      <c r="E3055" s="28" t="n">
        <v>1</v>
      </c>
      <c r="F3055" s="29" t="n">
        <f aca="false">'📋 Matches'!E7</f>
        <v>0</v>
      </c>
      <c r="G3055" s="29" t="n">
        <f aca="false">'📋 Matches'!F7</f>
        <v>0</v>
      </c>
      <c r="H3055" s="22" t="str">
        <f aca="false">IF(AND(ISNUMBER(F3055),ISNUMBER(G3055)),IF(SIGN(D3055-E3055)=SIGN(F3055-G3055),48,0),"")</f>
        <v/>
      </c>
      <c r="I3055" s="22" t="str">
        <f aca="false">IF(AND(ISNUMBER(F3055),ISNUMBER(G3055)),IF(D3055=F3055,15,0),"")</f>
        <v/>
      </c>
      <c r="J3055" s="22" t="str">
        <f aca="false">IF(AND(ISNUMBER(F3055),ISNUMBER(G3055)),IF(E3055=G3055,15,0),"")</f>
        <v/>
      </c>
      <c r="K3055" s="22" t="str">
        <f aca="false">IF(AND(ISNUMBER(F3055),ISNUMBER(G3055)),IF(ABS(D3055-E3055)=ABS(F3055-G3055),12,0),"")</f>
        <v/>
      </c>
      <c r="L3055" s="23" t="str">
        <f aca="false">IF(ISNUMBER(H3055),H3055+I3055+J3055+K3055,"")</f>
        <v/>
      </c>
    </row>
    <row r="3056" customFormat="false" ht="18" hidden="false" customHeight="true" outlineLevel="0" collapsed="false">
      <c r="A3056" s="25" t="s">
        <v>9</v>
      </c>
      <c r="B3056" s="26" t="s">
        <v>208</v>
      </c>
      <c r="C3056" s="27" t="s">
        <v>30</v>
      </c>
      <c r="D3056" s="28" t="n">
        <v>1</v>
      </c>
      <c r="E3056" s="28" t="n">
        <v>3</v>
      </c>
      <c r="F3056" s="29" t="n">
        <f aca="false">'📋 Matches'!E8</f>
        <v>0</v>
      </c>
      <c r="G3056" s="29" t="n">
        <f aca="false">'📋 Matches'!F8</f>
        <v>0</v>
      </c>
      <c r="H3056" s="22" t="str">
        <f aca="false">IF(AND(ISNUMBER(F3056),ISNUMBER(G3056)),IF(SIGN(D3056-E3056)=SIGN(F3056-G3056),48,0),"")</f>
        <v/>
      </c>
      <c r="I3056" s="22" t="str">
        <f aca="false">IF(AND(ISNUMBER(F3056),ISNUMBER(G3056)),IF(D3056=F3056,15,0),"")</f>
        <v/>
      </c>
      <c r="J3056" s="22" t="str">
        <f aca="false">IF(AND(ISNUMBER(F3056),ISNUMBER(G3056)),IF(E3056=G3056,15,0),"")</f>
        <v/>
      </c>
      <c r="K3056" s="22" t="str">
        <f aca="false">IF(AND(ISNUMBER(F3056),ISNUMBER(G3056)),IF(ABS(D3056-E3056)=ABS(F3056-G3056),12,0),"")</f>
        <v/>
      </c>
      <c r="L3056" s="23" t="str">
        <f aca="false">IF(ISNUMBER(H3056),H3056+I3056+J3056+K3056,"")</f>
        <v/>
      </c>
    </row>
    <row r="3057" customFormat="false" ht="18" hidden="false" customHeight="true" outlineLevel="0" collapsed="false">
      <c r="A3057" s="25" t="s">
        <v>9</v>
      </c>
      <c r="B3057" s="26" t="s">
        <v>208</v>
      </c>
      <c r="C3057" s="27" t="s">
        <v>33</v>
      </c>
      <c r="D3057" s="28" t="n">
        <v>2</v>
      </c>
      <c r="E3057" s="28" t="n">
        <v>2</v>
      </c>
      <c r="F3057" s="29" t="n">
        <f aca="false">'📋 Matches'!E9</f>
        <v>0</v>
      </c>
      <c r="G3057" s="29" t="n">
        <f aca="false">'📋 Matches'!F9</f>
        <v>0</v>
      </c>
      <c r="H3057" s="22" t="str">
        <f aca="false">IF(AND(ISNUMBER(F3057),ISNUMBER(G3057)),IF(SIGN(D3057-E3057)=SIGN(F3057-G3057),48,0),"")</f>
        <v/>
      </c>
      <c r="I3057" s="22" t="str">
        <f aca="false">IF(AND(ISNUMBER(F3057),ISNUMBER(G3057)),IF(D3057=F3057,15,0),"")</f>
        <v/>
      </c>
      <c r="J3057" s="22" t="str">
        <f aca="false">IF(AND(ISNUMBER(F3057),ISNUMBER(G3057)),IF(E3057=G3057,15,0),"")</f>
        <v/>
      </c>
      <c r="K3057" s="22" t="str">
        <f aca="false">IF(AND(ISNUMBER(F3057),ISNUMBER(G3057)),IF(ABS(D3057-E3057)=ABS(F3057-G3057),12,0),"")</f>
        <v/>
      </c>
      <c r="L3057" s="23" t="str">
        <f aca="false">IF(ISNUMBER(H3057),H3057+I3057+J3057+K3057,"")</f>
        <v/>
      </c>
    </row>
    <row r="3058" customFormat="false" ht="18" hidden="false" customHeight="true" outlineLevel="0" collapsed="false">
      <c r="A3058" s="25" t="s">
        <v>9</v>
      </c>
      <c r="B3058" s="26" t="s">
        <v>208</v>
      </c>
      <c r="C3058" s="27" t="s">
        <v>36</v>
      </c>
      <c r="D3058" s="28" t="n">
        <v>4</v>
      </c>
      <c r="E3058" s="28" t="n">
        <v>0</v>
      </c>
      <c r="F3058" s="29" t="n">
        <f aca="false">'📋 Matches'!E10</f>
        <v>0</v>
      </c>
      <c r="G3058" s="29" t="n">
        <f aca="false">'📋 Matches'!F10</f>
        <v>0</v>
      </c>
      <c r="H3058" s="22" t="str">
        <f aca="false">IF(AND(ISNUMBER(F3058),ISNUMBER(G3058)),IF(SIGN(D3058-E3058)=SIGN(F3058-G3058),48,0),"")</f>
        <v/>
      </c>
      <c r="I3058" s="22" t="str">
        <f aca="false">IF(AND(ISNUMBER(F3058),ISNUMBER(G3058)),IF(D3058=F3058,15,0),"")</f>
        <v/>
      </c>
      <c r="J3058" s="22" t="str">
        <f aca="false">IF(AND(ISNUMBER(F3058),ISNUMBER(G3058)),IF(E3058=G3058,15,0),"")</f>
        <v/>
      </c>
      <c r="K3058" s="22" t="str">
        <f aca="false">IF(AND(ISNUMBER(F3058),ISNUMBER(G3058)),IF(ABS(D3058-E3058)=ABS(F3058-G3058),12,0),"")</f>
        <v/>
      </c>
      <c r="L3058" s="23" t="str">
        <f aca="false">IF(ISNUMBER(H3058),H3058+I3058+J3058+K3058,"")</f>
        <v/>
      </c>
    </row>
    <row r="3059" customFormat="false" ht="18" hidden="false" customHeight="true" outlineLevel="0" collapsed="false">
      <c r="A3059" s="25" t="s">
        <v>9</v>
      </c>
      <c r="B3059" s="26" t="s">
        <v>208</v>
      </c>
      <c r="C3059" s="27" t="s">
        <v>39</v>
      </c>
      <c r="D3059" s="28" t="n">
        <v>2</v>
      </c>
      <c r="E3059" s="28" t="n">
        <v>0</v>
      </c>
      <c r="F3059" s="29" t="n">
        <f aca="false">'📋 Matches'!E11</f>
        <v>0</v>
      </c>
      <c r="G3059" s="29" t="n">
        <f aca="false">'📋 Matches'!F11</f>
        <v>0</v>
      </c>
      <c r="H3059" s="22" t="str">
        <f aca="false">IF(AND(ISNUMBER(F3059),ISNUMBER(G3059)),IF(SIGN(D3059-E3059)=SIGN(F3059-G3059),48,0),"")</f>
        <v/>
      </c>
      <c r="I3059" s="22" t="str">
        <f aca="false">IF(AND(ISNUMBER(F3059),ISNUMBER(G3059)),IF(D3059=F3059,15,0),"")</f>
        <v/>
      </c>
      <c r="J3059" s="22" t="str">
        <f aca="false">IF(AND(ISNUMBER(F3059),ISNUMBER(G3059)),IF(E3059=G3059,15,0),"")</f>
        <v/>
      </c>
      <c r="K3059" s="22" t="str">
        <f aca="false">IF(AND(ISNUMBER(F3059),ISNUMBER(G3059)),IF(ABS(D3059-E3059)=ABS(F3059-G3059),12,0),"")</f>
        <v/>
      </c>
      <c r="L3059" s="23" t="str">
        <f aca="false">IF(ISNUMBER(H3059),H3059+I3059+J3059+K3059,"")</f>
        <v/>
      </c>
    </row>
    <row r="3060" customFormat="false" ht="18" hidden="false" customHeight="true" outlineLevel="0" collapsed="false">
      <c r="A3060" s="25" t="s">
        <v>9</v>
      </c>
      <c r="B3060" s="26" t="s">
        <v>208</v>
      </c>
      <c r="C3060" s="27" t="s">
        <v>42</v>
      </c>
      <c r="D3060" s="28" t="n">
        <v>0</v>
      </c>
      <c r="E3060" s="28" t="n">
        <v>0</v>
      </c>
      <c r="F3060" s="29" t="n">
        <f aca="false">'📋 Matches'!E12</f>
        <v>0</v>
      </c>
      <c r="G3060" s="29" t="n">
        <f aca="false">'📋 Matches'!F12</f>
        <v>0</v>
      </c>
      <c r="H3060" s="22" t="str">
        <f aca="false">IF(AND(ISNUMBER(F3060),ISNUMBER(G3060)),IF(SIGN(D3060-E3060)=SIGN(F3060-G3060),48,0),"")</f>
        <v/>
      </c>
      <c r="I3060" s="22" t="str">
        <f aca="false">IF(AND(ISNUMBER(F3060),ISNUMBER(G3060)),IF(D3060=F3060,15,0),"")</f>
        <v/>
      </c>
      <c r="J3060" s="22" t="str">
        <f aca="false">IF(AND(ISNUMBER(F3060),ISNUMBER(G3060)),IF(E3060=G3060,15,0),"")</f>
        <v/>
      </c>
      <c r="K3060" s="22" t="str">
        <f aca="false">IF(AND(ISNUMBER(F3060),ISNUMBER(G3060)),IF(ABS(D3060-E3060)=ABS(F3060-G3060),12,0),"")</f>
        <v/>
      </c>
      <c r="L3060" s="23" t="str">
        <f aca="false">IF(ISNUMBER(H3060),H3060+I3060+J3060+K3060,"")</f>
        <v/>
      </c>
    </row>
    <row r="3061" customFormat="false" ht="18" hidden="false" customHeight="true" outlineLevel="0" collapsed="false">
      <c r="A3061" s="25" t="s">
        <v>9</v>
      </c>
      <c r="B3061" s="26" t="s">
        <v>208</v>
      </c>
      <c r="C3061" s="27" t="s">
        <v>45</v>
      </c>
      <c r="D3061" s="28" t="n">
        <v>1</v>
      </c>
      <c r="E3061" s="28" t="n">
        <v>0</v>
      </c>
      <c r="F3061" s="29" t="n">
        <f aca="false">'📋 Matches'!E13</f>
        <v>0</v>
      </c>
      <c r="G3061" s="29" t="n">
        <f aca="false">'📋 Matches'!F13</f>
        <v>0</v>
      </c>
      <c r="H3061" s="22" t="str">
        <f aca="false">IF(AND(ISNUMBER(F3061),ISNUMBER(G3061)),IF(SIGN(D3061-E3061)=SIGN(F3061-G3061),48,0),"")</f>
        <v/>
      </c>
      <c r="I3061" s="22" t="str">
        <f aca="false">IF(AND(ISNUMBER(F3061),ISNUMBER(G3061)),IF(D3061=F3061,15,0),"")</f>
        <v/>
      </c>
      <c r="J3061" s="22" t="str">
        <f aca="false">IF(AND(ISNUMBER(F3061),ISNUMBER(G3061)),IF(E3061=G3061,15,0),"")</f>
        <v/>
      </c>
      <c r="K3061" s="22" t="str">
        <f aca="false">IF(AND(ISNUMBER(F3061),ISNUMBER(G3061)),IF(ABS(D3061-E3061)=ABS(F3061-G3061),12,0),"")</f>
        <v/>
      </c>
      <c r="L3061" s="23" t="str">
        <f aca="false">IF(ISNUMBER(H3061),H3061+I3061+J3061+K3061,"")</f>
        <v/>
      </c>
    </row>
    <row r="3062" customFormat="false" ht="18" hidden="false" customHeight="true" outlineLevel="0" collapsed="false">
      <c r="A3062" s="25" t="s">
        <v>9</v>
      </c>
      <c r="B3062" s="26" t="s">
        <v>208</v>
      </c>
      <c r="C3062" s="27" t="s">
        <v>48</v>
      </c>
      <c r="D3062" s="28" t="n">
        <v>4</v>
      </c>
      <c r="E3062" s="28" t="n">
        <v>0</v>
      </c>
      <c r="F3062" s="29" t="n">
        <f aca="false">'📋 Matches'!E14</f>
        <v>0</v>
      </c>
      <c r="G3062" s="29" t="n">
        <f aca="false">'📋 Matches'!F14</f>
        <v>0</v>
      </c>
      <c r="H3062" s="22" t="str">
        <f aca="false">IF(AND(ISNUMBER(F3062),ISNUMBER(G3062)),IF(SIGN(D3062-E3062)=SIGN(F3062-G3062),48,0),"")</f>
        <v/>
      </c>
      <c r="I3062" s="22" t="str">
        <f aca="false">IF(AND(ISNUMBER(F3062),ISNUMBER(G3062)),IF(D3062=F3062,15,0),"")</f>
        <v/>
      </c>
      <c r="J3062" s="22" t="str">
        <f aca="false">IF(AND(ISNUMBER(F3062),ISNUMBER(G3062)),IF(E3062=G3062,15,0),"")</f>
        <v/>
      </c>
      <c r="K3062" s="22" t="str">
        <f aca="false">IF(AND(ISNUMBER(F3062),ISNUMBER(G3062)),IF(ABS(D3062-E3062)=ABS(F3062-G3062),12,0),"")</f>
        <v/>
      </c>
      <c r="L3062" s="23" t="str">
        <f aca="false">IF(ISNUMBER(H3062),H3062+I3062+J3062+K3062,"")</f>
        <v/>
      </c>
    </row>
    <row r="3063" customFormat="false" ht="18" hidden="false" customHeight="true" outlineLevel="0" collapsed="false">
      <c r="A3063" s="25" t="s">
        <v>9</v>
      </c>
      <c r="B3063" s="26" t="s">
        <v>208</v>
      </c>
      <c r="C3063" s="27" t="s">
        <v>51</v>
      </c>
      <c r="D3063" s="28" t="n">
        <v>2</v>
      </c>
      <c r="E3063" s="28" t="n">
        <v>1</v>
      </c>
      <c r="F3063" s="29" t="n">
        <f aca="false">'📋 Matches'!E15</f>
        <v>0</v>
      </c>
      <c r="G3063" s="29" t="n">
        <f aca="false">'📋 Matches'!F15</f>
        <v>0</v>
      </c>
      <c r="H3063" s="22" t="str">
        <f aca="false">IF(AND(ISNUMBER(F3063),ISNUMBER(G3063)),IF(SIGN(D3063-E3063)=SIGN(F3063-G3063),48,0),"")</f>
        <v/>
      </c>
      <c r="I3063" s="22" t="str">
        <f aca="false">IF(AND(ISNUMBER(F3063),ISNUMBER(G3063)),IF(D3063=F3063,15,0),"")</f>
        <v/>
      </c>
      <c r="J3063" s="22" t="str">
        <f aca="false">IF(AND(ISNUMBER(F3063),ISNUMBER(G3063)),IF(E3063=G3063,15,0),"")</f>
        <v/>
      </c>
      <c r="K3063" s="22" t="str">
        <f aca="false">IF(AND(ISNUMBER(F3063),ISNUMBER(G3063)),IF(ABS(D3063-E3063)=ABS(F3063-G3063),12,0),"")</f>
        <v/>
      </c>
      <c r="L3063" s="23" t="str">
        <f aca="false">IF(ISNUMBER(H3063),H3063+I3063+J3063+K3063,"")</f>
        <v/>
      </c>
    </row>
    <row r="3064" customFormat="false" ht="18" hidden="false" customHeight="true" outlineLevel="0" collapsed="false">
      <c r="A3064" s="25" t="s">
        <v>9</v>
      </c>
      <c r="B3064" s="26" t="s">
        <v>208</v>
      </c>
      <c r="C3064" s="27" t="s">
        <v>54</v>
      </c>
      <c r="D3064" s="28" t="n">
        <v>0</v>
      </c>
      <c r="E3064" s="28" t="n">
        <v>2</v>
      </c>
      <c r="F3064" s="29" t="n">
        <f aca="false">'📋 Matches'!E16</f>
        <v>0</v>
      </c>
      <c r="G3064" s="29" t="n">
        <f aca="false">'📋 Matches'!F16</f>
        <v>0</v>
      </c>
      <c r="H3064" s="22" t="str">
        <f aca="false">IF(AND(ISNUMBER(F3064),ISNUMBER(G3064)),IF(SIGN(D3064-E3064)=SIGN(F3064-G3064),48,0),"")</f>
        <v/>
      </c>
      <c r="I3064" s="22" t="str">
        <f aca="false">IF(AND(ISNUMBER(F3064),ISNUMBER(G3064)),IF(D3064=F3064,15,0),"")</f>
        <v/>
      </c>
      <c r="J3064" s="22" t="str">
        <f aca="false">IF(AND(ISNUMBER(F3064),ISNUMBER(G3064)),IF(E3064=G3064,15,0),"")</f>
        <v/>
      </c>
      <c r="K3064" s="22" t="str">
        <f aca="false">IF(AND(ISNUMBER(F3064),ISNUMBER(G3064)),IF(ABS(D3064-E3064)=ABS(F3064-G3064),12,0),"")</f>
        <v/>
      </c>
      <c r="L3064" s="23" t="str">
        <f aca="false">IF(ISNUMBER(H3064),H3064+I3064+J3064+K3064,"")</f>
        <v/>
      </c>
    </row>
    <row r="3065" customFormat="false" ht="18" hidden="false" customHeight="true" outlineLevel="0" collapsed="false">
      <c r="A3065" s="25" t="s">
        <v>9</v>
      </c>
      <c r="B3065" s="26" t="s">
        <v>208</v>
      </c>
      <c r="C3065" s="27" t="s">
        <v>57</v>
      </c>
      <c r="D3065" s="28" t="n">
        <v>0</v>
      </c>
      <c r="E3065" s="28" t="n">
        <v>1</v>
      </c>
      <c r="F3065" s="29" t="n">
        <f aca="false">'📋 Matches'!E17</f>
        <v>0</v>
      </c>
      <c r="G3065" s="29" t="n">
        <f aca="false">'📋 Matches'!F17</f>
        <v>0</v>
      </c>
      <c r="H3065" s="22" t="str">
        <f aca="false">IF(AND(ISNUMBER(F3065),ISNUMBER(G3065)),IF(SIGN(D3065-E3065)=SIGN(F3065-G3065),48,0),"")</f>
        <v/>
      </c>
      <c r="I3065" s="22" t="str">
        <f aca="false">IF(AND(ISNUMBER(F3065),ISNUMBER(G3065)),IF(D3065=F3065,15,0),"")</f>
        <v/>
      </c>
      <c r="J3065" s="22" t="str">
        <f aca="false">IF(AND(ISNUMBER(F3065),ISNUMBER(G3065)),IF(E3065=G3065,15,0),"")</f>
        <v/>
      </c>
      <c r="K3065" s="22" t="str">
        <f aca="false">IF(AND(ISNUMBER(F3065),ISNUMBER(G3065)),IF(ABS(D3065-E3065)=ABS(F3065-G3065),12,0),"")</f>
        <v/>
      </c>
      <c r="L3065" s="23" t="str">
        <f aca="false">IF(ISNUMBER(H3065),H3065+I3065+J3065+K3065,"")</f>
        <v/>
      </c>
    </row>
    <row r="3066" customFormat="false" ht="18" hidden="false" customHeight="true" outlineLevel="0" collapsed="false">
      <c r="A3066" s="25" t="s">
        <v>9</v>
      </c>
      <c r="B3066" s="26" t="s">
        <v>208</v>
      </c>
      <c r="C3066" s="27" t="s">
        <v>60</v>
      </c>
      <c r="D3066" s="28" t="n">
        <v>4</v>
      </c>
      <c r="E3066" s="28" t="n">
        <v>1</v>
      </c>
      <c r="F3066" s="29" t="n">
        <f aca="false">'📋 Matches'!E18</f>
        <v>0</v>
      </c>
      <c r="G3066" s="29" t="n">
        <f aca="false">'📋 Matches'!F18</f>
        <v>0</v>
      </c>
      <c r="H3066" s="22" t="str">
        <f aca="false">IF(AND(ISNUMBER(F3066),ISNUMBER(G3066)),IF(SIGN(D3066-E3066)=SIGN(F3066-G3066),48,0),"")</f>
        <v/>
      </c>
      <c r="I3066" s="22" t="str">
        <f aca="false">IF(AND(ISNUMBER(F3066),ISNUMBER(G3066)),IF(D3066=F3066,15,0),"")</f>
        <v/>
      </c>
      <c r="J3066" s="22" t="str">
        <f aca="false">IF(AND(ISNUMBER(F3066),ISNUMBER(G3066)),IF(E3066=G3066,15,0),"")</f>
        <v/>
      </c>
      <c r="K3066" s="22" t="str">
        <f aca="false">IF(AND(ISNUMBER(F3066),ISNUMBER(G3066)),IF(ABS(D3066-E3066)=ABS(F3066-G3066),12,0),"")</f>
        <v/>
      </c>
      <c r="L3066" s="23" t="str">
        <f aca="false">IF(ISNUMBER(H3066),H3066+I3066+J3066+K3066,"")</f>
        <v/>
      </c>
    </row>
    <row r="3067" customFormat="false" ht="18" hidden="false" customHeight="true" outlineLevel="0" collapsed="false">
      <c r="A3067" s="25" t="s">
        <v>9</v>
      </c>
      <c r="B3067" s="26" t="s">
        <v>208</v>
      </c>
      <c r="C3067" s="27" t="s">
        <v>63</v>
      </c>
      <c r="D3067" s="28" t="n">
        <v>1</v>
      </c>
      <c r="E3067" s="28" t="n">
        <v>3</v>
      </c>
      <c r="F3067" s="29" t="n">
        <f aca="false">'📋 Matches'!E19</f>
        <v>0</v>
      </c>
      <c r="G3067" s="29" t="n">
        <f aca="false">'📋 Matches'!F19</f>
        <v>0</v>
      </c>
      <c r="H3067" s="22" t="str">
        <f aca="false">IF(AND(ISNUMBER(F3067),ISNUMBER(G3067)),IF(SIGN(D3067-E3067)=SIGN(F3067-G3067),48,0),"")</f>
        <v/>
      </c>
      <c r="I3067" s="22" t="str">
        <f aca="false">IF(AND(ISNUMBER(F3067),ISNUMBER(G3067)),IF(D3067=F3067,15,0),"")</f>
        <v/>
      </c>
      <c r="J3067" s="22" t="str">
        <f aca="false">IF(AND(ISNUMBER(F3067),ISNUMBER(G3067)),IF(E3067=G3067,15,0),"")</f>
        <v/>
      </c>
      <c r="K3067" s="22" t="str">
        <f aca="false">IF(AND(ISNUMBER(F3067),ISNUMBER(G3067)),IF(ABS(D3067-E3067)=ABS(F3067-G3067),12,0),"")</f>
        <v/>
      </c>
      <c r="L3067" s="23" t="str">
        <f aca="false">IF(ISNUMBER(H3067),H3067+I3067+J3067+K3067,"")</f>
        <v/>
      </c>
    </row>
    <row r="3068" customFormat="false" ht="18" hidden="false" customHeight="true" outlineLevel="0" collapsed="false">
      <c r="A3068" s="25" t="s">
        <v>9</v>
      </c>
      <c r="B3068" s="26" t="s">
        <v>208</v>
      </c>
      <c r="C3068" s="27" t="s">
        <v>66</v>
      </c>
      <c r="D3068" s="28" t="n">
        <v>5</v>
      </c>
      <c r="E3068" s="28" t="n">
        <v>0</v>
      </c>
      <c r="F3068" s="29" t="n">
        <f aca="false">'📋 Matches'!E20</f>
        <v>0</v>
      </c>
      <c r="G3068" s="29" t="n">
        <f aca="false">'📋 Matches'!F20</f>
        <v>0</v>
      </c>
      <c r="H3068" s="22" t="str">
        <f aca="false">IF(AND(ISNUMBER(F3068),ISNUMBER(G3068)),IF(SIGN(D3068-E3068)=SIGN(F3068-G3068),48,0),"")</f>
        <v/>
      </c>
      <c r="I3068" s="22" t="str">
        <f aca="false">IF(AND(ISNUMBER(F3068),ISNUMBER(G3068)),IF(D3068=F3068,15,0),"")</f>
        <v/>
      </c>
      <c r="J3068" s="22" t="str">
        <f aca="false">IF(AND(ISNUMBER(F3068),ISNUMBER(G3068)),IF(E3068=G3068,15,0),"")</f>
        <v/>
      </c>
      <c r="K3068" s="22" t="str">
        <f aca="false">IF(AND(ISNUMBER(F3068),ISNUMBER(G3068)),IF(ABS(D3068-E3068)=ABS(F3068-G3068),12,0),"")</f>
        <v/>
      </c>
      <c r="L3068" s="23" t="str">
        <f aca="false">IF(ISNUMBER(H3068),H3068+I3068+J3068+K3068,"")</f>
        <v/>
      </c>
    </row>
    <row r="3069" customFormat="false" ht="18" hidden="false" customHeight="true" outlineLevel="0" collapsed="false">
      <c r="A3069" s="25" t="s">
        <v>9</v>
      </c>
      <c r="B3069" s="26" t="s">
        <v>208</v>
      </c>
      <c r="C3069" s="27" t="s">
        <v>69</v>
      </c>
      <c r="D3069" s="28" t="n">
        <v>1</v>
      </c>
      <c r="E3069" s="28" t="n">
        <v>0</v>
      </c>
      <c r="F3069" s="29" t="n">
        <f aca="false">'📋 Matches'!E21</f>
        <v>0</v>
      </c>
      <c r="G3069" s="29" t="n">
        <f aca="false">'📋 Matches'!F21</f>
        <v>0</v>
      </c>
      <c r="H3069" s="22" t="str">
        <f aca="false">IF(AND(ISNUMBER(F3069),ISNUMBER(G3069)),IF(SIGN(D3069-E3069)=SIGN(F3069-G3069),48,0),"")</f>
        <v/>
      </c>
      <c r="I3069" s="22" t="str">
        <f aca="false">IF(AND(ISNUMBER(F3069),ISNUMBER(G3069)),IF(D3069=F3069,15,0),"")</f>
        <v/>
      </c>
      <c r="J3069" s="22" t="str">
        <f aca="false">IF(AND(ISNUMBER(F3069),ISNUMBER(G3069)),IF(E3069=G3069,15,0),"")</f>
        <v/>
      </c>
      <c r="K3069" s="22" t="str">
        <f aca="false">IF(AND(ISNUMBER(F3069),ISNUMBER(G3069)),IF(ABS(D3069-E3069)=ABS(F3069-G3069),12,0),"")</f>
        <v/>
      </c>
      <c r="L3069" s="23" t="str">
        <f aca="false">IF(ISNUMBER(H3069),H3069+I3069+J3069+K3069,"")</f>
        <v/>
      </c>
    </row>
    <row r="3070" customFormat="false" ht="18" hidden="false" customHeight="true" outlineLevel="0" collapsed="false">
      <c r="A3070" s="25" t="s">
        <v>9</v>
      </c>
      <c r="B3070" s="26" t="s">
        <v>208</v>
      </c>
      <c r="C3070" s="27" t="s">
        <v>72</v>
      </c>
      <c r="D3070" s="28" t="n">
        <v>3</v>
      </c>
      <c r="E3070" s="28" t="n">
        <v>1</v>
      </c>
      <c r="F3070" s="29" t="n">
        <f aca="false">'📋 Matches'!E22</f>
        <v>0</v>
      </c>
      <c r="G3070" s="29" t="n">
        <f aca="false">'📋 Matches'!F22</f>
        <v>0</v>
      </c>
      <c r="H3070" s="22" t="str">
        <f aca="false">IF(AND(ISNUMBER(F3070),ISNUMBER(G3070)),IF(SIGN(D3070-E3070)=SIGN(F3070-G3070),48,0),"")</f>
        <v/>
      </c>
      <c r="I3070" s="22" t="str">
        <f aca="false">IF(AND(ISNUMBER(F3070),ISNUMBER(G3070)),IF(D3070=F3070,15,0),"")</f>
        <v/>
      </c>
      <c r="J3070" s="22" t="str">
        <f aca="false">IF(AND(ISNUMBER(F3070),ISNUMBER(G3070)),IF(E3070=G3070,15,0),"")</f>
        <v/>
      </c>
      <c r="K3070" s="22" t="str">
        <f aca="false">IF(AND(ISNUMBER(F3070),ISNUMBER(G3070)),IF(ABS(D3070-E3070)=ABS(F3070-G3070),12,0),"")</f>
        <v/>
      </c>
      <c r="L3070" s="23" t="str">
        <f aca="false">IF(ISNUMBER(H3070),H3070+I3070+J3070+K3070,"")</f>
        <v/>
      </c>
    </row>
    <row r="3071" customFormat="false" ht="18" hidden="false" customHeight="true" outlineLevel="0" collapsed="false">
      <c r="A3071" s="25" t="s">
        <v>9</v>
      </c>
      <c r="B3071" s="26" t="s">
        <v>208</v>
      </c>
      <c r="C3071" s="27" t="s">
        <v>75</v>
      </c>
      <c r="D3071" s="28" t="n">
        <v>4</v>
      </c>
      <c r="E3071" s="28" t="n">
        <v>2</v>
      </c>
      <c r="F3071" s="29" t="n">
        <f aca="false">'📋 Matches'!E23</f>
        <v>0</v>
      </c>
      <c r="G3071" s="29" t="n">
        <f aca="false">'📋 Matches'!F23</f>
        <v>0</v>
      </c>
      <c r="H3071" s="22" t="str">
        <f aca="false">IF(AND(ISNUMBER(F3071),ISNUMBER(G3071)),IF(SIGN(D3071-E3071)=SIGN(F3071-G3071),48,0),"")</f>
        <v/>
      </c>
      <c r="I3071" s="22" t="str">
        <f aca="false">IF(AND(ISNUMBER(F3071),ISNUMBER(G3071)),IF(D3071=F3071,15,0),"")</f>
        <v/>
      </c>
      <c r="J3071" s="22" t="str">
        <f aca="false">IF(AND(ISNUMBER(F3071),ISNUMBER(G3071)),IF(E3071=G3071,15,0),"")</f>
        <v/>
      </c>
      <c r="K3071" s="22" t="str">
        <f aca="false">IF(AND(ISNUMBER(F3071),ISNUMBER(G3071)),IF(ABS(D3071-E3071)=ABS(F3071-G3071),12,0),"")</f>
        <v/>
      </c>
      <c r="L3071" s="23" t="str">
        <f aca="false">IF(ISNUMBER(H3071),H3071+I3071+J3071+K3071,"")</f>
        <v/>
      </c>
    </row>
    <row r="3072" customFormat="false" ht="18" hidden="false" customHeight="true" outlineLevel="0" collapsed="false">
      <c r="A3072" s="25" t="s">
        <v>9</v>
      </c>
      <c r="B3072" s="26" t="s">
        <v>208</v>
      </c>
      <c r="C3072" s="27" t="s">
        <v>78</v>
      </c>
      <c r="D3072" s="28" t="n">
        <v>1</v>
      </c>
      <c r="E3072" s="28" t="n">
        <v>0</v>
      </c>
      <c r="F3072" s="29" t="n">
        <f aca="false">'📋 Matches'!E24</f>
        <v>0</v>
      </c>
      <c r="G3072" s="29" t="n">
        <f aca="false">'📋 Matches'!F24</f>
        <v>0</v>
      </c>
      <c r="H3072" s="22" t="str">
        <f aca="false">IF(AND(ISNUMBER(F3072),ISNUMBER(G3072)),IF(SIGN(D3072-E3072)=SIGN(F3072-G3072),48,0),"")</f>
        <v/>
      </c>
      <c r="I3072" s="22" t="str">
        <f aca="false">IF(AND(ISNUMBER(F3072),ISNUMBER(G3072)),IF(D3072=F3072,15,0),"")</f>
        <v/>
      </c>
      <c r="J3072" s="22" t="str">
        <f aca="false">IF(AND(ISNUMBER(F3072),ISNUMBER(G3072)),IF(E3072=G3072,15,0),"")</f>
        <v/>
      </c>
      <c r="K3072" s="22" t="str">
        <f aca="false">IF(AND(ISNUMBER(F3072),ISNUMBER(G3072)),IF(ABS(D3072-E3072)=ABS(F3072-G3072),12,0),"")</f>
        <v/>
      </c>
      <c r="L3072" s="23" t="str">
        <f aca="false">IF(ISNUMBER(H3072),H3072+I3072+J3072+K3072,"")</f>
        <v/>
      </c>
    </row>
    <row r="3073" customFormat="false" ht="18" hidden="false" customHeight="true" outlineLevel="0" collapsed="false">
      <c r="A3073" s="25" t="s">
        <v>9</v>
      </c>
      <c r="B3073" s="26" t="s">
        <v>208</v>
      </c>
      <c r="C3073" s="27" t="s">
        <v>81</v>
      </c>
      <c r="D3073" s="28" t="n">
        <v>0</v>
      </c>
      <c r="E3073" s="28" t="n">
        <v>2</v>
      </c>
      <c r="F3073" s="29" t="n">
        <f aca="false">'📋 Matches'!E25</f>
        <v>0</v>
      </c>
      <c r="G3073" s="29" t="n">
        <f aca="false">'📋 Matches'!F25</f>
        <v>0</v>
      </c>
      <c r="H3073" s="22" t="str">
        <f aca="false">IF(AND(ISNUMBER(F3073),ISNUMBER(G3073)),IF(SIGN(D3073-E3073)=SIGN(F3073-G3073),48,0),"")</f>
        <v/>
      </c>
      <c r="I3073" s="22" t="str">
        <f aca="false">IF(AND(ISNUMBER(F3073),ISNUMBER(G3073)),IF(D3073=F3073,15,0),"")</f>
        <v/>
      </c>
      <c r="J3073" s="22" t="str">
        <f aca="false">IF(AND(ISNUMBER(F3073),ISNUMBER(G3073)),IF(E3073=G3073,15,0),"")</f>
        <v/>
      </c>
      <c r="K3073" s="22" t="str">
        <f aca="false">IF(AND(ISNUMBER(F3073),ISNUMBER(G3073)),IF(ABS(D3073-E3073)=ABS(F3073-G3073),12,0),"")</f>
        <v/>
      </c>
      <c r="L3073" s="23" t="str">
        <f aca="false">IF(ISNUMBER(H3073),H3073+I3073+J3073+K3073,"")</f>
        <v/>
      </c>
    </row>
    <row r="3074" customFormat="false" ht="18" hidden="false" customHeight="true" outlineLevel="0" collapsed="false">
      <c r="A3074" s="25" t="s">
        <v>84</v>
      </c>
      <c r="B3074" s="26" t="s">
        <v>208</v>
      </c>
      <c r="C3074" s="27" t="s">
        <v>10</v>
      </c>
      <c r="D3074" s="28"/>
      <c r="E3074" s="28"/>
      <c r="F3074" s="30" t="s">
        <v>182</v>
      </c>
      <c r="G3074" s="30" t="s">
        <v>182</v>
      </c>
      <c r="H3074" s="30" t="s">
        <v>182</v>
      </c>
      <c r="I3074" s="30" t="s">
        <v>182</v>
      </c>
      <c r="J3074" s="30" t="s">
        <v>182</v>
      </c>
      <c r="K3074" s="30" t="s">
        <v>182</v>
      </c>
      <c r="L3074" s="30" t="s">
        <v>182</v>
      </c>
    </row>
    <row r="3075" customFormat="false" ht="18" hidden="false" customHeight="true" outlineLevel="0" collapsed="false">
      <c r="A3075" s="25" t="s">
        <v>84</v>
      </c>
      <c r="B3075" s="26" t="s">
        <v>208</v>
      </c>
      <c r="C3075" s="27" t="s">
        <v>14</v>
      </c>
      <c r="D3075" s="28"/>
      <c r="E3075" s="28"/>
      <c r="F3075" s="30" t="s">
        <v>182</v>
      </c>
      <c r="G3075" s="30" t="s">
        <v>182</v>
      </c>
      <c r="H3075" s="30" t="s">
        <v>182</v>
      </c>
      <c r="I3075" s="30" t="s">
        <v>182</v>
      </c>
      <c r="J3075" s="30" t="s">
        <v>182</v>
      </c>
      <c r="K3075" s="30" t="s">
        <v>182</v>
      </c>
      <c r="L3075" s="30" t="s">
        <v>182</v>
      </c>
    </row>
    <row r="3076" customFormat="false" ht="18" hidden="false" customHeight="true" outlineLevel="0" collapsed="false">
      <c r="A3076" s="25" t="s">
        <v>84</v>
      </c>
      <c r="B3076" s="26" t="s">
        <v>208</v>
      </c>
      <c r="C3076" s="27" t="s">
        <v>17</v>
      </c>
      <c r="D3076" s="28"/>
      <c r="E3076" s="28"/>
      <c r="F3076" s="30" t="s">
        <v>182</v>
      </c>
      <c r="G3076" s="30" t="s">
        <v>182</v>
      </c>
      <c r="H3076" s="30" t="s">
        <v>182</v>
      </c>
      <c r="I3076" s="30" t="s">
        <v>182</v>
      </c>
      <c r="J3076" s="30" t="s">
        <v>182</v>
      </c>
      <c r="K3076" s="30" t="s">
        <v>182</v>
      </c>
      <c r="L3076" s="30" t="s">
        <v>182</v>
      </c>
    </row>
    <row r="3077" customFormat="false" ht="18" hidden="false" customHeight="true" outlineLevel="0" collapsed="false">
      <c r="A3077" s="25" t="s">
        <v>84</v>
      </c>
      <c r="B3077" s="26" t="s">
        <v>208</v>
      </c>
      <c r="C3077" s="27" t="s">
        <v>20</v>
      </c>
      <c r="D3077" s="28"/>
      <c r="E3077" s="28"/>
      <c r="F3077" s="30" t="s">
        <v>182</v>
      </c>
      <c r="G3077" s="30" t="s">
        <v>182</v>
      </c>
      <c r="H3077" s="30" t="s">
        <v>182</v>
      </c>
      <c r="I3077" s="30" t="s">
        <v>182</v>
      </c>
      <c r="J3077" s="30" t="s">
        <v>182</v>
      </c>
      <c r="K3077" s="30" t="s">
        <v>182</v>
      </c>
      <c r="L3077" s="30" t="s">
        <v>182</v>
      </c>
    </row>
    <row r="3078" customFormat="false" ht="18" hidden="false" customHeight="true" outlineLevel="0" collapsed="false">
      <c r="A3078" s="25" t="s">
        <v>84</v>
      </c>
      <c r="B3078" s="26" t="s">
        <v>208</v>
      </c>
      <c r="C3078" s="27" t="s">
        <v>23</v>
      </c>
      <c r="D3078" s="28"/>
      <c r="E3078" s="28"/>
      <c r="F3078" s="30" t="s">
        <v>182</v>
      </c>
      <c r="G3078" s="30" t="s">
        <v>182</v>
      </c>
      <c r="H3078" s="30" t="s">
        <v>182</v>
      </c>
      <c r="I3078" s="30" t="s">
        <v>182</v>
      </c>
      <c r="J3078" s="30" t="s">
        <v>182</v>
      </c>
      <c r="K3078" s="30" t="s">
        <v>182</v>
      </c>
      <c r="L3078" s="30" t="s">
        <v>182</v>
      </c>
    </row>
    <row r="3079" customFormat="false" ht="18" hidden="false" customHeight="true" outlineLevel="0" collapsed="false">
      <c r="A3079" s="25" t="s">
        <v>84</v>
      </c>
      <c r="B3079" s="26" t="s">
        <v>208</v>
      </c>
      <c r="C3079" s="27" t="s">
        <v>27</v>
      </c>
      <c r="D3079" s="28"/>
      <c r="E3079" s="28"/>
      <c r="F3079" s="30" t="s">
        <v>182</v>
      </c>
      <c r="G3079" s="30" t="s">
        <v>182</v>
      </c>
      <c r="H3079" s="30" t="s">
        <v>182</v>
      </c>
      <c r="I3079" s="30" t="s">
        <v>182</v>
      </c>
      <c r="J3079" s="30" t="s">
        <v>182</v>
      </c>
      <c r="K3079" s="30" t="s">
        <v>182</v>
      </c>
      <c r="L3079" s="30" t="s">
        <v>182</v>
      </c>
    </row>
    <row r="3080" customFormat="false" ht="18" hidden="false" customHeight="true" outlineLevel="0" collapsed="false">
      <c r="A3080" s="25" t="s">
        <v>84</v>
      </c>
      <c r="B3080" s="26" t="s">
        <v>208</v>
      </c>
      <c r="C3080" s="27" t="s">
        <v>30</v>
      </c>
      <c r="D3080" s="28"/>
      <c r="E3080" s="28"/>
      <c r="F3080" s="30" t="s">
        <v>182</v>
      </c>
      <c r="G3080" s="30" t="s">
        <v>182</v>
      </c>
      <c r="H3080" s="30" t="s">
        <v>182</v>
      </c>
      <c r="I3080" s="30" t="s">
        <v>182</v>
      </c>
      <c r="J3080" s="30" t="s">
        <v>182</v>
      </c>
      <c r="K3080" s="30" t="s">
        <v>182</v>
      </c>
      <c r="L3080" s="30" t="s">
        <v>182</v>
      </c>
    </row>
    <row r="3081" customFormat="false" ht="18" hidden="false" customHeight="true" outlineLevel="0" collapsed="false">
      <c r="A3081" s="25" t="s">
        <v>84</v>
      </c>
      <c r="B3081" s="26" t="s">
        <v>208</v>
      </c>
      <c r="C3081" s="27" t="s">
        <v>33</v>
      </c>
      <c r="D3081" s="28"/>
      <c r="E3081" s="28"/>
      <c r="F3081" s="30" t="s">
        <v>182</v>
      </c>
      <c r="G3081" s="30" t="s">
        <v>182</v>
      </c>
      <c r="H3081" s="30" t="s">
        <v>182</v>
      </c>
      <c r="I3081" s="30" t="s">
        <v>182</v>
      </c>
      <c r="J3081" s="30" t="s">
        <v>182</v>
      </c>
      <c r="K3081" s="30" t="s">
        <v>182</v>
      </c>
      <c r="L3081" s="30" t="s">
        <v>182</v>
      </c>
    </row>
    <row r="3082" customFormat="false" ht="18" hidden="false" customHeight="true" outlineLevel="0" collapsed="false">
      <c r="A3082" s="25" t="s">
        <v>84</v>
      </c>
      <c r="B3082" s="26" t="s">
        <v>208</v>
      </c>
      <c r="C3082" s="27" t="s">
        <v>36</v>
      </c>
      <c r="D3082" s="28"/>
      <c r="E3082" s="28"/>
      <c r="F3082" s="30" t="s">
        <v>182</v>
      </c>
      <c r="G3082" s="30" t="s">
        <v>182</v>
      </c>
      <c r="H3082" s="30" t="s">
        <v>182</v>
      </c>
      <c r="I3082" s="30" t="s">
        <v>182</v>
      </c>
      <c r="J3082" s="30" t="s">
        <v>182</v>
      </c>
      <c r="K3082" s="30" t="s">
        <v>182</v>
      </c>
      <c r="L3082" s="30" t="s">
        <v>182</v>
      </c>
    </row>
    <row r="3083" customFormat="false" ht="18" hidden="false" customHeight="true" outlineLevel="0" collapsed="false">
      <c r="A3083" s="25" t="s">
        <v>84</v>
      </c>
      <c r="B3083" s="26" t="s">
        <v>208</v>
      </c>
      <c r="C3083" s="27" t="s">
        <v>39</v>
      </c>
      <c r="D3083" s="28"/>
      <c r="E3083" s="28"/>
      <c r="F3083" s="30" t="s">
        <v>182</v>
      </c>
      <c r="G3083" s="30" t="s">
        <v>182</v>
      </c>
      <c r="H3083" s="30" t="s">
        <v>182</v>
      </c>
      <c r="I3083" s="30" t="s">
        <v>182</v>
      </c>
      <c r="J3083" s="30" t="s">
        <v>182</v>
      </c>
      <c r="K3083" s="30" t="s">
        <v>182</v>
      </c>
      <c r="L3083" s="30" t="s">
        <v>182</v>
      </c>
    </row>
    <row r="3084" customFormat="false" ht="18" hidden="false" customHeight="true" outlineLevel="0" collapsed="false">
      <c r="A3084" s="25" t="s">
        <v>84</v>
      </c>
      <c r="B3084" s="26" t="s">
        <v>208</v>
      </c>
      <c r="C3084" s="27" t="s">
        <v>42</v>
      </c>
      <c r="D3084" s="28"/>
      <c r="E3084" s="28"/>
      <c r="F3084" s="30" t="s">
        <v>182</v>
      </c>
      <c r="G3084" s="30" t="s">
        <v>182</v>
      </c>
      <c r="H3084" s="30" t="s">
        <v>182</v>
      </c>
      <c r="I3084" s="30" t="s">
        <v>182</v>
      </c>
      <c r="J3084" s="30" t="s">
        <v>182</v>
      </c>
      <c r="K3084" s="30" t="s">
        <v>182</v>
      </c>
      <c r="L3084" s="30" t="s">
        <v>182</v>
      </c>
    </row>
    <row r="3085" customFormat="false" ht="18" hidden="false" customHeight="true" outlineLevel="0" collapsed="false">
      <c r="A3085" s="25" t="s">
        <v>84</v>
      </c>
      <c r="B3085" s="26" t="s">
        <v>208</v>
      </c>
      <c r="C3085" s="27" t="s">
        <v>45</v>
      </c>
      <c r="D3085" s="28"/>
      <c r="E3085" s="28"/>
      <c r="F3085" s="30" t="s">
        <v>182</v>
      </c>
      <c r="G3085" s="30" t="s">
        <v>182</v>
      </c>
      <c r="H3085" s="30" t="s">
        <v>182</v>
      </c>
      <c r="I3085" s="30" t="s">
        <v>182</v>
      </c>
      <c r="J3085" s="30" t="s">
        <v>182</v>
      </c>
      <c r="K3085" s="30" t="s">
        <v>182</v>
      </c>
      <c r="L3085" s="30" t="s">
        <v>182</v>
      </c>
    </row>
    <row r="3086" customFormat="false" ht="18" hidden="false" customHeight="true" outlineLevel="0" collapsed="false">
      <c r="A3086" s="25" t="s">
        <v>84</v>
      </c>
      <c r="B3086" s="26" t="s">
        <v>208</v>
      </c>
      <c r="C3086" s="27" t="s">
        <v>48</v>
      </c>
      <c r="D3086" s="28"/>
      <c r="E3086" s="28"/>
      <c r="F3086" s="30" t="s">
        <v>182</v>
      </c>
      <c r="G3086" s="30" t="s">
        <v>182</v>
      </c>
      <c r="H3086" s="30" t="s">
        <v>182</v>
      </c>
      <c r="I3086" s="30" t="s">
        <v>182</v>
      </c>
      <c r="J3086" s="30" t="s">
        <v>182</v>
      </c>
      <c r="K3086" s="30" t="s">
        <v>182</v>
      </c>
      <c r="L3086" s="30" t="s">
        <v>182</v>
      </c>
    </row>
    <row r="3087" customFormat="false" ht="18" hidden="false" customHeight="true" outlineLevel="0" collapsed="false">
      <c r="A3087" s="25" t="s">
        <v>84</v>
      </c>
      <c r="B3087" s="26" t="s">
        <v>208</v>
      </c>
      <c r="C3087" s="27" t="s">
        <v>51</v>
      </c>
      <c r="D3087" s="28"/>
      <c r="E3087" s="28"/>
      <c r="F3087" s="30" t="s">
        <v>182</v>
      </c>
      <c r="G3087" s="30" t="s">
        <v>182</v>
      </c>
      <c r="H3087" s="30" t="s">
        <v>182</v>
      </c>
      <c r="I3087" s="30" t="s">
        <v>182</v>
      </c>
      <c r="J3087" s="30" t="s">
        <v>182</v>
      </c>
      <c r="K3087" s="30" t="s">
        <v>182</v>
      </c>
      <c r="L3087" s="30" t="s">
        <v>182</v>
      </c>
    </row>
    <row r="3088" customFormat="false" ht="18" hidden="false" customHeight="true" outlineLevel="0" collapsed="false">
      <c r="A3088" s="25" t="s">
        <v>84</v>
      </c>
      <c r="B3088" s="26" t="s">
        <v>208</v>
      </c>
      <c r="C3088" s="27" t="s">
        <v>54</v>
      </c>
      <c r="D3088" s="28"/>
      <c r="E3088" s="28"/>
      <c r="F3088" s="30" t="s">
        <v>182</v>
      </c>
      <c r="G3088" s="30" t="s">
        <v>182</v>
      </c>
      <c r="H3088" s="30" t="s">
        <v>182</v>
      </c>
      <c r="I3088" s="30" t="s">
        <v>182</v>
      </c>
      <c r="J3088" s="30" t="s">
        <v>182</v>
      </c>
      <c r="K3088" s="30" t="s">
        <v>182</v>
      </c>
      <c r="L3088" s="30" t="s">
        <v>182</v>
      </c>
    </row>
    <row r="3089" customFormat="false" ht="18" hidden="false" customHeight="true" outlineLevel="0" collapsed="false">
      <c r="A3089" s="25" t="s">
        <v>84</v>
      </c>
      <c r="B3089" s="26" t="s">
        <v>208</v>
      </c>
      <c r="C3089" s="27" t="s">
        <v>57</v>
      </c>
      <c r="D3089" s="28"/>
      <c r="E3089" s="28"/>
      <c r="F3089" s="30" t="s">
        <v>182</v>
      </c>
      <c r="G3089" s="30" t="s">
        <v>182</v>
      </c>
      <c r="H3089" s="30" t="s">
        <v>182</v>
      </c>
      <c r="I3089" s="30" t="s">
        <v>182</v>
      </c>
      <c r="J3089" s="30" t="s">
        <v>182</v>
      </c>
      <c r="K3089" s="30" t="s">
        <v>182</v>
      </c>
      <c r="L3089" s="30" t="s">
        <v>182</v>
      </c>
    </row>
    <row r="3090" customFormat="false" ht="18" hidden="false" customHeight="true" outlineLevel="0" collapsed="false">
      <c r="A3090" s="25" t="s">
        <v>84</v>
      </c>
      <c r="B3090" s="26" t="s">
        <v>208</v>
      </c>
      <c r="C3090" s="27" t="s">
        <v>60</v>
      </c>
      <c r="D3090" s="28"/>
      <c r="E3090" s="28"/>
      <c r="F3090" s="30" t="s">
        <v>182</v>
      </c>
      <c r="G3090" s="30" t="s">
        <v>182</v>
      </c>
      <c r="H3090" s="30" t="s">
        <v>182</v>
      </c>
      <c r="I3090" s="30" t="s">
        <v>182</v>
      </c>
      <c r="J3090" s="30" t="s">
        <v>182</v>
      </c>
      <c r="K3090" s="30" t="s">
        <v>182</v>
      </c>
      <c r="L3090" s="30" t="s">
        <v>182</v>
      </c>
    </row>
    <row r="3091" customFormat="false" ht="18" hidden="false" customHeight="true" outlineLevel="0" collapsed="false">
      <c r="A3091" s="25" t="s">
        <v>84</v>
      </c>
      <c r="B3091" s="26" t="s">
        <v>208</v>
      </c>
      <c r="C3091" s="27" t="s">
        <v>63</v>
      </c>
      <c r="D3091" s="28"/>
      <c r="E3091" s="28"/>
      <c r="F3091" s="30" t="s">
        <v>182</v>
      </c>
      <c r="G3091" s="30" t="s">
        <v>182</v>
      </c>
      <c r="H3091" s="30" t="s">
        <v>182</v>
      </c>
      <c r="I3091" s="30" t="s">
        <v>182</v>
      </c>
      <c r="J3091" s="30" t="s">
        <v>182</v>
      </c>
      <c r="K3091" s="30" t="s">
        <v>182</v>
      </c>
      <c r="L3091" s="30" t="s">
        <v>182</v>
      </c>
    </row>
    <row r="3092" customFormat="false" ht="18" hidden="false" customHeight="true" outlineLevel="0" collapsed="false">
      <c r="A3092" s="25" t="s">
        <v>84</v>
      </c>
      <c r="B3092" s="26" t="s">
        <v>208</v>
      </c>
      <c r="C3092" s="27" t="s">
        <v>66</v>
      </c>
      <c r="D3092" s="28"/>
      <c r="E3092" s="28"/>
      <c r="F3092" s="30" t="s">
        <v>182</v>
      </c>
      <c r="G3092" s="30" t="s">
        <v>182</v>
      </c>
      <c r="H3092" s="30" t="s">
        <v>182</v>
      </c>
      <c r="I3092" s="30" t="s">
        <v>182</v>
      </c>
      <c r="J3092" s="30" t="s">
        <v>182</v>
      </c>
      <c r="K3092" s="30" t="s">
        <v>182</v>
      </c>
      <c r="L3092" s="30" t="s">
        <v>182</v>
      </c>
    </row>
    <row r="3093" customFormat="false" ht="18" hidden="false" customHeight="true" outlineLevel="0" collapsed="false">
      <c r="A3093" s="25" t="s">
        <v>84</v>
      </c>
      <c r="B3093" s="26" t="s">
        <v>208</v>
      </c>
      <c r="C3093" s="27" t="s">
        <v>69</v>
      </c>
      <c r="D3093" s="28"/>
      <c r="E3093" s="28"/>
      <c r="F3093" s="30" t="s">
        <v>182</v>
      </c>
      <c r="G3093" s="30" t="s">
        <v>182</v>
      </c>
      <c r="H3093" s="30" t="s">
        <v>182</v>
      </c>
      <c r="I3093" s="30" t="s">
        <v>182</v>
      </c>
      <c r="J3093" s="30" t="s">
        <v>182</v>
      </c>
      <c r="K3093" s="30" t="s">
        <v>182</v>
      </c>
      <c r="L3093" s="30" t="s">
        <v>182</v>
      </c>
    </row>
    <row r="3094" customFormat="false" ht="18" hidden="false" customHeight="true" outlineLevel="0" collapsed="false">
      <c r="A3094" s="25" t="s">
        <v>84</v>
      </c>
      <c r="B3094" s="26" t="s">
        <v>208</v>
      </c>
      <c r="C3094" s="27" t="s">
        <v>72</v>
      </c>
      <c r="D3094" s="28"/>
      <c r="E3094" s="28"/>
      <c r="F3094" s="30" t="s">
        <v>182</v>
      </c>
      <c r="G3094" s="30" t="s">
        <v>182</v>
      </c>
      <c r="H3094" s="30" t="s">
        <v>182</v>
      </c>
      <c r="I3094" s="30" t="s">
        <v>182</v>
      </c>
      <c r="J3094" s="30" t="s">
        <v>182</v>
      </c>
      <c r="K3094" s="30" t="s">
        <v>182</v>
      </c>
      <c r="L3094" s="30" t="s">
        <v>182</v>
      </c>
    </row>
    <row r="3095" customFormat="false" ht="18" hidden="false" customHeight="true" outlineLevel="0" collapsed="false">
      <c r="A3095" s="25" t="s">
        <v>84</v>
      </c>
      <c r="B3095" s="26" t="s">
        <v>208</v>
      </c>
      <c r="C3095" s="27" t="s">
        <v>75</v>
      </c>
      <c r="D3095" s="28"/>
      <c r="E3095" s="28"/>
      <c r="F3095" s="30" t="s">
        <v>182</v>
      </c>
      <c r="G3095" s="30" t="s">
        <v>182</v>
      </c>
      <c r="H3095" s="30" t="s">
        <v>182</v>
      </c>
      <c r="I3095" s="30" t="s">
        <v>182</v>
      </c>
      <c r="J3095" s="30" t="s">
        <v>182</v>
      </c>
      <c r="K3095" s="30" t="s">
        <v>182</v>
      </c>
      <c r="L3095" s="30" t="s">
        <v>182</v>
      </c>
    </row>
    <row r="3096" customFormat="false" ht="18" hidden="false" customHeight="true" outlineLevel="0" collapsed="false">
      <c r="A3096" s="25" t="s">
        <v>84</v>
      </c>
      <c r="B3096" s="26" t="s">
        <v>208</v>
      </c>
      <c r="C3096" s="27" t="s">
        <v>78</v>
      </c>
      <c r="D3096" s="28"/>
      <c r="E3096" s="28"/>
      <c r="F3096" s="30" t="s">
        <v>182</v>
      </c>
      <c r="G3096" s="30" t="s">
        <v>182</v>
      </c>
      <c r="H3096" s="30" t="s">
        <v>182</v>
      </c>
      <c r="I3096" s="30" t="s">
        <v>182</v>
      </c>
      <c r="J3096" s="30" t="s">
        <v>182</v>
      </c>
      <c r="K3096" s="30" t="s">
        <v>182</v>
      </c>
      <c r="L3096" s="30" t="s">
        <v>182</v>
      </c>
    </row>
    <row r="3097" customFormat="false" ht="18" hidden="false" customHeight="true" outlineLevel="0" collapsed="false">
      <c r="A3097" s="25" t="s">
        <v>84</v>
      </c>
      <c r="B3097" s="26" t="s">
        <v>208</v>
      </c>
      <c r="C3097" s="27" t="s">
        <v>81</v>
      </c>
      <c r="D3097" s="28"/>
      <c r="E3097" s="28"/>
      <c r="F3097" s="30" t="s">
        <v>182</v>
      </c>
      <c r="G3097" s="30" t="s">
        <v>182</v>
      </c>
      <c r="H3097" s="30" t="s">
        <v>182</v>
      </c>
      <c r="I3097" s="30" t="s">
        <v>182</v>
      </c>
      <c r="J3097" s="30" t="s">
        <v>182</v>
      </c>
      <c r="K3097" s="30" t="s">
        <v>182</v>
      </c>
      <c r="L3097" s="30" t="s">
        <v>182</v>
      </c>
    </row>
    <row r="3098" customFormat="false" ht="18" hidden="false" customHeight="true" outlineLevel="0" collapsed="false">
      <c r="A3098" s="25" t="s">
        <v>114</v>
      </c>
      <c r="B3098" s="26" t="s">
        <v>208</v>
      </c>
      <c r="C3098" s="27" t="s">
        <v>10</v>
      </c>
      <c r="D3098" s="28"/>
      <c r="E3098" s="28"/>
      <c r="F3098" s="30" t="s">
        <v>182</v>
      </c>
      <c r="G3098" s="30" t="s">
        <v>182</v>
      </c>
      <c r="H3098" s="30" t="s">
        <v>182</v>
      </c>
      <c r="I3098" s="30" t="s">
        <v>182</v>
      </c>
      <c r="J3098" s="30" t="s">
        <v>182</v>
      </c>
      <c r="K3098" s="30" t="s">
        <v>182</v>
      </c>
      <c r="L3098" s="30" t="s">
        <v>182</v>
      </c>
    </row>
    <row r="3099" customFormat="false" ht="18" hidden="false" customHeight="true" outlineLevel="0" collapsed="false">
      <c r="A3099" s="25" t="s">
        <v>114</v>
      </c>
      <c r="B3099" s="26" t="s">
        <v>208</v>
      </c>
      <c r="C3099" s="27" t="s">
        <v>14</v>
      </c>
      <c r="D3099" s="28"/>
      <c r="E3099" s="28"/>
      <c r="F3099" s="30" t="s">
        <v>182</v>
      </c>
      <c r="G3099" s="30" t="s">
        <v>182</v>
      </c>
      <c r="H3099" s="30" t="s">
        <v>182</v>
      </c>
      <c r="I3099" s="30" t="s">
        <v>182</v>
      </c>
      <c r="J3099" s="30" t="s">
        <v>182</v>
      </c>
      <c r="K3099" s="30" t="s">
        <v>182</v>
      </c>
      <c r="L3099" s="30" t="s">
        <v>182</v>
      </c>
    </row>
    <row r="3100" customFormat="false" ht="18" hidden="false" customHeight="true" outlineLevel="0" collapsed="false">
      <c r="A3100" s="25" t="s">
        <v>114</v>
      </c>
      <c r="B3100" s="26" t="s">
        <v>208</v>
      </c>
      <c r="C3100" s="27" t="s">
        <v>17</v>
      </c>
      <c r="D3100" s="28"/>
      <c r="E3100" s="28"/>
      <c r="F3100" s="30" t="s">
        <v>182</v>
      </c>
      <c r="G3100" s="30" t="s">
        <v>182</v>
      </c>
      <c r="H3100" s="30" t="s">
        <v>182</v>
      </c>
      <c r="I3100" s="30" t="s">
        <v>182</v>
      </c>
      <c r="J3100" s="30" t="s">
        <v>182</v>
      </c>
      <c r="K3100" s="30" t="s">
        <v>182</v>
      </c>
      <c r="L3100" s="30" t="s">
        <v>182</v>
      </c>
    </row>
    <row r="3101" customFormat="false" ht="18" hidden="false" customHeight="true" outlineLevel="0" collapsed="false">
      <c r="A3101" s="25" t="s">
        <v>114</v>
      </c>
      <c r="B3101" s="26" t="s">
        <v>208</v>
      </c>
      <c r="C3101" s="27" t="s">
        <v>20</v>
      </c>
      <c r="D3101" s="28"/>
      <c r="E3101" s="28"/>
      <c r="F3101" s="30" t="s">
        <v>182</v>
      </c>
      <c r="G3101" s="30" t="s">
        <v>182</v>
      </c>
      <c r="H3101" s="30" t="s">
        <v>182</v>
      </c>
      <c r="I3101" s="30" t="s">
        <v>182</v>
      </c>
      <c r="J3101" s="30" t="s">
        <v>182</v>
      </c>
      <c r="K3101" s="30" t="s">
        <v>182</v>
      </c>
      <c r="L3101" s="30" t="s">
        <v>182</v>
      </c>
    </row>
    <row r="3102" customFormat="false" ht="18" hidden="false" customHeight="true" outlineLevel="0" collapsed="false">
      <c r="A3102" s="25" t="s">
        <v>114</v>
      </c>
      <c r="B3102" s="26" t="s">
        <v>208</v>
      </c>
      <c r="C3102" s="27" t="s">
        <v>23</v>
      </c>
      <c r="D3102" s="28"/>
      <c r="E3102" s="28"/>
      <c r="F3102" s="30" t="s">
        <v>182</v>
      </c>
      <c r="G3102" s="30" t="s">
        <v>182</v>
      </c>
      <c r="H3102" s="30" t="s">
        <v>182</v>
      </c>
      <c r="I3102" s="30" t="s">
        <v>182</v>
      </c>
      <c r="J3102" s="30" t="s">
        <v>182</v>
      </c>
      <c r="K3102" s="30" t="s">
        <v>182</v>
      </c>
      <c r="L3102" s="30" t="s">
        <v>182</v>
      </c>
    </row>
    <row r="3103" customFormat="false" ht="18" hidden="false" customHeight="true" outlineLevel="0" collapsed="false">
      <c r="A3103" s="25" t="s">
        <v>114</v>
      </c>
      <c r="B3103" s="26" t="s">
        <v>208</v>
      </c>
      <c r="C3103" s="27" t="s">
        <v>27</v>
      </c>
      <c r="D3103" s="28"/>
      <c r="E3103" s="28"/>
      <c r="F3103" s="30" t="s">
        <v>182</v>
      </c>
      <c r="G3103" s="30" t="s">
        <v>182</v>
      </c>
      <c r="H3103" s="30" t="s">
        <v>182</v>
      </c>
      <c r="I3103" s="30" t="s">
        <v>182</v>
      </c>
      <c r="J3103" s="30" t="s">
        <v>182</v>
      </c>
      <c r="K3103" s="30" t="s">
        <v>182</v>
      </c>
      <c r="L3103" s="30" t="s">
        <v>182</v>
      </c>
    </row>
    <row r="3104" customFormat="false" ht="18" hidden="false" customHeight="true" outlineLevel="0" collapsed="false">
      <c r="A3104" s="25" t="s">
        <v>114</v>
      </c>
      <c r="B3104" s="26" t="s">
        <v>208</v>
      </c>
      <c r="C3104" s="27" t="s">
        <v>30</v>
      </c>
      <c r="D3104" s="28"/>
      <c r="E3104" s="28"/>
      <c r="F3104" s="30" t="s">
        <v>182</v>
      </c>
      <c r="G3104" s="30" t="s">
        <v>182</v>
      </c>
      <c r="H3104" s="30" t="s">
        <v>182</v>
      </c>
      <c r="I3104" s="30" t="s">
        <v>182</v>
      </c>
      <c r="J3104" s="30" t="s">
        <v>182</v>
      </c>
      <c r="K3104" s="30" t="s">
        <v>182</v>
      </c>
      <c r="L3104" s="30" t="s">
        <v>182</v>
      </c>
    </row>
    <row r="3105" customFormat="false" ht="18" hidden="false" customHeight="true" outlineLevel="0" collapsed="false">
      <c r="A3105" s="25" t="s">
        <v>114</v>
      </c>
      <c r="B3105" s="26" t="s">
        <v>208</v>
      </c>
      <c r="C3105" s="27" t="s">
        <v>33</v>
      </c>
      <c r="D3105" s="28"/>
      <c r="E3105" s="28"/>
      <c r="F3105" s="30" t="s">
        <v>182</v>
      </c>
      <c r="G3105" s="30" t="s">
        <v>182</v>
      </c>
      <c r="H3105" s="30" t="s">
        <v>182</v>
      </c>
      <c r="I3105" s="30" t="s">
        <v>182</v>
      </c>
      <c r="J3105" s="30" t="s">
        <v>182</v>
      </c>
      <c r="K3105" s="30" t="s">
        <v>182</v>
      </c>
      <c r="L3105" s="30" t="s">
        <v>182</v>
      </c>
    </row>
    <row r="3106" customFormat="false" ht="18" hidden="false" customHeight="true" outlineLevel="0" collapsed="false">
      <c r="A3106" s="25" t="s">
        <v>114</v>
      </c>
      <c r="B3106" s="26" t="s">
        <v>208</v>
      </c>
      <c r="C3106" s="27" t="s">
        <v>36</v>
      </c>
      <c r="D3106" s="28"/>
      <c r="E3106" s="28"/>
      <c r="F3106" s="30" t="s">
        <v>182</v>
      </c>
      <c r="G3106" s="30" t="s">
        <v>182</v>
      </c>
      <c r="H3106" s="30" t="s">
        <v>182</v>
      </c>
      <c r="I3106" s="30" t="s">
        <v>182</v>
      </c>
      <c r="J3106" s="30" t="s">
        <v>182</v>
      </c>
      <c r="K3106" s="30" t="s">
        <v>182</v>
      </c>
      <c r="L3106" s="30" t="s">
        <v>182</v>
      </c>
    </row>
    <row r="3107" customFormat="false" ht="18" hidden="false" customHeight="true" outlineLevel="0" collapsed="false">
      <c r="A3107" s="25" t="s">
        <v>114</v>
      </c>
      <c r="B3107" s="26" t="s">
        <v>208</v>
      </c>
      <c r="C3107" s="27" t="s">
        <v>39</v>
      </c>
      <c r="D3107" s="28"/>
      <c r="E3107" s="28"/>
      <c r="F3107" s="30" t="s">
        <v>182</v>
      </c>
      <c r="G3107" s="30" t="s">
        <v>182</v>
      </c>
      <c r="H3107" s="30" t="s">
        <v>182</v>
      </c>
      <c r="I3107" s="30" t="s">
        <v>182</v>
      </c>
      <c r="J3107" s="30" t="s">
        <v>182</v>
      </c>
      <c r="K3107" s="30" t="s">
        <v>182</v>
      </c>
      <c r="L3107" s="30" t="s">
        <v>182</v>
      </c>
    </row>
    <row r="3108" customFormat="false" ht="18" hidden="false" customHeight="true" outlineLevel="0" collapsed="false">
      <c r="A3108" s="25" t="s">
        <v>114</v>
      </c>
      <c r="B3108" s="26" t="s">
        <v>208</v>
      </c>
      <c r="C3108" s="27" t="s">
        <v>42</v>
      </c>
      <c r="D3108" s="28"/>
      <c r="E3108" s="28"/>
      <c r="F3108" s="30" t="s">
        <v>182</v>
      </c>
      <c r="G3108" s="30" t="s">
        <v>182</v>
      </c>
      <c r="H3108" s="30" t="s">
        <v>182</v>
      </c>
      <c r="I3108" s="30" t="s">
        <v>182</v>
      </c>
      <c r="J3108" s="30" t="s">
        <v>182</v>
      </c>
      <c r="K3108" s="30" t="s">
        <v>182</v>
      </c>
      <c r="L3108" s="30" t="s">
        <v>182</v>
      </c>
    </row>
    <row r="3109" customFormat="false" ht="18" hidden="false" customHeight="true" outlineLevel="0" collapsed="false">
      <c r="A3109" s="25" t="s">
        <v>114</v>
      </c>
      <c r="B3109" s="26" t="s">
        <v>208</v>
      </c>
      <c r="C3109" s="27" t="s">
        <v>45</v>
      </c>
      <c r="D3109" s="28"/>
      <c r="E3109" s="28"/>
      <c r="F3109" s="30" t="s">
        <v>182</v>
      </c>
      <c r="G3109" s="30" t="s">
        <v>182</v>
      </c>
      <c r="H3109" s="30" t="s">
        <v>182</v>
      </c>
      <c r="I3109" s="30" t="s">
        <v>182</v>
      </c>
      <c r="J3109" s="30" t="s">
        <v>182</v>
      </c>
      <c r="K3109" s="30" t="s">
        <v>182</v>
      </c>
      <c r="L3109" s="30" t="s">
        <v>182</v>
      </c>
    </row>
    <row r="3110" customFormat="false" ht="18" hidden="false" customHeight="true" outlineLevel="0" collapsed="false">
      <c r="A3110" s="25" t="s">
        <v>114</v>
      </c>
      <c r="B3110" s="26" t="s">
        <v>208</v>
      </c>
      <c r="C3110" s="27" t="s">
        <v>48</v>
      </c>
      <c r="D3110" s="28"/>
      <c r="E3110" s="28"/>
      <c r="F3110" s="30" t="s">
        <v>182</v>
      </c>
      <c r="G3110" s="30" t="s">
        <v>182</v>
      </c>
      <c r="H3110" s="30" t="s">
        <v>182</v>
      </c>
      <c r="I3110" s="30" t="s">
        <v>182</v>
      </c>
      <c r="J3110" s="30" t="s">
        <v>182</v>
      </c>
      <c r="K3110" s="30" t="s">
        <v>182</v>
      </c>
      <c r="L3110" s="30" t="s">
        <v>182</v>
      </c>
    </row>
    <row r="3111" customFormat="false" ht="18" hidden="false" customHeight="true" outlineLevel="0" collapsed="false">
      <c r="A3111" s="25" t="s">
        <v>114</v>
      </c>
      <c r="B3111" s="26" t="s">
        <v>208</v>
      </c>
      <c r="C3111" s="27" t="s">
        <v>51</v>
      </c>
      <c r="D3111" s="28"/>
      <c r="E3111" s="28"/>
      <c r="F3111" s="30" t="s">
        <v>182</v>
      </c>
      <c r="G3111" s="30" t="s">
        <v>182</v>
      </c>
      <c r="H3111" s="30" t="s">
        <v>182</v>
      </c>
      <c r="I3111" s="30" t="s">
        <v>182</v>
      </c>
      <c r="J3111" s="30" t="s">
        <v>182</v>
      </c>
      <c r="K3111" s="30" t="s">
        <v>182</v>
      </c>
      <c r="L3111" s="30" t="s">
        <v>182</v>
      </c>
    </row>
    <row r="3112" customFormat="false" ht="18" hidden="false" customHeight="true" outlineLevel="0" collapsed="false">
      <c r="A3112" s="25" t="s">
        <v>114</v>
      </c>
      <c r="B3112" s="26" t="s">
        <v>208</v>
      </c>
      <c r="C3112" s="27" t="s">
        <v>54</v>
      </c>
      <c r="D3112" s="28"/>
      <c r="E3112" s="28"/>
      <c r="F3112" s="30" t="s">
        <v>182</v>
      </c>
      <c r="G3112" s="30" t="s">
        <v>182</v>
      </c>
      <c r="H3112" s="30" t="s">
        <v>182</v>
      </c>
      <c r="I3112" s="30" t="s">
        <v>182</v>
      </c>
      <c r="J3112" s="30" t="s">
        <v>182</v>
      </c>
      <c r="K3112" s="30" t="s">
        <v>182</v>
      </c>
      <c r="L3112" s="30" t="s">
        <v>182</v>
      </c>
    </row>
    <row r="3113" customFormat="false" ht="18" hidden="false" customHeight="true" outlineLevel="0" collapsed="false">
      <c r="A3113" s="25" t="s">
        <v>114</v>
      </c>
      <c r="B3113" s="26" t="s">
        <v>208</v>
      </c>
      <c r="C3113" s="27" t="s">
        <v>57</v>
      </c>
      <c r="D3113" s="28"/>
      <c r="E3113" s="28"/>
      <c r="F3113" s="30" t="s">
        <v>182</v>
      </c>
      <c r="G3113" s="30" t="s">
        <v>182</v>
      </c>
      <c r="H3113" s="30" t="s">
        <v>182</v>
      </c>
      <c r="I3113" s="30" t="s">
        <v>182</v>
      </c>
      <c r="J3113" s="30" t="s">
        <v>182</v>
      </c>
      <c r="K3113" s="30" t="s">
        <v>182</v>
      </c>
      <c r="L3113" s="30" t="s">
        <v>182</v>
      </c>
    </row>
    <row r="3114" customFormat="false" ht="18" hidden="false" customHeight="true" outlineLevel="0" collapsed="false">
      <c r="A3114" s="25" t="s">
        <v>114</v>
      </c>
      <c r="B3114" s="26" t="s">
        <v>208</v>
      </c>
      <c r="C3114" s="27" t="s">
        <v>60</v>
      </c>
      <c r="D3114" s="28"/>
      <c r="E3114" s="28"/>
      <c r="F3114" s="30" t="s">
        <v>182</v>
      </c>
      <c r="G3114" s="30" t="s">
        <v>182</v>
      </c>
      <c r="H3114" s="30" t="s">
        <v>182</v>
      </c>
      <c r="I3114" s="30" t="s">
        <v>182</v>
      </c>
      <c r="J3114" s="30" t="s">
        <v>182</v>
      </c>
      <c r="K3114" s="30" t="s">
        <v>182</v>
      </c>
      <c r="L3114" s="30" t="s">
        <v>182</v>
      </c>
    </row>
    <row r="3115" customFormat="false" ht="18" hidden="false" customHeight="true" outlineLevel="0" collapsed="false">
      <c r="A3115" s="25" t="s">
        <v>114</v>
      </c>
      <c r="B3115" s="26" t="s">
        <v>208</v>
      </c>
      <c r="C3115" s="27" t="s">
        <v>63</v>
      </c>
      <c r="D3115" s="28"/>
      <c r="E3115" s="28"/>
      <c r="F3115" s="30" t="s">
        <v>182</v>
      </c>
      <c r="G3115" s="30" t="s">
        <v>182</v>
      </c>
      <c r="H3115" s="30" t="s">
        <v>182</v>
      </c>
      <c r="I3115" s="30" t="s">
        <v>182</v>
      </c>
      <c r="J3115" s="30" t="s">
        <v>182</v>
      </c>
      <c r="K3115" s="30" t="s">
        <v>182</v>
      </c>
      <c r="L3115" s="30" t="s">
        <v>182</v>
      </c>
    </row>
    <row r="3116" customFormat="false" ht="18" hidden="false" customHeight="true" outlineLevel="0" collapsed="false">
      <c r="A3116" s="25" t="s">
        <v>114</v>
      </c>
      <c r="B3116" s="26" t="s">
        <v>208</v>
      </c>
      <c r="C3116" s="27" t="s">
        <v>66</v>
      </c>
      <c r="D3116" s="28"/>
      <c r="E3116" s="28"/>
      <c r="F3116" s="30" t="s">
        <v>182</v>
      </c>
      <c r="G3116" s="30" t="s">
        <v>182</v>
      </c>
      <c r="H3116" s="30" t="s">
        <v>182</v>
      </c>
      <c r="I3116" s="30" t="s">
        <v>182</v>
      </c>
      <c r="J3116" s="30" t="s">
        <v>182</v>
      </c>
      <c r="K3116" s="30" t="s">
        <v>182</v>
      </c>
      <c r="L3116" s="30" t="s">
        <v>182</v>
      </c>
    </row>
    <row r="3117" customFormat="false" ht="18" hidden="false" customHeight="true" outlineLevel="0" collapsed="false">
      <c r="A3117" s="25" t="s">
        <v>114</v>
      </c>
      <c r="B3117" s="26" t="s">
        <v>208</v>
      </c>
      <c r="C3117" s="27" t="s">
        <v>69</v>
      </c>
      <c r="D3117" s="28"/>
      <c r="E3117" s="28"/>
      <c r="F3117" s="30" t="s">
        <v>182</v>
      </c>
      <c r="G3117" s="30" t="s">
        <v>182</v>
      </c>
      <c r="H3117" s="30" t="s">
        <v>182</v>
      </c>
      <c r="I3117" s="30" t="s">
        <v>182</v>
      </c>
      <c r="J3117" s="30" t="s">
        <v>182</v>
      </c>
      <c r="K3117" s="30" t="s">
        <v>182</v>
      </c>
      <c r="L3117" s="30" t="s">
        <v>182</v>
      </c>
    </row>
    <row r="3118" customFormat="false" ht="18" hidden="false" customHeight="true" outlineLevel="0" collapsed="false">
      <c r="A3118" s="25" t="s">
        <v>114</v>
      </c>
      <c r="B3118" s="26" t="s">
        <v>208</v>
      </c>
      <c r="C3118" s="27" t="s">
        <v>72</v>
      </c>
      <c r="D3118" s="28"/>
      <c r="E3118" s="28"/>
      <c r="F3118" s="30" t="s">
        <v>182</v>
      </c>
      <c r="G3118" s="30" t="s">
        <v>182</v>
      </c>
      <c r="H3118" s="30" t="s">
        <v>182</v>
      </c>
      <c r="I3118" s="30" t="s">
        <v>182</v>
      </c>
      <c r="J3118" s="30" t="s">
        <v>182</v>
      </c>
      <c r="K3118" s="30" t="s">
        <v>182</v>
      </c>
      <c r="L3118" s="30" t="s">
        <v>182</v>
      </c>
    </row>
    <row r="3119" customFormat="false" ht="18" hidden="false" customHeight="true" outlineLevel="0" collapsed="false">
      <c r="A3119" s="25" t="s">
        <v>114</v>
      </c>
      <c r="B3119" s="26" t="s">
        <v>208</v>
      </c>
      <c r="C3119" s="27" t="s">
        <v>75</v>
      </c>
      <c r="D3119" s="28"/>
      <c r="E3119" s="28"/>
      <c r="F3119" s="30" t="s">
        <v>182</v>
      </c>
      <c r="G3119" s="30" t="s">
        <v>182</v>
      </c>
      <c r="H3119" s="30" t="s">
        <v>182</v>
      </c>
      <c r="I3119" s="30" t="s">
        <v>182</v>
      </c>
      <c r="J3119" s="30" t="s">
        <v>182</v>
      </c>
      <c r="K3119" s="30" t="s">
        <v>182</v>
      </c>
      <c r="L3119" s="30" t="s">
        <v>182</v>
      </c>
    </row>
    <row r="3120" customFormat="false" ht="18" hidden="false" customHeight="true" outlineLevel="0" collapsed="false">
      <c r="A3120" s="25" t="s">
        <v>114</v>
      </c>
      <c r="B3120" s="26" t="s">
        <v>208</v>
      </c>
      <c r="C3120" s="27" t="s">
        <v>78</v>
      </c>
      <c r="D3120" s="28"/>
      <c r="E3120" s="28"/>
      <c r="F3120" s="30" t="s">
        <v>182</v>
      </c>
      <c r="G3120" s="30" t="s">
        <v>182</v>
      </c>
      <c r="H3120" s="30" t="s">
        <v>182</v>
      </c>
      <c r="I3120" s="30" t="s">
        <v>182</v>
      </c>
      <c r="J3120" s="30" t="s">
        <v>182</v>
      </c>
      <c r="K3120" s="30" t="s">
        <v>182</v>
      </c>
      <c r="L3120" s="30" t="s">
        <v>182</v>
      </c>
    </row>
    <row r="3121" customFormat="false" ht="18" hidden="false" customHeight="true" outlineLevel="0" collapsed="false">
      <c r="A3121" s="25" t="s">
        <v>114</v>
      </c>
      <c r="B3121" s="26" t="s">
        <v>208</v>
      </c>
      <c r="C3121" s="27" t="s">
        <v>81</v>
      </c>
      <c r="D3121" s="28"/>
      <c r="E3121" s="28"/>
      <c r="F3121" s="30" t="s">
        <v>182</v>
      </c>
      <c r="G3121" s="30" t="s">
        <v>182</v>
      </c>
      <c r="H3121" s="30" t="s">
        <v>182</v>
      </c>
      <c r="I3121" s="30" t="s">
        <v>182</v>
      </c>
      <c r="J3121" s="30" t="s">
        <v>182</v>
      </c>
      <c r="K3121" s="30" t="s">
        <v>182</v>
      </c>
      <c r="L3121" s="30" t="s">
        <v>182</v>
      </c>
    </row>
    <row r="3122" customFormat="false" ht="18" hidden="false" customHeight="true" outlineLevel="0" collapsed="false">
      <c r="A3122" s="17" t="s">
        <v>9</v>
      </c>
      <c r="B3122" s="18" t="s">
        <v>209</v>
      </c>
      <c r="C3122" s="19" t="s">
        <v>10</v>
      </c>
      <c r="D3122" s="20" t="n">
        <v>2</v>
      </c>
      <c r="E3122" s="20" t="n">
        <v>0</v>
      </c>
      <c r="F3122" s="21" t="n">
        <f aca="false">'📋 Matches'!E2</f>
        <v>2</v>
      </c>
      <c r="G3122" s="21" t="n">
        <f aca="false">'📋 Matches'!F2</f>
        <v>0</v>
      </c>
      <c r="H3122" s="22" t="n">
        <f aca="false">IF(AND(ISNUMBER(F3122),ISNUMBER(G3122)),IF(SIGN(D3122-E3122)=SIGN(F3122-G3122),48,0),"")</f>
        <v>48</v>
      </c>
      <c r="I3122" s="22" t="n">
        <f aca="false">IF(AND(ISNUMBER(F3122),ISNUMBER(G3122)),IF(D3122=F3122,15,0),"")</f>
        <v>15</v>
      </c>
      <c r="J3122" s="22" t="n">
        <f aca="false">IF(AND(ISNUMBER(F3122),ISNUMBER(G3122)),IF(E3122=G3122,15,0),"")</f>
        <v>15</v>
      </c>
      <c r="K3122" s="22" t="n">
        <f aca="false">IF(AND(ISNUMBER(F3122),ISNUMBER(G3122)),IF(ABS(D3122-E3122)=ABS(F3122-G3122),12,0),"")</f>
        <v>12</v>
      </c>
      <c r="L3122" s="23" t="n">
        <f aca="false">IF(ISNUMBER(H3122),H3122+I3122+J3122+K3122,"")</f>
        <v>90</v>
      </c>
    </row>
    <row r="3123" customFormat="false" ht="18" hidden="false" customHeight="true" outlineLevel="0" collapsed="false">
      <c r="A3123" s="17" t="s">
        <v>9</v>
      </c>
      <c r="B3123" s="18" t="s">
        <v>209</v>
      </c>
      <c r="C3123" s="19" t="s">
        <v>14</v>
      </c>
      <c r="D3123" s="20" t="n">
        <v>2</v>
      </c>
      <c r="E3123" s="20" t="n">
        <v>1</v>
      </c>
      <c r="F3123" s="21" t="n">
        <f aca="false">'📋 Matches'!E3</f>
        <v>2</v>
      </c>
      <c r="G3123" s="21" t="n">
        <f aca="false">'📋 Matches'!F3</f>
        <v>1</v>
      </c>
      <c r="H3123" s="22" t="n">
        <f aca="false">IF(AND(ISNUMBER(F3123),ISNUMBER(G3123)),IF(SIGN(D3123-E3123)=SIGN(F3123-G3123),48,0),"")</f>
        <v>48</v>
      </c>
      <c r="I3123" s="22" t="n">
        <f aca="false">IF(AND(ISNUMBER(F3123),ISNUMBER(G3123)),IF(D3123=F3123,15,0),"")</f>
        <v>15</v>
      </c>
      <c r="J3123" s="22" t="n">
        <f aca="false">IF(AND(ISNUMBER(F3123),ISNUMBER(G3123)),IF(E3123=G3123,15,0),"")</f>
        <v>15</v>
      </c>
      <c r="K3123" s="22" t="n">
        <f aca="false">IF(AND(ISNUMBER(F3123),ISNUMBER(G3123)),IF(ABS(D3123-E3123)=ABS(F3123-G3123),12,0),"")</f>
        <v>12</v>
      </c>
      <c r="L3123" s="23" t="n">
        <f aca="false">IF(ISNUMBER(H3123),H3123+I3123+J3123+K3123,"")</f>
        <v>90</v>
      </c>
    </row>
    <row r="3124" customFormat="false" ht="18" hidden="false" customHeight="true" outlineLevel="0" collapsed="false">
      <c r="A3124" s="17" t="s">
        <v>9</v>
      </c>
      <c r="B3124" s="18" t="s">
        <v>209</v>
      </c>
      <c r="C3124" s="19" t="s">
        <v>17</v>
      </c>
      <c r="D3124" s="20" t="n">
        <v>0</v>
      </c>
      <c r="E3124" s="20" t="n">
        <v>2</v>
      </c>
      <c r="F3124" s="21" t="n">
        <f aca="false">'📋 Matches'!E4</f>
        <v>1</v>
      </c>
      <c r="G3124" s="21" t="n">
        <f aca="false">'📋 Matches'!F4</f>
        <v>1</v>
      </c>
      <c r="H3124" s="22" t="n">
        <f aca="false">IF(AND(ISNUMBER(F3124),ISNUMBER(G3124)),IF(SIGN(D3124-E3124)=SIGN(F3124-G3124),48,0),"")</f>
        <v>0</v>
      </c>
      <c r="I3124" s="22" t="n">
        <f aca="false">IF(AND(ISNUMBER(F3124),ISNUMBER(G3124)),IF(D3124=F3124,15,0),"")</f>
        <v>0</v>
      </c>
      <c r="J3124" s="22" t="n">
        <f aca="false">IF(AND(ISNUMBER(F3124),ISNUMBER(G3124)),IF(E3124=G3124,15,0),"")</f>
        <v>0</v>
      </c>
      <c r="K3124" s="22" t="n">
        <f aca="false">IF(AND(ISNUMBER(F3124),ISNUMBER(G3124)),IF(ABS(D3124-E3124)=ABS(F3124-G3124),12,0),"")</f>
        <v>0</v>
      </c>
      <c r="L3124" s="23" t="n">
        <f aca="false">IF(ISNUMBER(H3124),H3124+I3124+J3124+K3124,"")</f>
        <v>0</v>
      </c>
    </row>
    <row r="3125" customFormat="false" ht="18" hidden="false" customHeight="true" outlineLevel="0" collapsed="false">
      <c r="A3125" s="17" t="s">
        <v>9</v>
      </c>
      <c r="B3125" s="18" t="s">
        <v>209</v>
      </c>
      <c r="C3125" s="19" t="s">
        <v>20</v>
      </c>
      <c r="D3125" s="20" t="n">
        <v>1</v>
      </c>
      <c r="E3125" s="20" t="n">
        <v>1</v>
      </c>
      <c r="F3125" s="21" t="n">
        <f aca="false">'📋 Matches'!E5</f>
        <v>4</v>
      </c>
      <c r="G3125" s="21" t="n">
        <f aca="false">'📋 Matches'!F5</f>
        <v>1</v>
      </c>
      <c r="H3125" s="22" t="n">
        <f aca="false">IF(AND(ISNUMBER(F3125),ISNUMBER(G3125)),IF(SIGN(D3125-E3125)=SIGN(F3125-G3125),48,0),"")</f>
        <v>0</v>
      </c>
      <c r="I3125" s="22" t="n">
        <f aca="false">IF(AND(ISNUMBER(F3125),ISNUMBER(G3125)),IF(D3125=F3125,15,0),"")</f>
        <v>0</v>
      </c>
      <c r="J3125" s="22" t="n">
        <f aca="false">IF(AND(ISNUMBER(F3125),ISNUMBER(G3125)),IF(E3125=G3125,15,0),"")</f>
        <v>15</v>
      </c>
      <c r="K3125" s="22" t="n">
        <f aca="false">IF(AND(ISNUMBER(F3125),ISNUMBER(G3125)),IF(ABS(D3125-E3125)=ABS(F3125-G3125),12,0),"")</f>
        <v>0</v>
      </c>
      <c r="L3125" s="23" t="n">
        <f aca="false">IF(ISNUMBER(H3125),H3125+I3125+J3125+K3125,"")</f>
        <v>15</v>
      </c>
    </row>
    <row r="3126" customFormat="false" ht="18" hidden="false" customHeight="true" outlineLevel="0" collapsed="false">
      <c r="A3126" s="17" t="s">
        <v>9</v>
      </c>
      <c r="B3126" s="18" t="s">
        <v>209</v>
      </c>
      <c r="C3126" s="19" t="s">
        <v>23</v>
      </c>
      <c r="D3126" s="20" t="n">
        <v>0</v>
      </c>
      <c r="E3126" s="20" t="n">
        <v>3</v>
      </c>
      <c r="F3126" s="21" t="n">
        <f aca="false">'📋 Matches'!E6</f>
        <v>0</v>
      </c>
      <c r="G3126" s="21" t="n">
        <f aca="false">'📋 Matches'!F6</f>
        <v>0</v>
      </c>
      <c r="H3126" s="22" t="str">
        <f aca="false">IF(AND(ISNUMBER(F3126),ISNUMBER(G3126)),IF(SIGN(D3126-E3126)=SIGN(F3126-G3126),48,0),"")</f>
        <v/>
      </c>
      <c r="I3126" s="22" t="str">
        <f aca="false">IF(AND(ISNUMBER(F3126),ISNUMBER(G3126)),IF(D3126=F3126,15,0),"")</f>
        <v/>
      </c>
      <c r="J3126" s="22" t="str">
        <f aca="false">IF(AND(ISNUMBER(F3126),ISNUMBER(G3126)),IF(E3126=G3126,15,0),"")</f>
        <v/>
      </c>
      <c r="K3126" s="22" t="str">
        <f aca="false">IF(AND(ISNUMBER(F3126),ISNUMBER(G3126)),IF(ABS(D3126-E3126)=ABS(F3126-G3126),12,0),"")</f>
        <v/>
      </c>
      <c r="L3126" s="23" t="str">
        <f aca="false">IF(ISNUMBER(H3126),H3126+I3126+J3126+K3126,"")</f>
        <v/>
      </c>
    </row>
    <row r="3127" customFormat="false" ht="18" hidden="false" customHeight="true" outlineLevel="0" collapsed="false">
      <c r="A3127" s="17" t="s">
        <v>9</v>
      </c>
      <c r="B3127" s="18" t="s">
        <v>209</v>
      </c>
      <c r="C3127" s="19" t="s">
        <v>27</v>
      </c>
      <c r="D3127" s="20" t="n">
        <v>3</v>
      </c>
      <c r="E3127" s="20" t="n">
        <v>1</v>
      </c>
      <c r="F3127" s="21" t="n">
        <f aca="false">'📋 Matches'!E7</f>
        <v>0</v>
      </c>
      <c r="G3127" s="21" t="n">
        <f aca="false">'📋 Matches'!F7</f>
        <v>0</v>
      </c>
      <c r="H3127" s="22" t="str">
        <f aca="false">IF(AND(ISNUMBER(F3127),ISNUMBER(G3127)),IF(SIGN(D3127-E3127)=SIGN(F3127-G3127),48,0),"")</f>
        <v/>
      </c>
      <c r="I3127" s="22" t="str">
        <f aca="false">IF(AND(ISNUMBER(F3127),ISNUMBER(G3127)),IF(D3127=F3127,15,0),"")</f>
        <v/>
      </c>
      <c r="J3127" s="22" t="str">
        <f aca="false">IF(AND(ISNUMBER(F3127),ISNUMBER(G3127)),IF(E3127=G3127,15,0),"")</f>
        <v/>
      </c>
      <c r="K3127" s="22" t="str">
        <f aca="false">IF(AND(ISNUMBER(F3127),ISNUMBER(G3127)),IF(ABS(D3127-E3127)=ABS(F3127-G3127),12,0),"")</f>
        <v/>
      </c>
      <c r="L3127" s="23" t="str">
        <f aca="false">IF(ISNUMBER(H3127),H3127+I3127+J3127+K3127,"")</f>
        <v/>
      </c>
    </row>
    <row r="3128" customFormat="false" ht="18" hidden="false" customHeight="true" outlineLevel="0" collapsed="false">
      <c r="A3128" s="17" t="s">
        <v>9</v>
      </c>
      <c r="B3128" s="18" t="s">
        <v>209</v>
      </c>
      <c r="C3128" s="19" t="s">
        <v>30</v>
      </c>
      <c r="D3128" s="20" t="n">
        <v>0</v>
      </c>
      <c r="E3128" s="20" t="n">
        <v>2</v>
      </c>
      <c r="F3128" s="21" t="n">
        <f aca="false">'📋 Matches'!E8</f>
        <v>0</v>
      </c>
      <c r="G3128" s="21" t="n">
        <f aca="false">'📋 Matches'!F8</f>
        <v>0</v>
      </c>
      <c r="H3128" s="22" t="str">
        <f aca="false">IF(AND(ISNUMBER(F3128),ISNUMBER(G3128)),IF(SIGN(D3128-E3128)=SIGN(F3128-G3128),48,0),"")</f>
        <v/>
      </c>
      <c r="I3128" s="22" t="str">
        <f aca="false">IF(AND(ISNUMBER(F3128),ISNUMBER(G3128)),IF(D3128=F3128,15,0),"")</f>
        <v/>
      </c>
      <c r="J3128" s="22" t="str">
        <f aca="false">IF(AND(ISNUMBER(F3128),ISNUMBER(G3128)),IF(E3128=G3128,15,0),"")</f>
        <v/>
      </c>
      <c r="K3128" s="22" t="str">
        <f aca="false">IF(AND(ISNUMBER(F3128),ISNUMBER(G3128)),IF(ABS(D3128-E3128)=ABS(F3128-G3128),12,0),"")</f>
        <v/>
      </c>
      <c r="L3128" s="23" t="str">
        <f aca="false">IF(ISNUMBER(H3128),H3128+I3128+J3128+K3128,"")</f>
        <v/>
      </c>
    </row>
    <row r="3129" customFormat="false" ht="18" hidden="false" customHeight="true" outlineLevel="0" collapsed="false">
      <c r="A3129" s="17" t="s">
        <v>9</v>
      </c>
      <c r="B3129" s="18" t="s">
        <v>209</v>
      </c>
      <c r="C3129" s="19" t="s">
        <v>33</v>
      </c>
      <c r="D3129" s="20" t="n">
        <v>0</v>
      </c>
      <c r="E3129" s="20" t="n">
        <v>2</v>
      </c>
      <c r="F3129" s="21" t="n">
        <f aca="false">'📋 Matches'!E9</f>
        <v>0</v>
      </c>
      <c r="G3129" s="21" t="n">
        <f aca="false">'📋 Matches'!F9</f>
        <v>0</v>
      </c>
      <c r="H3129" s="22" t="str">
        <f aca="false">IF(AND(ISNUMBER(F3129),ISNUMBER(G3129)),IF(SIGN(D3129-E3129)=SIGN(F3129-G3129),48,0),"")</f>
        <v/>
      </c>
      <c r="I3129" s="22" t="str">
        <f aca="false">IF(AND(ISNUMBER(F3129),ISNUMBER(G3129)),IF(D3129=F3129,15,0),"")</f>
        <v/>
      </c>
      <c r="J3129" s="22" t="str">
        <f aca="false">IF(AND(ISNUMBER(F3129),ISNUMBER(G3129)),IF(E3129=G3129,15,0),"")</f>
        <v/>
      </c>
      <c r="K3129" s="22" t="str">
        <f aca="false">IF(AND(ISNUMBER(F3129),ISNUMBER(G3129)),IF(ABS(D3129-E3129)=ABS(F3129-G3129),12,0),"")</f>
        <v/>
      </c>
      <c r="L3129" s="23" t="str">
        <f aca="false">IF(ISNUMBER(H3129),H3129+I3129+J3129+K3129,"")</f>
        <v/>
      </c>
    </row>
    <row r="3130" customFormat="false" ht="18" hidden="false" customHeight="true" outlineLevel="0" collapsed="false">
      <c r="A3130" s="17" t="s">
        <v>9</v>
      </c>
      <c r="B3130" s="18" t="s">
        <v>209</v>
      </c>
      <c r="C3130" s="19" t="s">
        <v>36</v>
      </c>
      <c r="D3130" s="20" t="n">
        <v>5</v>
      </c>
      <c r="E3130" s="20" t="n">
        <v>0</v>
      </c>
      <c r="F3130" s="21" t="n">
        <f aca="false">'📋 Matches'!E10</f>
        <v>0</v>
      </c>
      <c r="G3130" s="21" t="n">
        <f aca="false">'📋 Matches'!F10</f>
        <v>0</v>
      </c>
      <c r="H3130" s="22" t="str">
        <f aca="false">IF(AND(ISNUMBER(F3130),ISNUMBER(G3130)),IF(SIGN(D3130-E3130)=SIGN(F3130-G3130),48,0),"")</f>
        <v/>
      </c>
      <c r="I3130" s="22" t="str">
        <f aca="false">IF(AND(ISNUMBER(F3130),ISNUMBER(G3130)),IF(D3130=F3130,15,0),"")</f>
        <v/>
      </c>
      <c r="J3130" s="22" t="str">
        <f aca="false">IF(AND(ISNUMBER(F3130),ISNUMBER(G3130)),IF(E3130=G3130,15,0),"")</f>
        <v/>
      </c>
      <c r="K3130" s="22" t="str">
        <f aca="false">IF(AND(ISNUMBER(F3130),ISNUMBER(G3130)),IF(ABS(D3130-E3130)=ABS(F3130-G3130),12,0),"")</f>
        <v/>
      </c>
      <c r="L3130" s="23" t="str">
        <f aca="false">IF(ISNUMBER(H3130),H3130+I3130+J3130+K3130,"")</f>
        <v/>
      </c>
    </row>
    <row r="3131" customFormat="false" ht="18" hidden="false" customHeight="true" outlineLevel="0" collapsed="false">
      <c r="A3131" s="17" t="s">
        <v>9</v>
      </c>
      <c r="B3131" s="18" t="s">
        <v>209</v>
      </c>
      <c r="C3131" s="19" t="s">
        <v>39</v>
      </c>
      <c r="D3131" s="20" t="n">
        <v>1</v>
      </c>
      <c r="E3131" s="20" t="n">
        <v>2</v>
      </c>
      <c r="F3131" s="21" t="n">
        <f aca="false">'📋 Matches'!E11</f>
        <v>0</v>
      </c>
      <c r="G3131" s="21" t="n">
        <f aca="false">'📋 Matches'!F11</f>
        <v>0</v>
      </c>
      <c r="H3131" s="22" t="str">
        <f aca="false">IF(AND(ISNUMBER(F3131),ISNUMBER(G3131)),IF(SIGN(D3131-E3131)=SIGN(F3131-G3131),48,0),"")</f>
        <v/>
      </c>
      <c r="I3131" s="22" t="str">
        <f aca="false">IF(AND(ISNUMBER(F3131),ISNUMBER(G3131)),IF(D3131=F3131,15,0),"")</f>
        <v/>
      </c>
      <c r="J3131" s="22" t="str">
        <f aca="false">IF(AND(ISNUMBER(F3131),ISNUMBER(G3131)),IF(E3131=G3131,15,0),"")</f>
        <v/>
      </c>
      <c r="K3131" s="22" t="str">
        <f aca="false">IF(AND(ISNUMBER(F3131),ISNUMBER(G3131)),IF(ABS(D3131-E3131)=ABS(F3131-G3131),12,0),"")</f>
        <v/>
      </c>
      <c r="L3131" s="23" t="str">
        <f aca="false">IF(ISNUMBER(H3131),H3131+I3131+J3131+K3131,"")</f>
        <v/>
      </c>
    </row>
    <row r="3132" customFormat="false" ht="18" hidden="false" customHeight="true" outlineLevel="0" collapsed="false">
      <c r="A3132" s="17" t="s">
        <v>9</v>
      </c>
      <c r="B3132" s="18" t="s">
        <v>209</v>
      </c>
      <c r="C3132" s="19" t="s">
        <v>42</v>
      </c>
      <c r="D3132" s="20" t="n">
        <v>1</v>
      </c>
      <c r="E3132" s="20" t="n">
        <v>1</v>
      </c>
      <c r="F3132" s="21" t="n">
        <f aca="false">'📋 Matches'!E12</f>
        <v>0</v>
      </c>
      <c r="G3132" s="21" t="n">
        <f aca="false">'📋 Matches'!F12</f>
        <v>0</v>
      </c>
      <c r="H3132" s="22" t="str">
        <f aca="false">IF(AND(ISNUMBER(F3132),ISNUMBER(G3132)),IF(SIGN(D3132-E3132)=SIGN(F3132-G3132),48,0),"")</f>
        <v/>
      </c>
      <c r="I3132" s="22" t="str">
        <f aca="false">IF(AND(ISNUMBER(F3132),ISNUMBER(G3132)),IF(D3132=F3132,15,0),"")</f>
        <v/>
      </c>
      <c r="J3132" s="22" t="str">
        <f aca="false">IF(AND(ISNUMBER(F3132),ISNUMBER(G3132)),IF(E3132=G3132,15,0),"")</f>
        <v/>
      </c>
      <c r="K3132" s="22" t="str">
        <f aca="false">IF(AND(ISNUMBER(F3132),ISNUMBER(G3132)),IF(ABS(D3132-E3132)=ABS(F3132-G3132),12,0),"")</f>
        <v/>
      </c>
      <c r="L3132" s="23" t="str">
        <f aca="false">IF(ISNUMBER(H3132),H3132+I3132+J3132+K3132,"")</f>
        <v/>
      </c>
    </row>
    <row r="3133" customFormat="false" ht="18" hidden="false" customHeight="true" outlineLevel="0" collapsed="false">
      <c r="A3133" s="17" t="s">
        <v>9</v>
      </c>
      <c r="B3133" s="18" t="s">
        <v>209</v>
      </c>
      <c r="C3133" s="19" t="s">
        <v>45</v>
      </c>
      <c r="D3133" s="20" t="n">
        <v>2</v>
      </c>
      <c r="E3133" s="20" t="n">
        <v>0</v>
      </c>
      <c r="F3133" s="21" t="n">
        <f aca="false">'📋 Matches'!E13</f>
        <v>0</v>
      </c>
      <c r="G3133" s="21" t="n">
        <f aca="false">'📋 Matches'!F13</f>
        <v>0</v>
      </c>
      <c r="H3133" s="22" t="str">
        <f aca="false">IF(AND(ISNUMBER(F3133),ISNUMBER(G3133)),IF(SIGN(D3133-E3133)=SIGN(F3133-G3133),48,0),"")</f>
        <v/>
      </c>
      <c r="I3133" s="22" t="str">
        <f aca="false">IF(AND(ISNUMBER(F3133),ISNUMBER(G3133)),IF(D3133=F3133,15,0),"")</f>
        <v/>
      </c>
      <c r="J3133" s="22" t="str">
        <f aca="false">IF(AND(ISNUMBER(F3133),ISNUMBER(G3133)),IF(E3133=G3133,15,0),"")</f>
        <v/>
      </c>
      <c r="K3133" s="22" t="str">
        <f aca="false">IF(AND(ISNUMBER(F3133),ISNUMBER(G3133)),IF(ABS(D3133-E3133)=ABS(F3133-G3133),12,0),"")</f>
        <v/>
      </c>
      <c r="L3133" s="23" t="str">
        <f aca="false">IF(ISNUMBER(H3133),H3133+I3133+J3133+K3133,"")</f>
        <v/>
      </c>
    </row>
    <row r="3134" customFormat="false" ht="18" hidden="false" customHeight="true" outlineLevel="0" collapsed="false">
      <c r="A3134" s="17" t="s">
        <v>9</v>
      </c>
      <c r="B3134" s="18" t="s">
        <v>209</v>
      </c>
      <c r="C3134" s="19" t="s">
        <v>48</v>
      </c>
      <c r="D3134" s="20" t="n">
        <v>6</v>
      </c>
      <c r="E3134" s="20" t="n">
        <v>0</v>
      </c>
      <c r="F3134" s="21" t="n">
        <f aca="false">'📋 Matches'!E14</f>
        <v>0</v>
      </c>
      <c r="G3134" s="21" t="n">
        <f aca="false">'📋 Matches'!F14</f>
        <v>0</v>
      </c>
      <c r="H3134" s="22" t="str">
        <f aca="false">IF(AND(ISNUMBER(F3134),ISNUMBER(G3134)),IF(SIGN(D3134-E3134)=SIGN(F3134-G3134),48,0),"")</f>
        <v/>
      </c>
      <c r="I3134" s="22" t="str">
        <f aca="false">IF(AND(ISNUMBER(F3134),ISNUMBER(G3134)),IF(D3134=F3134,15,0),"")</f>
        <v/>
      </c>
      <c r="J3134" s="22" t="str">
        <f aca="false">IF(AND(ISNUMBER(F3134),ISNUMBER(G3134)),IF(E3134=G3134,15,0),"")</f>
        <v/>
      </c>
      <c r="K3134" s="22" t="str">
        <f aca="false">IF(AND(ISNUMBER(F3134),ISNUMBER(G3134)),IF(ABS(D3134-E3134)=ABS(F3134-G3134),12,0),"")</f>
        <v/>
      </c>
      <c r="L3134" s="23" t="str">
        <f aca="false">IF(ISNUMBER(H3134),H3134+I3134+J3134+K3134,"")</f>
        <v/>
      </c>
    </row>
    <row r="3135" customFormat="false" ht="18" hidden="false" customHeight="true" outlineLevel="0" collapsed="false">
      <c r="A3135" s="17" t="s">
        <v>9</v>
      </c>
      <c r="B3135" s="18" t="s">
        <v>209</v>
      </c>
      <c r="C3135" s="19" t="s">
        <v>51</v>
      </c>
      <c r="D3135" s="20" t="n">
        <v>3</v>
      </c>
      <c r="E3135" s="20" t="n">
        <v>0</v>
      </c>
      <c r="F3135" s="21" t="n">
        <f aca="false">'📋 Matches'!E15</f>
        <v>0</v>
      </c>
      <c r="G3135" s="21" t="n">
        <f aca="false">'📋 Matches'!F15</f>
        <v>0</v>
      </c>
      <c r="H3135" s="22" t="str">
        <f aca="false">IF(AND(ISNUMBER(F3135),ISNUMBER(G3135)),IF(SIGN(D3135-E3135)=SIGN(F3135-G3135),48,0),"")</f>
        <v/>
      </c>
      <c r="I3135" s="22" t="str">
        <f aca="false">IF(AND(ISNUMBER(F3135),ISNUMBER(G3135)),IF(D3135=F3135,15,0),"")</f>
        <v/>
      </c>
      <c r="J3135" s="22" t="str">
        <f aca="false">IF(AND(ISNUMBER(F3135),ISNUMBER(G3135)),IF(E3135=G3135,15,0),"")</f>
        <v/>
      </c>
      <c r="K3135" s="22" t="str">
        <f aca="false">IF(AND(ISNUMBER(F3135),ISNUMBER(G3135)),IF(ABS(D3135-E3135)=ABS(F3135-G3135),12,0),"")</f>
        <v/>
      </c>
      <c r="L3135" s="23" t="str">
        <f aca="false">IF(ISNUMBER(H3135),H3135+I3135+J3135+K3135,"")</f>
        <v/>
      </c>
    </row>
    <row r="3136" customFormat="false" ht="18" hidden="false" customHeight="true" outlineLevel="0" collapsed="false">
      <c r="A3136" s="17" t="s">
        <v>9</v>
      </c>
      <c r="B3136" s="18" t="s">
        <v>209</v>
      </c>
      <c r="C3136" s="19" t="s">
        <v>54</v>
      </c>
      <c r="D3136" s="20" t="n">
        <v>0</v>
      </c>
      <c r="E3136" s="20" t="n">
        <v>3</v>
      </c>
      <c r="F3136" s="21" t="n">
        <f aca="false">'📋 Matches'!E16</f>
        <v>0</v>
      </c>
      <c r="G3136" s="21" t="n">
        <f aca="false">'📋 Matches'!F16</f>
        <v>0</v>
      </c>
      <c r="H3136" s="22" t="str">
        <f aca="false">IF(AND(ISNUMBER(F3136),ISNUMBER(G3136)),IF(SIGN(D3136-E3136)=SIGN(F3136-G3136),48,0),"")</f>
        <v/>
      </c>
      <c r="I3136" s="22" t="str">
        <f aca="false">IF(AND(ISNUMBER(F3136),ISNUMBER(G3136)),IF(D3136=F3136,15,0),"")</f>
        <v/>
      </c>
      <c r="J3136" s="22" t="str">
        <f aca="false">IF(AND(ISNUMBER(F3136),ISNUMBER(G3136)),IF(E3136=G3136,15,0),"")</f>
        <v/>
      </c>
      <c r="K3136" s="22" t="str">
        <f aca="false">IF(AND(ISNUMBER(F3136),ISNUMBER(G3136)),IF(ABS(D3136-E3136)=ABS(F3136-G3136),12,0),"")</f>
        <v/>
      </c>
      <c r="L3136" s="23" t="str">
        <f aca="false">IF(ISNUMBER(H3136),H3136+I3136+J3136+K3136,"")</f>
        <v/>
      </c>
    </row>
    <row r="3137" customFormat="false" ht="18" hidden="false" customHeight="true" outlineLevel="0" collapsed="false">
      <c r="A3137" s="17" t="s">
        <v>9</v>
      </c>
      <c r="B3137" s="18" t="s">
        <v>209</v>
      </c>
      <c r="C3137" s="19" t="s">
        <v>57</v>
      </c>
      <c r="D3137" s="20" t="n">
        <v>2</v>
      </c>
      <c r="E3137" s="20" t="n">
        <v>0</v>
      </c>
      <c r="F3137" s="21" t="n">
        <f aca="false">'📋 Matches'!E17</f>
        <v>0</v>
      </c>
      <c r="G3137" s="21" t="n">
        <f aca="false">'📋 Matches'!F17</f>
        <v>0</v>
      </c>
      <c r="H3137" s="22" t="str">
        <f aca="false">IF(AND(ISNUMBER(F3137),ISNUMBER(G3137)),IF(SIGN(D3137-E3137)=SIGN(F3137-G3137),48,0),"")</f>
        <v/>
      </c>
      <c r="I3137" s="22" t="str">
        <f aca="false">IF(AND(ISNUMBER(F3137),ISNUMBER(G3137)),IF(D3137=F3137,15,0),"")</f>
        <v/>
      </c>
      <c r="J3137" s="22" t="str">
        <f aca="false">IF(AND(ISNUMBER(F3137),ISNUMBER(G3137)),IF(E3137=G3137,15,0),"")</f>
        <v/>
      </c>
      <c r="K3137" s="22" t="str">
        <f aca="false">IF(AND(ISNUMBER(F3137),ISNUMBER(G3137)),IF(ABS(D3137-E3137)=ABS(F3137-G3137),12,0),"")</f>
        <v/>
      </c>
      <c r="L3137" s="23" t="str">
        <f aca="false">IF(ISNUMBER(H3137),H3137+I3137+J3137+K3137,"")</f>
        <v/>
      </c>
    </row>
    <row r="3138" customFormat="false" ht="18" hidden="false" customHeight="true" outlineLevel="0" collapsed="false">
      <c r="A3138" s="17" t="s">
        <v>9</v>
      </c>
      <c r="B3138" s="18" t="s">
        <v>209</v>
      </c>
      <c r="C3138" s="19" t="s">
        <v>60</v>
      </c>
      <c r="D3138" s="20" t="n">
        <v>3</v>
      </c>
      <c r="E3138" s="20" t="n">
        <v>0</v>
      </c>
      <c r="F3138" s="21" t="n">
        <f aca="false">'📋 Matches'!E18</f>
        <v>0</v>
      </c>
      <c r="G3138" s="21" t="n">
        <f aca="false">'📋 Matches'!F18</f>
        <v>0</v>
      </c>
      <c r="H3138" s="22" t="str">
        <f aca="false">IF(AND(ISNUMBER(F3138),ISNUMBER(G3138)),IF(SIGN(D3138-E3138)=SIGN(F3138-G3138),48,0),"")</f>
        <v/>
      </c>
      <c r="I3138" s="22" t="str">
        <f aca="false">IF(AND(ISNUMBER(F3138),ISNUMBER(G3138)),IF(D3138=F3138,15,0),"")</f>
        <v/>
      </c>
      <c r="J3138" s="22" t="str">
        <f aca="false">IF(AND(ISNUMBER(F3138),ISNUMBER(G3138)),IF(E3138=G3138,15,0),"")</f>
        <v/>
      </c>
      <c r="K3138" s="22" t="str">
        <f aca="false">IF(AND(ISNUMBER(F3138),ISNUMBER(G3138)),IF(ABS(D3138-E3138)=ABS(F3138-G3138),12,0),"")</f>
        <v/>
      </c>
      <c r="L3138" s="23" t="str">
        <f aca="false">IF(ISNUMBER(H3138),H3138+I3138+J3138+K3138,"")</f>
        <v/>
      </c>
    </row>
    <row r="3139" customFormat="false" ht="18" hidden="false" customHeight="true" outlineLevel="0" collapsed="false">
      <c r="A3139" s="17" t="s">
        <v>9</v>
      </c>
      <c r="B3139" s="18" t="s">
        <v>209</v>
      </c>
      <c r="C3139" s="19" t="s">
        <v>63</v>
      </c>
      <c r="D3139" s="20" t="n">
        <v>0</v>
      </c>
      <c r="E3139" s="20" t="n">
        <v>5</v>
      </c>
      <c r="F3139" s="21" t="n">
        <f aca="false">'📋 Matches'!E19</f>
        <v>0</v>
      </c>
      <c r="G3139" s="21" t="n">
        <f aca="false">'📋 Matches'!F19</f>
        <v>0</v>
      </c>
      <c r="H3139" s="22" t="str">
        <f aca="false">IF(AND(ISNUMBER(F3139),ISNUMBER(G3139)),IF(SIGN(D3139-E3139)=SIGN(F3139-G3139),48,0),"")</f>
        <v/>
      </c>
      <c r="I3139" s="22" t="str">
        <f aca="false">IF(AND(ISNUMBER(F3139),ISNUMBER(G3139)),IF(D3139=F3139,15,0),"")</f>
        <v/>
      </c>
      <c r="J3139" s="22" t="str">
        <f aca="false">IF(AND(ISNUMBER(F3139),ISNUMBER(G3139)),IF(E3139=G3139,15,0),"")</f>
        <v/>
      </c>
      <c r="K3139" s="22" t="str">
        <f aca="false">IF(AND(ISNUMBER(F3139),ISNUMBER(G3139)),IF(ABS(D3139-E3139)=ABS(F3139-G3139),12,0),"")</f>
        <v/>
      </c>
      <c r="L3139" s="23" t="str">
        <f aca="false">IF(ISNUMBER(H3139),H3139+I3139+J3139+K3139,"")</f>
        <v/>
      </c>
    </row>
    <row r="3140" customFormat="false" ht="18" hidden="false" customHeight="true" outlineLevel="0" collapsed="false">
      <c r="A3140" s="17" t="s">
        <v>9</v>
      </c>
      <c r="B3140" s="18" t="s">
        <v>209</v>
      </c>
      <c r="C3140" s="19" t="s">
        <v>66</v>
      </c>
      <c r="D3140" s="20" t="n">
        <v>3</v>
      </c>
      <c r="E3140" s="20" t="n">
        <v>1</v>
      </c>
      <c r="F3140" s="21" t="n">
        <f aca="false">'📋 Matches'!E20</f>
        <v>0</v>
      </c>
      <c r="G3140" s="21" t="n">
        <f aca="false">'📋 Matches'!F20</f>
        <v>0</v>
      </c>
      <c r="H3140" s="22" t="str">
        <f aca="false">IF(AND(ISNUMBER(F3140),ISNUMBER(G3140)),IF(SIGN(D3140-E3140)=SIGN(F3140-G3140),48,0),"")</f>
        <v/>
      </c>
      <c r="I3140" s="22" t="str">
        <f aca="false">IF(AND(ISNUMBER(F3140),ISNUMBER(G3140)),IF(D3140=F3140,15,0),"")</f>
        <v/>
      </c>
      <c r="J3140" s="22" t="str">
        <f aca="false">IF(AND(ISNUMBER(F3140),ISNUMBER(G3140)),IF(E3140=G3140,15,0),"")</f>
        <v/>
      </c>
      <c r="K3140" s="22" t="str">
        <f aca="false">IF(AND(ISNUMBER(F3140),ISNUMBER(G3140)),IF(ABS(D3140-E3140)=ABS(F3140-G3140),12,0),"")</f>
        <v/>
      </c>
      <c r="L3140" s="23" t="str">
        <f aca="false">IF(ISNUMBER(H3140),H3140+I3140+J3140+K3140,"")</f>
        <v/>
      </c>
    </row>
    <row r="3141" customFormat="false" ht="18" hidden="false" customHeight="true" outlineLevel="0" collapsed="false">
      <c r="A3141" s="17" t="s">
        <v>9</v>
      </c>
      <c r="B3141" s="18" t="s">
        <v>209</v>
      </c>
      <c r="C3141" s="19" t="s">
        <v>69</v>
      </c>
      <c r="D3141" s="20" t="n">
        <v>2</v>
      </c>
      <c r="E3141" s="20" t="n">
        <v>0</v>
      </c>
      <c r="F3141" s="21" t="n">
        <f aca="false">'📋 Matches'!E21</f>
        <v>0</v>
      </c>
      <c r="G3141" s="21" t="n">
        <f aca="false">'📋 Matches'!F21</f>
        <v>0</v>
      </c>
      <c r="H3141" s="22" t="str">
        <f aca="false">IF(AND(ISNUMBER(F3141),ISNUMBER(G3141)),IF(SIGN(D3141-E3141)=SIGN(F3141-G3141),48,0),"")</f>
        <v/>
      </c>
      <c r="I3141" s="22" t="str">
        <f aca="false">IF(AND(ISNUMBER(F3141),ISNUMBER(G3141)),IF(D3141=F3141,15,0),"")</f>
        <v/>
      </c>
      <c r="J3141" s="22" t="str">
        <f aca="false">IF(AND(ISNUMBER(F3141),ISNUMBER(G3141)),IF(E3141=G3141,15,0),"")</f>
        <v/>
      </c>
      <c r="K3141" s="22" t="str">
        <f aca="false">IF(AND(ISNUMBER(F3141),ISNUMBER(G3141)),IF(ABS(D3141-E3141)=ABS(F3141-G3141),12,0),"")</f>
        <v/>
      </c>
      <c r="L3141" s="23" t="str">
        <f aca="false">IF(ISNUMBER(H3141),H3141+I3141+J3141+K3141,"")</f>
        <v/>
      </c>
    </row>
    <row r="3142" customFormat="false" ht="18" hidden="false" customHeight="true" outlineLevel="0" collapsed="false">
      <c r="A3142" s="17" t="s">
        <v>9</v>
      </c>
      <c r="B3142" s="18" t="s">
        <v>209</v>
      </c>
      <c r="C3142" s="19" t="s">
        <v>72</v>
      </c>
      <c r="D3142" s="20" t="n">
        <v>4</v>
      </c>
      <c r="E3142" s="20" t="n">
        <v>0</v>
      </c>
      <c r="F3142" s="21" t="n">
        <f aca="false">'📋 Matches'!E22</f>
        <v>0</v>
      </c>
      <c r="G3142" s="21" t="n">
        <f aca="false">'📋 Matches'!F22</f>
        <v>0</v>
      </c>
      <c r="H3142" s="22" t="str">
        <f aca="false">IF(AND(ISNUMBER(F3142),ISNUMBER(G3142)),IF(SIGN(D3142-E3142)=SIGN(F3142-G3142),48,0),"")</f>
        <v/>
      </c>
      <c r="I3142" s="22" t="str">
        <f aca="false">IF(AND(ISNUMBER(F3142),ISNUMBER(G3142)),IF(D3142=F3142,15,0),"")</f>
        <v/>
      </c>
      <c r="J3142" s="22" t="str">
        <f aca="false">IF(AND(ISNUMBER(F3142),ISNUMBER(G3142)),IF(E3142=G3142,15,0),"")</f>
        <v/>
      </c>
      <c r="K3142" s="22" t="str">
        <f aca="false">IF(AND(ISNUMBER(F3142),ISNUMBER(G3142)),IF(ABS(D3142-E3142)=ABS(F3142-G3142),12,0),"")</f>
        <v/>
      </c>
      <c r="L3142" s="23" t="str">
        <f aca="false">IF(ISNUMBER(H3142),H3142+I3142+J3142+K3142,"")</f>
        <v/>
      </c>
    </row>
    <row r="3143" customFormat="false" ht="18" hidden="false" customHeight="true" outlineLevel="0" collapsed="false">
      <c r="A3143" s="17" t="s">
        <v>9</v>
      </c>
      <c r="B3143" s="18" t="s">
        <v>209</v>
      </c>
      <c r="C3143" s="19" t="s">
        <v>75</v>
      </c>
      <c r="D3143" s="20" t="n">
        <v>1</v>
      </c>
      <c r="E3143" s="20" t="n">
        <v>1</v>
      </c>
      <c r="F3143" s="21" t="n">
        <f aca="false">'📋 Matches'!E23</f>
        <v>0</v>
      </c>
      <c r="G3143" s="21" t="n">
        <f aca="false">'📋 Matches'!F23</f>
        <v>0</v>
      </c>
      <c r="H3143" s="22" t="str">
        <f aca="false">IF(AND(ISNUMBER(F3143),ISNUMBER(G3143)),IF(SIGN(D3143-E3143)=SIGN(F3143-G3143),48,0),"")</f>
        <v/>
      </c>
      <c r="I3143" s="22" t="str">
        <f aca="false">IF(AND(ISNUMBER(F3143),ISNUMBER(G3143)),IF(D3143=F3143,15,0),"")</f>
        <v/>
      </c>
      <c r="J3143" s="22" t="str">
        <f aca="false">IF(AND(ISNUMBER(F3143),ISNUMBER(G3143)),IF(E3143=G3143,15,0),"")</f>
        <v/>
      </c>
      <c r="K3143" s="22" t="str">
        <f aca="false">IF(AND(ISNUMBER(F3143),ISNUMBER(G3143)),IF(ABS(D3143-E3143)=ABS(F3143-G3143),12,0),"")</f>
        <v/>
      </c>
      <c r="L3143" s="23" t="str">
        <f aca="false">IF(ISNUMBER(H3143),H3143+I3143+J3143+K3143,"")</f>
        <v/>
      </c>
    </row>
    <row r="3144" customFormat="false" ht="18" hidden="false" customHeight="true" outlineLevel="0" collapsed="false">
      <c r="A3144" s="17" t="s">
        <v>9</v>
      </c>
      <c r="B3144" s="18" t="s">
        <v>209</v>
      </c>
      <c r="C3144" s="19" t="s">
        <v>78</v>
      </c>
      <c r="D3144" s="20" t="n">
        <v>3</v>
      </c>
      <c r="E3144" s="20" t="n">
        <v>0</v>
      </c>
      <c r="F3144" s="21" t="n">
        <f aca="false">'📋 Matches'!E24</f>
        <v>0</v>
      </c>
      <c r="G3144" s="21" t="n">
        <f aca="false">'📋 Matches'!F24</f>
        <v>0</v>
      </c>
      <c r="H3144" s="22" t="str">
        <f aca="false">IF(AND(ISNUMBER(F3144),ISNUMBER(G3144)),IF(SIGN(D3144-E3144)=SIGN(F3144-G3144),48,0),"")</f>
        <v/>
      </c>
      <c r="I3144" s="22" t="str">
        <f aca="false">IF(AND(ISNUMBER(F3144),ISNUMBER(G3144)),IF(D3144=F3144,15,0),"")</f>
        <v/>
      </c>
      <c r="J3144" s="22" t="str">
        <f aca="false">IF(AND(ISNUMBER(F3144),ISNUMBER(G3144)),IF(E3144=G3144,15,0),"")</f>
        <v/>
      </c>
      <c r="K3144" s="22" t="str">
        <f aca="false">IF(AND(ISNUMBER(F3144),ISNUMBER(G3144)),IF(ABS(D3144-E3144)=ABS(F3144-G3144),12,0),"")</f>
        <v/>
      </c>
      <c r="L3144" s="23" t="str">
        <f aca="false">IF(ISNUMBER(H3144),H3144+I3144+J3144+K3144,"")</f>
        <v/>
      </c>
    </row>
    <row r="3145" customFormat="false" ht="18" hidden="false" customHeight="true" outlineLevel="0" collapsed="false">
      <c r="A3145" s="17" t="s">
        <v>9</v>
      </c>
      <c r="B3145" s="18" t="s">
        <v>209</v>
      </c>
      <c r="C3145" s="19" t="s">
        <v>81</v>
      </c>
      <c r="D3145" s="20" t="n">
        <v>0</v>
      </c>
      <c r="E3145" s="20" t="n">
        <v>2</v>
      </c>
      <c r="F3145" s="21" t="n">
        <f aca="false">'📋 Matches'!E25</f>
        <v>0</v>
      </c>
      <c r="G3145" s="21" t="n">
        <f aca="false">'📋 Matches'!F25</f>
        <v>0</v>
      </c>
      <c r="H3145" s="22" t="str">
        <f aca="false">IF(AND(ISNUMBER(F3145),ISNUMBER(G3145)),IF(SIGN(D3145-E3145)=SIGN(F3145-G3145),48,0),"")</f>
        <v/>
      </c>
      <c r="I3145" s="22" t="str">
        <f aca="false">IF(AND(ISNUMBER(F3145),ISNUMBER(G3145)),IF(D3145=F3145,15,0),"")</f>
        <v/>
      </c>
      <c r="J3145" s="22" t="str">
        <f aca="false">IF(AND(ISNUMBER(F3145),ISNUMBER(G3145)),IF(E3145=G3145,15,0),"")</f>
        <v/>
      </c>
      <c r="K3145" s="22" t="str">
        <f aca="false">IF(AND(ISNUMBER(F3145),ISNUMBER(G3145)),IF(ABS(D3145-E3145)=ABS(F3145-G3145),12,0),"")</f>
        <v/>
      </c>
      <c r="L3145" s="23" t="str">
        <f aca="false">IF(ISNUMBER(H3145),H3145+I3145+J3145+K3145,"")</f>
        <v/>
      </c>
    </row>
    <row r="3146" customFormat="false" ht="18" hidden="false" customHeight="true" outlineLevel="0" collapsed="false">
      <c r="A3146" s="17" t="s">
        <v>84</v>
      </c>
      <c r="B3146" s="18" t="s">
        <v>209</v>
      </c>
      <c r="C3146" s="19" t="s">
        <v>85</v>
      </c>
      <c r="D3146" s="20"/>
      <c r="E3146" s="20"/>
      <c r="F3146" s="21" t="n">
        <f aca="false">'📋 Matches'!E26</f>
        <v>0</v>
      </c>
      <c r="G3146" s="21" t="n">
        <f aca="false">'📋 Matches'!F26</f>
        <v>0</v>
      </c>
      <c r="H3146" s="24" t="s">
        <v>148</v>
      </c>
      <c r="I3146" s="24" t="s">
        <v>148</v>
      </c>
      <c r="J3146" s="24" t="s">
        <v>148</v>
      </c>
      <c r="K3146" s="24" t="s">
        <v>148</v>
      </c>
      <c r="L3146" s="24" t="s">
        <v>148</v>
      </c>
    </row>
    <row r="3147" customFormat="false" ht="18" hidden="false" customHeight="true" outlineLevel="0" collapsed="false">
      <c r="A3147" s="17" t="s">
        <v>84</v>
      </c>
      <c r="B3147" s="18" t="s">
        <v>209</v>
      </c>
      <c r="C3147" s="19" t="s">
        <v>87</v>
      </c>
      <c r="D3147" s="20"/>
      <c r="E3147" s="20"/>
      <c r="F3147" s="21" t="n">
        <f aca="false">'📋 Matches'!E27</f>
        <v>0</v>
      </c>
      <c r="G3147" s="21" t="n">
        <f aca="false">'📋 Matches'!F27</f>
        <v>0</v>
      </c>
      <c r="H3147" s="24" t="s">
        <v>148</v>
      </c>
      <c r="I3147" s="24" t="s">
        <v>148</v>
      </c>
      <c r="J3147" s="24" t="s">
        <v>148</v>
      </c>
      <c r="K3147" s="24" t="s">
        <v>148</v>
      </c>
      <c r="L3147" s="24" t="s">
        <v>148</v>
      </c>
    </row>
    <row r="3148" customFormat="false" ht="18" hidden="false" customHeight="true" outlineLevel="0" collapsed="false">
      <c r="A3148" s="17" t="s">
        <v>84</v>
      </c>
      <c r="B3148" s="18" t="s">
        <v>209</v>
      </c>
      <c r="C3148" s="19" t="s">
        <v>89</v>
      </c>
      <c r="D3148" s="20"/>
      <c r="E3148" s="20"/>
      <c r="F3148" s="21" t="n">
        <f aca="false">'📋 Matches'!E28</f>
        <v>0</v>
      </c>
      <c r="G3148" s="21" t="n">
        <f aca="false">'📋 Matches'!F28</f>
        <v>0</v>
      </c>
      <c r="H3148" s="24" t="s">
        <v>148</v>
      </c>
      <c r="I3148" s="24" t="s">
        <v>148</v>
      </c>
      <c r="J3148" s="24" t="s">
        <v>148</v>
      </c>
      <c r="K3148" s="24" t="s">
        <v>148</v>
      </c>
      <c r="L3148" s="24" t="s">
        <v>148</v>
      </c>
    </row>
    <row r="3149" customFormat="false" ht="18" hidden="false" customHeight="true" outlineLevel="0" collapsed="false">
      <c r="A3149" s="17" t="s">
        <v>84</v>
      </c>
      <c r="B3149" s="18" t="s">
        <v>209</v>
      </c>
      <c r="C3149" s="19" t="s">
        <v>90</v>
      </c>
      <c r="D3149" s="20"/>
      <c r="E3149" s="20"/>
      <c r="F3149" s="21" t="n">
        <f aca="false">'📋 Matches'!E29</f>
        <v>0</v>
      </c>
      <c r="G3149" s="21" t="n">
        <f aca="false">'📋 Matches'!F29</f>
        <v>0</v>
      </c>
      <c r="H3149" s="24" t="s">
        <v>148</v>
      </c>
      <c r="I3149" s="24" t="s">
        <v>148</v>
      </c>
      <c r="J3149" s="24" t="s">
        <v>148</v>
      </c>
      <c r="K3149" s="24" t="s">
        <v>148</v>
      </c>
      <c r="L3149" s="24" t="s">
        <v>148</v>
      </c>
    </row>
    <row r="3150" customFormat="false" ht="18" hidden="false" customHeight="true" outlineLevel="0" collapsed="false">
      <c r="A3150" s="17" t="s">
        <v>84</v>
      </c>
      <c r="B3150" s="18" t="s">
        <v>209</v>
      </c>
      <c r="C3150" s="19" t="s">
        <v>91</v>
      </c>
      <c r="D3150" s="20"/>
      <c r="E3150" s="20"/>
      <c r="F3150" s="21" t="n">
        <f aca="false">'📋 Matches'!E30</f>
        <v>0</v>
      </c>
      <c r="G3150" s="21" t="n">
        <f aca="false">'📋 Matches'!F30</f>
        <v>0</v>
      </c>
      <c r="H3150" s="24" t="s">
        <v>148</v>
      </c>
      <c r="I3150" s="24" t="s">
        <v>148</v>
      </c>
      <c r="J3150" s="24" t="s">
        <v>148</v>
      </c>
      <c r="K3150" s="24" t="s">
        <v>148</v>
      </c>
      <c r="L3150" s="24" t="s">
        <v>148</v>
      </c>
    </row>
    <row r="3151" customFormat="false" ht="18" hidden="false" customHeight="true" outlineLevel="0" collapsed="false">
      <c r="A3151" s="17" t="s">
        <v>84</v>
      </c>
      <c r="B3151" s="18" t="s">
        <v>209</v>
      </c>
      <c r="C3151" s="19" t="s">
        <v>92</v>
      </c>
      <c r="D3151" s="20"/>
      <c r="E3151" s="20"/>
      <c r="F3151" s="21" t="n">
        <f aca="false">'📋 Matches'!E31</f>
        <v>0</v>
      </c>
      <c r="G3151" s="21" t="n">
        <f aca="false">'📋 Matches'!F31</f>
        <v>0</v>
      </c>
      <c r="H3151" s="24" t="s">
        <v>148</v>
      </c>
      <c r="I3151" s="24" t="s">
        <v>148</v>
      </c>
      <c r="J3151" s="24" t="s">
        <v>148</v>
      </c>
      <c r="K3151" s="24" t="s">
        <v>148</v>
      </c>
      <c r="L3151" s="24" t="s">
        <v>148</v>
      </c>
    </row>
    <row r="3152" customFormat="false" ht="18" hidden="false" customHeight="true" outlineLevel="0" collapsed="false">
      <c r="A3152" s="17" t="s">
        <v>84</v>
      </c>
      <c r="B3152" s="18" t="s">
        <v>209</v>
      </c>
      <c r="C3152" s="19" t="s">
        <v>93</v>
      </c>
      <c r="D3152" s="20"/>
      <c r="E3152" s="20"/>
      <c r="F3152" s="21" t="n">
        <f aca="false">'📋 Matches'!E32</f>
        <v>0</v>
      </c>
      <c r="G3152" s="21" t="n">
        <f aca="false">'📋 Matches'!F32</f>
        <v>0</v>
      </c>
      <c r="H3152" s="24" t="s">
        <v>148</v>
      </c>
      <c r="I3152" s="24" t="s">
        <v>148</v>
      </c>
      <c r="J3152" s="24" t="s">
        <v>148</v>
      </c>
      <c r="K3152" s="24" t="s">
        <v>148</v>
      </c>
      <c r="L3152" s="24" t="s">
        <v>148</v>
      </c>
    </row>
    <row r="3153" customFormat="false" ht="18" hidden="false" customHeight="true" outlineLevel="0" collapsed="false">
      <c r="A3153" s="17" t="s">
        <v>84</v>
      </c>
      <c r="B3153" s="18" t="s">
        <v>209</v>
      </c>
      <c r="C3153" s="19" t="s">
        <v>94</v>
      </c>
      <c r="D3153" s="20"/>
      <c r="E3153" s="20"/>
      <c r="F3153" s="21" t="n">
        <f aca="false">'📋 Matches'!E33</f>
        <v>0</v>
      </c>
      <c r="G3153" s="21" t="n">
        <f aca="false">'📋 Matches'!F33</f>
        <v>0</v>
      </c>
      <c r="H3153" s="24" t="s">
        <v>148</v>
      </c>
      <c r="I3153" s="24" t="s">
        <v>148</v>
      </c>
      <c r="J3153" s="24" t="s">
        <v>148</v>
      </c>
      <c r="K3153" s="24" t="s">
        <v>148</v>
      </c>
      <c r="L3153" s="24" t="s">
        <v>148</v>
      </c>
    </row>
    <row r="3154" customFormat="false" ht="18" hidden="false" customHeight="true" outlineLevel="0" collapsed="false">
      <c r="A3154" s="17" t="s">
        <v>84</v>
      </c>
      <c r="B3154" s="18" t="s">
        <v>209</v>
      </c>
      <c r="C3154" s="19" t="s">
        <v>96</v>
      </c>
      <c r="D3154" s="20"/>
      <c r="E3154" s="20"/>
      <c r="F3154" s="21" t="n">
        <f aca="false">'📋 Matches'!E34</f>
        <v>0</v>
      </c>
      <c r="G3154" s="21" t="n">
        <f aca="false">'📋 Matches'!F34</f>
        <v>0</v>
      </c>
      <c r="H3154" s="24" t="s">
        <v>148</v>
      </c>
      <c r="I3154" s="24" t="s">
        <v>148</v>
      </c>
      <c r="J3154" s="24" t="s">
        <v>148</v>
      </c>
      <c r="K3154" s="24" t="s">
        <v>148</v>
      </c>
      <c r="L3154" s="24" t="s">
        <v>148</v>
      </c>
    </row>
    <row r="3155" customFormat="false" ht="18" hidden="false" customHeight="true" outlineLevel="0" collapsed="false">
      <c r="A3155" s="17" t="s">
        <v>84</v>
      </c>
      <c r="B3155" s="18" t="s">
        <v>209</v>
      </c>
      <c r="C3155" s="19" t="s">
        <v>97</v>
      </c>
      <c r="D3155" s="20"/>
      <c r="E3155" s="20"/>
      <c r="F3155" s="21" t="n">
        <f aca="false">'📋 Matches'!E35</f>
        <v>0</v>
      </c>
      <c r="G3155" s="21" t="n">
        <f aca="false">'📋 Matches'!F35</f>
        <v>0</v>
      </c>
      <c r="H3155" s="24" t="s">
        <v>148</v>
      </c>
      <c r="I3155" s="24" t="s">
        <v>148</v>
      </c>
      <c r="J3155" s="24" t="s">
        <v>148</v>
      </c>
      <c r="K3155" s="24" t="s">
        <v>148</v>
      </c>
      <c r="L3155" s="24" t="s">
        <v>148</v>
      </c>
    </row>
    <row r="3156" customFormat="false" ht="18" hidden="false" customHeight="true" outlineLevel="0" collapsed="false">
      <c r="A3156" s="17" t="s">
        <v>84</v>
      </c>
      <c r="B3156" s="18" t="s">
        <v>209</v>
      </c>
      <c r="C3156" s="19" t="s">
        <v>98</v>
      </c>
      <c r="D3156" s="20"/>
      <c r="E3156" s="20"/>
      <c r="F3156" s="21" t="n">
        <f aca="false">'📋 Matches'!E36</f>
        <v>0</v>
      </c>
      <c r="G3156" s="21" t="n">
        <f aca="false">'📋 Matches'!F36</f>
        <v>0</v>
      </c>
      <c r="H3156" s="24" t="s">
        <v>148</v>
      </c>
      <c r="I3156" s="24" t="s">
        <v>148</v>
      </c>
      <c r="J3156" s="24" t="s">
        <v>148</v>
      </c>
      <c r="K3156" s="24" t="s">
        <v>148</v>
      </c>
      <c r="L3156" s="24" t="s">
        <v>148</v>
      </c>
    </row>
    <row r="3157" customFormat="false" ht="18" hidden="false" customHeight="true" outlineLevel="0" collapsed="false">
      <c r="A3157" s="17" t="s">
        <v>84</v>
      </c>
      <c r="B3157" s="18" t="s">
        <v>209</v>
      </c>
      <c r="C3157" s="19" t="s">
        <v>100</v>
      </c>
      <c r="D3157" s="20"/>
      <c r="E3157" s="20"/>
      <c r="F3157" s="21" t="n">
        <f aca="false">'📋 Matches'!E37</f>
        <v>0</v>
      </c>
      <c r="G3157" s="21" t="n">
        <f aca="false">'📋 Matches'!F37</f>
        <v>0</v>
      </c>
      <c r="H3157" s="24" t="s">
        <v>148</v>
      </c>
      <c r="I3157" s="24" t="s">
        <v>148</v>
      </c>
      <c r="J3157" s="24" t="s">
        <v>148</v>
      </c>
      <c r="K3157" s="24" t="s">
        <v>148</v>
      </c>
      <c r="L3157" s="24" t="s">
        <v>148</v>
      </c>
    </row>
    <row r="3158" customFormat="false" ht="18" hidden="false" customHeight="true" outlineLevel="0" collapsed="false">
      <c r="A3158" s="17" t="s">
        <v>84</v>
      </c>
      <c r="B3158" s="18" t="s">
        <v>209</v>
      </c>
      <c r="C3158" s="19" t="s">
        <v>101</v>
      </c>
      <c r="D3158" s="20"/>
      <c r="E3158" s="20"/>
      <c r="F3158" s="21" t="n">
        <f aca="false">'📋 Matches'!E38</f>
        <v>0</v>
      </c>
      <c r="G3158" s="21" t="n">
        <f aca="false">'📋 Matches'!F38</f>
        <v>0</v>
      </c>
      <c r="H3158" s="24" t="s">
        <v>148</v>
      </c>
      <c r="I3158" s="24" t="s">
        <v>148</v>
      </c>
      <c r="J3158" s="24" t="s">
        <v>148</v>
      </c>
      <c r="K3158" s="24" t="s">
        <v>148</v>
      </c>
      <c r="L3158" s="24" t="s">
        <v>148</v>
      </c>
    </row>
    <row r="3159" customFormat="false" ht="18" hidden="false" customHeight="true" outlineLevel="0" collapsed="false">
      <c r="A3159" s="17" t="s">
        <v>84</v>
      </c>
      <c r="B3159" s="18" t="s">
        <v>209</v>
      </c>
      <c r="C3159" s="19" t="s">
        <v>102</v>
      </c>
      <c r="D3159" s="20"/>
      <c r="E3159" s="20"/>
      <c r="F3159" s="21" t="n">
        <f aca="false">'📋 Matches'!E39</f>
        <v>0</v>
      </c>
      <c r="G3159" s="21" t="n">
        <f aca="false">'📋 Matches'!F39</f>
        <v>0</v>
      </c>
      <c r="H3159" s="24" t="s">
        <v>148</v>
      </c>
      <c r="I3159" s="24" t="s">
        <v>148</v>
      </c>
      <c r="J3159" s="24" t="s">
        <v>148</v>
      </c>
      <c r="K3159" s="24" t="s">
        <v>148</v>
      </c>
      <c r="L3159" s="24" t="s">
        <v>148</v>
      </c>
    </row>
    <row r="3160" customFormat="false" ht="18" hidden="false" customHeight="true" outlineLevel="0" collapsed="false">
      <c r="A3160" s="17" t="s">
        <v>84</v>
      </c>
      <c r="B3160" s="18" t="s">
        <v>209</v>
      </c>
      <c r="C3160" s="19" t="s">
        <v>103</v>
      </c>
      <c r="D3160" s="20"/>
      <c r="E3160" s="20"/>
      <c r="F3160" s="21" t="n">
        <f aca="false">'📋 Matches'!E40</f>
        <v>0</v>
      </c>
      <c r="G3160" s="21" t="n">
        <f aca="false">'📋 Matches'!F40</f>
        <v>0</v>
      </c>
      <c r="H3160" s="24" t="s">
        <v>148</v>
      </c>
      <c r="I3160" s="24" t="s">
        <v>148</v>
      </c>
      <c r="J3160" s="24" t="s">
        <v>148</v>
      </c>
      <c r="K3160" s="24" t="s">
        <v>148</v>
      </c>
      <c r="L3160" s="24" t="s">
        <v>148</v>
      </c>
    </row>
    <row r="3161" customFormat="false" ht="18" hidden="false" customHeight="true" outlineLevel="0" collapsed="false">
      <c r="A3161" s="17" t="s">
        <v>84</v>
      </c>
      <c r="B3161" s="18" t="s">
        <v>209</v>
      </c>
      <c r="C3161" s="19" t="s">
        <v>104</v>
      </c>
      <c r="D3161" s="20"/>
      <c r="E3161" s="20"/>
      <c r="F3161" s="21" t="n">
        <f aca="false">'📋 Matches'!E41</f>
        <v>0</v>
      </c>
      <c r="G3161" s="21" t="n">
        <f aca="false">'📋 Matches'!F41</f>
        <v>0</v>
      </c>
      <c r="H3161" s="24" t="s">
        <v>148</v>
      </c>
      <c r="I3161" s="24" t="s">
        <v>148</v>
      </c>
      <c r="J3161" s="24" t="s">
        <v>148</v>
      </c>
      <c r="K3161" s="24" t="s">
        <v>148</v>
      </c>
      <c r="L3161" s="24" t="s">
        <v>148</v>
      </c>
    </row>
    <row r="3162" customFormat="false" ht="18" hidden="false" customHeight="true" outlineLevel="0" collapsed="false">
      <c r="A3162" s="17" t="s">
        <v>84</v>
      </c>
      <c r="B3162" s="18" t="s">
        <v>209</v>
      </c>
      <c r="C3162" s="19" t="s">
        <v>105</v>
      </c>
      <c r="D3162" s="20"/>
      <c r="E3162" s="20"/>
      <c r="F3162" s="21" t="n">
        <f aca="false">'📋 Matches'!E42</f>
        <v>0</v>
      </c>
      <c r="G3162" s="21" t="n">
        <f aca="false">'📋 Matches'!F42</f>
        <v>0</v>
      </c>
      <c r="H3162" s="24" t="s">
        <v>148</v>
      </c>
      <c r="I3162" s="24" t="s">
        <v>148</v>
      </c>
      <c r="J3162" s="24" t="s">
        <v>148</v>
      </c>
      <c r="K3162" s="24" t="s">
        <v>148</v>
      </c>
      <c r="L3162" s="24" t="s">
        <v>148</v>
      </c>
    </row>
    <row r="3163" customFormat="false" ht="18" hidden="false" customHeight="true" outlineLevel="0" collapsed="false">
      <c r="A3163" s="17" t="s">
        <v>84</v>
      </c>
      <c r="B3163" s="18" t="s">
        <v>209</v>
      </c>
      <c r="C3163" s="19" t="s">
        <v>106</v>
      </c>
      <c r="D3163" s="20"/>
      <c r="E3163" s="20"/>
      <c r="F3163" s="21" t="n">
        <f aca="false">'📋 Matches'!E43</f>
        <v>0</v>
      </c>
      <c r="G3163" s="21" t="n">
        <f aca="false">'📋 Matches'!F43</f>
        <v>0</v>
      </c>
      <c r="H3163" s="24" t="s">
        <v>148</v>
      </c>
      <c r="I3163" s="24" t="s">
        <v>148</v>
      </c>
      <c r="J3163" s="24" t="s">
        <v>148</v>
      </c>
      <c r="K3163" s="24" t="s">
        <v>148</v>
      </c>
      <c r="L3163" s="24" t="s">
        <v>148</v>
      </c>
    </row>
    <row r="3164" customFormat="false" ht="18" hidden="false" customHeight="true" outlineLevel="0" collapsed="false">
      <c r="A3164" s="17" t="s">
        <v>84</v>
      </c>
      <c r="B3164" s="18" t="s">
        <v>209</v>
      </c>
      <c r="C3164" s="19" t="s">
        <v>107</v>
      </c>
      <c r="D3164" s="20"/>
      <c r="E3164" s="20"/>
      <c r="F3164" s="21" t="n">
        <f aca="false">'📋 Matches'!E44</f>
        <v>0</v>
      </c>
      <c r="G3164" s="21" t="n">
        <f aca="false">'📋 Matches'!F44</f>
        <v>0</v>
      </c>
      <c r="H3164" s="24" t="s">
        <v>148</v>
      </c>
      <c r="I3164" s="24" t="s">
        <v>148</v>
      </c>
      <c r="J3164" s="24" t="s">
        <v>148</v>
      </c>
      <c r="K3164" s="24" t="s">
        <v>148</v>
      </c>
      <c r="L3164" s="24" t="s">
        <v>148</v>
      </c>
    </row>
    <row r="3165" customFormat="false" ht="18" hidden="false" customHeight="true" outlineLevel="0" collapsed="false">
      <c r="A3165" s="17" t="s">
        <v>84</v>
      </c>
      <c r="B3165" s="18" t="s">
        <v>209</v>
      </c>
      <c r="C3165" s="19" t="s">
        <v>108</v>
      </c>
      <c r="D3165" s="20"/>
      <c r="E3165" s="20"/>
      <c r="F3165" s="21" t="n">
        <f aca="false">'📋 Matches'!E45</f>
        <v>0</v>
      </c>
      <c r="G3165" s="21" t="n">
        <f aca="false">'📋 Matches'!F45</f>
        <v>0</v>
      </c>
      <c r="H3165" s="24" t="s">
        <v>148</v>
      </c>
      <c r="I3165" s="24" t="s">
        <v>148</v>
      </c>
      <c r="J3165" s="24" t="s">
        <v>148</v>
      </c>
      <c r="K3165" s="24" t="s">
        <v>148</v>
      </c>
      <c r="L3165" s="24" t="s">
        <v>148</v>
      </c>
    </row>
    <row r="3166" customFormat="false" ht="18" hidden="false" customHeight="true" outlineLevel="0" collapsed="false">
      <c r="A3166" s="17" t="s">
        <v>84</v>
      </c>
      <c r="B3166" s="18" t="s">
        <v>209</v>
      </c>
      <c r="C3166" s="19" t="s">
        <v>109</v>
      </c>
      <c r="D3166" s="20"/>
      <c r="E3166" s="20"/>
      <c r="F3166" s="21" t="n">
        <f aca="false">'📋 Matches'!E46</f>
        <v>0</v>
      </c>
      <c r="G3166" s="21" t="n">
        <f aca="false">'📋 Matches'!F46</f>
        <v>0</v>
      </c>
      <c r="H3166" s="24" t="s">
        <v>148</v>
      </c>
      <c r="I3166" s="24" t="s">
        <v>148</v>
      </c>
      <c r="J3166" s="24" t="s">
        <v>148</v>
      </c>
      <c r="K3166" s="24" t="s">
        <v>148</v>
      </c>
      <c r="L3166" s="24" t="s">
        <v>148</v>
      </c>
    </row>
    <row r="3167" customFormat="false" ht="18" hidden="false" customHeight="true" outlineLevel="0" collapsed="false">
      <c r="A3167" s="17" t="s">
        <v>84</v>
      </c>
      <c r="B3167" s="18" t="s">
        <v>209</v>
      </c>
      <c r="C3167" s="19" t="s">
        <v>110</v>
      </c>
      <c r="D3167" s="20"/>
      <c r="E3167" s="20"/>
      <c r="F3167" s="21" t="n">
        <f aca="false">'📋 Matches'!E47</f>
        <v>0</v>
      </c>
      <c r="G3167" s="21" t="n">
        <f aca="false">'📋 Matches'!F47</f>
        <v>0</v>
      </c>
      <c r="H3167" s="24" t="s">
        <v>148</v>
      </c>
      <c r="I3167" s="24" t="s">
        <v>148</v>
      </c>
      <c r="J3167" s="24" t="s">
        <v>148</v>
      </c>
      <c r="K3167" s="24" t="s">
        <v>148</v>
      </c>
      <c r="L3167" s="24" t="s">
        <v>148</v>
      </c>
    </row>
    <row r="3168" customFormat="false" ht="18" hidden="false" customHeight="true" outlineLevel="0" collapsed="false">
      <c r="A3168" s="17" t="s">
        <v>84</v>
      </c>
      <c r="B3168" s="18" t="s">
        <v>209</v>
      </c>
      <c r="C3168" s="19" t="s">
        <v>111</v>
      </c>
      <c r="D3168" s="20"/>
      <c r="E3168" s="20"/>
      <c r="F3168" s="21" t="n">
        <f aca="false">'📋 Matches'!E48</f>
        <v>0</v>
      </c>
      <c r="G3168" s="21" t="n">
        <f aca="false">'📋 Matches'!F48</f>
        <v>0</v>
      </c>
      <c r="H3168" s="24" t="s">
        <v>148</v>
      </c>
      <c r="I3168" s="24" t="s">
        <v>148</v>
      </c>
      <c r="J3168" s="24" t="s">
        <v>148</v>
      </c>
      <c r="K3168" s="24" t="s">
        <v>148</v>
      </c>
      <c r="L3168" s="24" t="s">
        <v>148</v>
      </c>
    </row>
    <row r="3169" customFormat="false" ht="18" hidden="false" customHeight="true" outlineLevel="0" collapsed="false">
      <c r="A3169" s="17" t="s">
        <v>84</v>
      </c>
      <c r="B3169" s="18" t="s">
        <v>209</v>
      </c>
      <c r="C3169" s="19" t="s">
        <v>112</v>
      </c>
      <c r="D3169" s="20"/>
      <c r="E3169" s="20"/>
      <c r="F3169" s="21" t="n">
        <f aca="false">'📋 Matches'!E49</f>
        <v>0</v>
      </c>
      <c r="G3169" s="21" t="n">
        <f aca="false">'📋 Matches'!F49</f>
        <v>0</v>
      </c>
      <c r="H3169" s="24" t="s">
        <v>148</v>
      </c>
      <c r="I3169" s="24" t="s">
        <v>148</v>
      </c>
      <c r="J3169" s="24" t="s">
        <v>148</v>
      </c>
      <c r="K3169" s="24" t="s">
        <v>148</v>
      </c>
      <c r="L3169" s="24" t="s">
        <v>148</v>
      </c>
    </row>
    <row r="3170" customFormat="false" ht="18" hidden="false" customHeight="true" outlineLevel="0" collapsed="false">
      <c r="A3170" s="17" t="s">
        <v>114</v>
      </c>
      <c r="B3170" s="18" t="s">
        <v>209</v>
      </c>
      <c r="C3170" s="19" t="s">
        <v>115</v>
      </c>
      <c r="D3170" s="20"/>
      <c r="E3170" s="20"/>
      <c r="F3170" s="21" t="n">
        <f aca="false">'📋 Matches'!E50</f>
        <v>0</v>
      </c>
      <c r="G3170" s="21" t="n">
        <f aca="false">'📋 Matches'!F50</f>
        <v>0</v>
      </c>
      <c r="H3170" s="24" t="s">
        <v>148</v>
      </c>
      <c r="I3170" s="24" t="s">
        <v>148</v>
      </c>
      <c r="J3170" s="24" t="s">
        <v>148</v>
      </c>
      <c r="K3170" s="24" t="s">
        <v>148</v>
      </c>
      <c r="L3170" s="24" t="s">
        <v>148</v>
      </c>
    </row>
    <row r="3171" customFormat="false" ht="18" hidden="false" customHeight="true" outlineLevel="0" collapsed="false">
      <c r="A3171" s="17" t="s">
        <v>114</v>
      </c>
      <c r="B3171" s="18" t="s">
        <v>209</v>
      </c>
      <c r="C3171" s="19" t="s">
        <v>116</v>
      </c>
      <c r="D3171" s="20"/>
      <c r="E3171" s="20"/>
      <c r="F3171" s="21" t="n">
        <f aca="false">'📋 Matches'!E51</f>
        <v>0</v>
      </c>
      <c r="G3171" s="21" t="n">
        <f aca="false">'📋 Matches'!F51</f>
        <v>0</v>
      </c>
      <c r="H3171" s="24" t="s">
        <v>148</v>
      </c>
      <c r="I3171" s="24" t="s">
        <v>148</v>
      </c>
      <c r="J3171" s="24" t="s">
        <v>148</v>
      </c>
      <c r="K3171" s="24" t="s">
        <v>148</v>
      </c>
      <c r="L3171" s="24" t="s">
        <v>148</v>
      </c>
    </row>
    <row r="3172" customFormat="false" ht="18" hidden="false" customHeight="true" outlineLevel="0" collapsed="false">
      <c r="A3172" s="17" t="s">
        <v>114</v>
      </c>
      <c r="B3172" s="18" t="s">
        <v>209</v>
      </c>
      <c r="C3172" s="19" t="s">
        <v>117</v>
      </c>
      <c r="D3172" s="20"/>
      <c r="E3172" s="20"/>
      <c r="F3172" s="21" t="n">
        <f aca="false">'📋 Matches'!E52</f>
        <v>0</v>
      </c>
      <c r="G3172" s="21" t="n">
        <f aca="false">'📋 Matches'!F52</f>
        <v>0</v>
      </c>
      <c r="H3172" s="24" t="s">
        <v>148</v>
      </c>
      <c r="I3172" s="24" t="s">
        <v>148</v>
      </c>
      <c r="J3172" s="24" t="s">
        <v>148</v>
      </c>
      <c r="K3172" s="24" t="s">
        <v>148</v>
      </c>
      <c r="L3172" s="24" t="s">
        <v>148</v>
      </c>
    </row>
    <row r="3173" customFormat="false" ht="18" hidden="false" customHeight="true" outlineLevel="0" collapsed="false">
      <c r="A3173" s="17" t="s">
        <v>114</v>
      </c>
      <c r="B3173" s="18" t="s">
        <v>209</v>
      </c>
      <c r="C3173" s="19" t="s">
        <v>118</v>
      </c>
      <c r="D3173" s="20"/>
      <c r="E3173" s="20"/>
      <c r="F3173" s="21" t="n">
        <f aca="false">'📋 Matches'!E53</f>
        <v>0</v>
      </c>
      <c r="G3173" s="21" t="n">
        <f aca="false">'📋 Matches'!F53</f>
        <v>0</v>
      </c>
      <c r="H3173" s="24" t="s">
        <v>148</v>
      </c>
      <c r="I3173" s="24" t="s">
        <v>148</v>
      </c>
      <c r="J3173" s="24" t="s">
        <v>148</v>
      </c>
      <c r="K3173" s="24" t="s">
        <v>148</v>
      </c>
      <c r="L3173" s="24" t="s">
        <v>148</v>
      </c>
    </row>
    <row r="3174" customFormat="false" ht="18" hidden="false" customHeight="true" outlineLevel="0" collapsed="false">
      <c r="A3174" s="17" t="s">
        <v>114</v>
      </c>
      <c r="B3174" s="18" t="s">
        <v>209</v>
      </c>
      <c r="C3174" s="19" t="s">
        <v>119</v>
      </c>
      <c r="D3174" s="20"/>
      <c r="E3174" s="20"/>
      <c r="F3174" s="21" t="n">
        <f aca="false">'📋 Matches'!E54</f>
        <v>0</v>
      </c>
      <c r="G3174" s="21" t="n">
        <f aca="false">'📋 Matches'!F54</f>
        <v>0</v>
      </c>
      <c r="H3174" s="24" t="s">
        <v>148</v>
      </c>
      <c r="I3174" s="24" t="s">
        <v>148</v>
      </c>
      <c r="J3174" s="24" t="s">
        <v>148</v>
      </c>
      <c r="K3174" s="24" t="s">
        <v>148</v>
      </c>
      <c r="L3174" s="24" t="s">
        <v>148</v>
      </c>
    </row>
    <row r="3175" customFormat="false" ht="18" hidden="false" customHeight="true" outlineLevel="0" collapsed="false">
      <c r="A3175" s="17" t="s">
        <v>114</v>
      </c>
      <c r="B3175" s="18" t="s">
        <v>209</v>
      </c>
      <c r="C3175" s="19" t="s">
        <v>120</v>
      </c>
      <c r="D3175" s="20"/>
      <c r="E3175" s="20"/>
      <c r="F3175" s="21" t="n">
        <f aca="false">'📋 Matches'!E55</f>
        <v>0</v>
      </c>
      <c r="G3175" s="21" t="n">
        <f aca="false">'📋 Matches'!F55</f>
        <v>0</v>
      </c>
      <c r="H3175" s="24" t="s">
        <v>148</v>
      </c>
      <c r="I3175" s="24" t="s">
        <v>148</v>
      </c>
      <c r="J3175" s="24" t="s">
        <v>148</v>
      </c>
      <c r="K3175" s="24" t="s">
        <v>148</v>
      </c>
      <c r="L3175" s="24" t="s">
        <v>148</v>
      </c>
    </row>
    <row r="3176" customFormat="false" ht="18" hidden="false" customHeight="true" outlineLevel="0" collapsed="false">
      <c r="A3176" s="17" t="s">
        <v>114</v>
      </c>
      <c r="B3176" s="18" t="s">
        <v>209</v>
      </c>
      <c r="C3176" s="19" t="s">
        <v>121</v>
      </c>
      <c r="D3176" s="20"/>
      <c r="E3176" s="20"/>
      <c r="F3176" s="21" t="n">
        <f aca="false">'📋 Matches'!E56</f>
        <v>0</v>
      </c>
      <c r="G3176" s="21" t="n">
        <f aca="false">'📋 Matches'!F56</f>
        <v>0</v>
      </c>
      <c r="H3176" s="24" t="s">
        <v>148</v>
      </c>
      <c r="I3176" s="24" t="s">
        <v>148</v>
      </c>
      <c r="J3176" s="24" t="s">
        <v>148</v>
      </c>
      <c r="K3176" s="24" t="s">
        <v>148</v>
      </c>
      <c r="L3176" s="24" t="s">
        <v>148</v>
      </c>
    </row>
    <row r="3177" customFormat="false" ht="18" hidden="false" customHeight="true" outlineLevel="0" collapsed="false">
      <c r="A3177" s="17" t="s">
        <v>114</v>
      </c>
      <c r="B3177" s="18" t="s">
        <v>209</v>
      </c>
      <c r="C3177" s="19" t="s">
        <v>122</v>
      </c>
      <c r="D3177" s="20"/>
      <c r="E3177" s="20"/>
      <c r="F3177" s="21" t="n">
        <f aca="false">'📋 Matches'!E57</f>
        <v>0</v>
      </c>
      <c r="G3177" s="21" t="n">
        <f aca="false">'📋 Matches'!F57</f>
        <v>0</v>
      </c>
      <c r="H3177" s="24" t="s">
        <v>148</v>
      </c>
      <c r="I3177" s="24" t="s">
        <v>148</v>
      </c>
      <c r="J3177" s="24" t="s">
        <v>148</v>
      </c>
      <c r="K3177" s="24" t="s">
        <v>148</v>
      </c>
      <c r="L3177" s="24" t="s">
        <v>148</v>
      </c>
    </row>
    <row r="3178" customFormat="false" ht="18" hidden="false" customHeight="true" outlineLevel="0" collapsed="false">
      <c r="A3178" s="17" t="s">
        <v>114</v>
      </c>
      <c r="B3178" s="18" t="s">
        <v>209</v>
      </c>
      <c r="C3178" s="19" t="s">
        <v>123</v>
      </c>
      <c r="D3178" s="20"/>
      <c r="E3178" s="20"/>
      <c r="F3178" s="21" t="n">
        <f aca="false">'📋 Matches'!E58</f>
        <v>0</v>
      </c>
      <c r="G3178" s="21" t="n">
        <f aca="false">'📋 Matches'!F58</f>
        <v>0</v>
      </c>
      <c r="H3178" s="24" t="s">
        <v>148</v>
      </c>
      <c r="I3178" s="24" t="s">
        <v>148</v>
      </c>
      <c r="J3178" s="24" t="s">
        <v>148</v>
      </c>
      <c r="K3178" s="24" t="s">
        <v>148</v>
      </c>
      <c r="L3178" s="24" t="s">
        <v>148</v>
      </c>
    </row>
    <row r="3179" customFormat="false" ht="18" hidden="false" customHeight="true" outlineLevel="0" collapsed="false">
      <c r="A3179" s="17" t="s">
        <v>114</v>
      </c>
      <c r="B3179" s="18" t="s">
        <v>209</v>
      </c>
      <c r="C3179" s="19" t="s">
        <v>124</v>
      </c>
      <c r="D3179" s="20"/>
      <c r="E3179" s="20"/>
      <c r="F3179" s="21" t="n">
        <f aca="false">'📋 Matches'!E59</f>
        <v>0</v>
      </c>
      <c r="G3179" s="21" t="n">
        <f aca="false">'📋 Matches'!F59</f>
        <v>0</v>
      </c>
      <c r="H3179" s="24" t="s">
        <v>148</v>
      </c>
      <c r="I3179" s="24" t="s">
        <v>148</v>
      </c>
      <c r="J3179" s="24" t="s">
        <v>148</v>
      </c>
      <c r="K3179" s="24" t="s">
        <v>148</v>
      </c>
      <c r="L3179" s="24" t="s">
        <v>148</v>
      </c>
    </row>
    <row r="3180" customFormat="false" ht="18" hidden="false" customHeight="true" outlineLevel="0" collapsed="false">
      <c r="A3180" s="17" t="s">
        <v>114</v>
      </c>
      <c r="B3180" s="18" t="s">
        <v>209</v>
      </c>
      <c r="C3180" s="19" t="s">
        <v>125</v>
      </c>
      <c r="D3180" s="20"/>
      <c r="E3180" s="20"/>
      <c r="F3180" s="21" t="n">
        <f aca="false">'📋 Matches'!E60</f>
        <v>0</v>
      </c>
      <c r="G3180" s="21" t="n">
        <f aca="false">'📋 Matches'!F60</f>
        <v>0</v>
      </c>
      <c r="H3180" s="24" t="s">
        <v>148</v>
      </c>
      <c r="I3180" s="24" t="s">
        <v>148</v>
      </c>
      <c r="J3180" s="24" t="s">
        <v>148</v>
      </c>
      <c r="K3180" s="24" t="s">
        <v>148</v>
      </c>
      <c r="L3180" s="24" t="s">
        <v>148</v>
      </c>
    </row>
    <row r="3181" customFormat="false" ht="18" hidden="false" customHeight="true" outlineLevel="0" collapsed="false">
      <c r="A3181" s="17" t="s">
        <v>114</v>
      </c>
      <c r="B3181" s="18" t="s">
        <v>209</v>
      </c>
      <c r="C3181" s="19" t="s">
        <v>126</v>
      </c>
      <c r="D3181" s="20"/>
      <c r="E3181" s="20"/>
      <c r="F3181" s="21" t="n">
        <f aca="false">'📋 Matches'!E61</f>
        <v>0</v>
      </c>
      <c r="G3181" s="21" t="n">
        <f aca="false">'📋 Matches'!F61</f>
        <v>0</v>
      </c>
      <c r="H3181" s="24" t="s">
        <v>148</v>
      </c>
      <c r="I3181" s="24" t="s">
        <v>148</v>
      </c>
      <c r="J3181" s="24" t="s">
        <v>148</v>
      </c>
      <c r="K3181" s="24" t="s">
        <v>148</v>
      </c>
      <c r="L3181" s="24" t="s">
        <v>148</v>
      </c>
    </row>
    <row r="3182" customFormat="false" ht="18" hidden="false" customHeight="true" outlineLevel="0" collapsed="false">
      <c r="A3182" s="17" t="s">
        <v>114</v>
      </c>
      <c r="B3182" s="18" t="s">
        <v>209</v>
      </c>
      <c r="C3182" s="19" t="s">
        <v>127</v>
      </c>
      <c r="D3182" s="20"/>
      <c r="E3182" s="20"/>
      <c r="F3182" s="21" t="n">
        <f aca="false">'📋 Matches'!E62</f>
        <v>0</v>
      </c>
      <c r="G3182" s="21" t="n">
        <f aca="false">'📋 Matches'!F62</f>
        <v>0</v>
      </c>
      <c r="H3182" s="24" t="s">
        <v>148</v>
      </c>
      <c r="I3182" s="24" t="s">
        <v>148</v>
      </c>
      <c r="J3182" s="24" t="s">
        <v>148</v>
      </c>
      <c r="K3182" s="24" t="s">
        <v>148</v>
      </c>
      <c r="L3182" s="24" t="s">
        <v>148</v>
      </c>
    </row>
    <row r="3183" customFormat="false" ht="18" hidden="false" customHeight="true" outlineLevel="0" collapsed="false">
      <c r="A3183" s="17" t="s">
        <v>114</v>
      </c>
      <c r="B3183" s="18" t="s">
        <v>209</v>
      </c>
      <c r="C3183" s="19" t="s">
        <v>128</v>
      </c>
      <c r="D3183" s="20"/>
      <c r="E3183" s="20"/>
      <c r="F3183" s="21" t="n">
        <f aca="false">'📋 Matches'!E63</f>
        <v>0</v>
      </c>
      <c r="G3183" s="21" t="n">
        <f aca="false">'📋 Matches'!F63</f>
        <v>0</v>
      </c>
      <c r="H3183" s="24" t="s">
        <v>148</v>
      </c>
      <c r="I3183" s="24" t="s">
        <v>148</v>
      </c>
      <c r="J3183" s="24" t="s">
        <v>148</v>
      </c>
      <c r="K3183" s="24" t="s">
        <v>148</v>
      </c>
      <c r="L3183" s="24" t="s">
        <v>148</v>
      </c>
    </row>
    <row r="3184" customFormat="false" ht="18" hidden="false" customHeight="true" outlineLevel="0" collapsed="false">
      <c r="A3184" s="17" t="s">
        <v>114</v>
      </c>
      <c r="B3184" s="18" t="s">
        <v>209</v>
      </c>
      <c r="C3184" s="19" t="s">
        <v>129</v>
      </c>
      <c r="D3184" s="20"/>
      <c r="E3184" s="20"/>
      <c r="F3184" s="21" t="n">
        <f aca="false">'📋 Matches'!E64</f>
        <v>0</v>
      </c>
      <c r="G3184" s="21" t="n">
        <f aca="false">'📋 Matches'!F64</f>
        <v>0</v>
      </c>
      <c r="H3184" s="24" t="s">
        <v>148</v>
      </c>
      <c r="I3184" s="24" t="s">
        <v>148</v>
      </c>
      <c r="J3184" s="24" t="s">
        <v>148</v>
      </c>
      <c r="K3184" s="24" t="s">
        <v>148</v>
      </c>
      <c r="L3184" s="24" t="s">
        <v>148</v>
      </c>
    </row>
    <row r="3185" customFormat="false" ht="18" hidden="false" customHeight="true" outlineLevel="0" collapsed="false">
      <c r="A3185" s="17" t="s">
        <v>114</v>
      </c>
      <c r="B3185" s="18" t="s">
        <v>209</v>
      </c>
      <c r="C3185" s="19" t="s">
        <v>130</v>
      </c>
      <c r="D3185" s="20"/>
      <c r="E3185" s="20"/>
      <c r="F3185" s="21" t="n">
        <f aca="false">'📋 Matches'!E65</f>
        <v>0</v>
      </c>
      <c r="G3185" s="21" t="n">
        <f aca="false">'📋 Matches'!F65</f>
        <v>0</v>
      </c>
      <c r="H3185" s="24" t="s">
        <v>148</v>
      </c>
      <c r="I3185" s="24" t="s">
        <v>148</v>
      </c>
      <c r="J3185" s="24" t="s">
        <v>148</v>
      </c>
      <c r="K3185" s="24" t="s">
        <v>148</v>
      </c>
      <c r="L3185" s="24" t="s">
        <v>148</v>
      </c>
    </row>
    <row r="3186" customFormat="false" ht="18" hidden="false" customHeight="true" outlineLevel="0" collapsed="false">
      <c r="A3186" s="17" t="s">
        <v>114</v>
      </c>
      <c r="B3186" s="18" t="s">
        <v>209</v>
      </c>
      <c r="C3186" s="19" t="s">
        <v>131</v>
      </c>
      <c r="D3186" s="20"/>
      <c r="E3186" s="20"/>
      <c r="F3186" s="21" t="n">
        <f aca="false">'📋 Matches'!E66</f>
        <v>0</v>
      </c>
      <c r="G3186" s="21" t="n">
        <f aca="false">'📋 Matches'!F66</f>
        <v>0</v>
      </c>
      <c r="H3186" s="24" t="s">
        <v>148</v>
      </c>
      <c r="I3186" s="24" t="s">
        <v>148</v>
      </c>
      <c r="J3186" s="24" t="s">
        <v>148</v>
      </c>
      <c r="K3186" s="24" t="s">
        <v>148</v>
      </c>
      <c r="L3186" s="24" t="s">
        <v>148</v>
      </c>
    </row>
    <row r="3187" customFormat="false" ht="18" hidden="false" customHeight="true" outlineLevel="0" collapsed="false">
      <c r="A3187" s="17" t="s">
        <v>114</v>
      </c>
      <c r="B3187" s="18" t="s">
        <v>209</v>
      </c>
      <c r="C3187" s="19" t="s">
        <v>132</v>
      </c>
      <c r="D3187" s="20"/>
      <c r="E3187" s="20"/>
      <c r="F3187" s="21" t="n">
        <f aca="false">'📋 Matches'!E67</f>
        <v>0</v>
      </c>
      <c r="G3187" s="21" t="n">
        <f aca="false">'📋 Matches'!F67</f>
        <v>0</v>
      </c>
      <c r="H3187" s="24" t="s">
        <v>148</v>
      </c>
      <c r="I3187" s="24" t="s">
        <v>148</v>
      </c>
      <c r="J3187" s="24" t="s">
        <v>148</v>
      </c>
      <c r="K3187" s="24" t="s">
        <v>148</v>
      </c>
      <c r="L3187" s="24" t="s">
        <v>148</v>
      </c>
    </row>
    <row r="3188" customFormat="false" ht="18" hidden="false" customHeight="true" outlineLevel="0" collapsed="false">
      <c r="A3188" s="17" t="s">
        <v>114</v>
      </c>
      <c r="B3188" s="18" t="s">
        <v>209</v>
      </c>
      <c r="C3188" s="19" t="s">
        <v>133</v>
      </c>
      <c r="D3188" s="20"/>
      <c r="E3188" s="20"/>
      <c r="F3188" s="21" t="n">
        <f aca="false">'📋 Matches'!E68</f>
        <v>0</v>
      </c>
      <c r="G3188" s="21" t="n">
        <f aca="false">'📋 Matches'!F68</f>
        <v>0</v>
      </c>
      <c r="H3188" s="24" t="s">
        <v>148</v>
      </c>
      <c r="I3188" s="24" t="s">
        <v>148</v>
      </c>
      <c r="J3188" s="24" t="s">
        <v>148</v>
      </c>
      <c r="K3188" s="24" t="s">
        <v>148</v>
      </c>
      <c r="L3188" s="24" t="s">
        <v>148</v>
      </c>
    </row>
    <row r="3189" customFormat="false" ht="18" hidden="false" customHeight="true" outlineLevel="0" collapsed="false">
      <c r="A3189" s="17" t="s">
        <v>114</v>
      </c>
      <c r="B3189" s="18" t="s">
        <v>209</v>
      </c>
      <c r="C3189" s="19" t="s">
        <v>134</v>
      </c>
      <c r="D3189" s="20"/>
      <c r="E3189" s="20"/>
      <c r="F3189" s="21" t="n">
        <f aca="false">'📋 Matches'!E69</f>
        <v>0</v>
      </c>
      <c r="G3189" s="21" t="n">
        <f aca="false">'📋 Matches'!F69</f>
        <v>0</v>
      </c>
      <c r="H3189" s="24" t="s">
        <v>148</v>
      </c>
      <c r="I3189" s="24" t="s">
        <v>148</v>
      </c>
      <c r="J3189" s="24" t="s">
        <v>148</v>
      </c>
      <c r="K3189" s="24" t="s">
        <v>148</v>
      </c>
      <c r="L3189" s="24" t="s">
        <v>148</v>
      </c>
    </row>
    <row r="3190" customFormat="false" ht="18" hidden="false" customHeight="true" outlineLevel="0" collapsed="false">
      <c r="A3190" s="17" t="s">
        <v>114</v>
      </c>
      <c r="B3190" s="18" t="s">
        <v>209</v>
      </c>
      <c r="C3190" s="19" t="s">
        <v>135</v>
      </c>
      <c r="D3190" s="20"/>
      <c r="E3190" s="20"/>
      <c r="F3190" s="21" t="n">
        <f aca="false">'📋 Matches'!E70</f>
        <v>0</v>
      </c>
      <c r="G3190" s="21" t="n">
        <f aca="false">'📋 Matches'!F70</f>
        <v>0</v>
      </c>
      <c r="H3190" s="24" t="s">
        <v>148</v>
      </c>
      <c r="I3190" s="24" t="s">
        <v>148</v>
      </c>
      <c r="J3190" s="24" t="s">
        <v>148</v>
      </c>
      <c r="K3190" s="24" t="s">
        <v>148</v>
      </c>
      <c r="L3190" s="24" t="s">
        <v>148</v>
      </c>
    </row>
    <row r="3191" customFormat="false" ht="18" hidden="false" customHeight="true" outlineLevel="0" collapsed="false">
      <c r="A3191" s="17" t="s">
        <v>114</v>
      </c>
      <c r="B3191" s="18" t="s">
        <v>209</v>
      </c>
      <c r="C3191" s="19" t="s">
        <v>136</v>
      </c>
      <c r="D3191" s="20"/>
      <c r="E3191" s="20"/>
      <c r="F3191" s="21" t="n">
        <f aca="false">'📋 Matches'!E71</f>
        <v>0</v>
      </c>
      <c r="G3191" s="21" t="n">
        <f aca="false">'📋 Matches'!F71</f>
        <v>0</v>
      </c>
      <c r="H3191" s="24" t="s">
        <v>148</v>
      </c>
      <c r="I3191" s="24" t="s">
        <v>148</v>
      </c>
      <c r="J3191" s="24" t="s">
        <v>148</v>
      </c>
      <c r="K3191" s="24" t="s">
        <v>148</v>
      </c>
      <c r="L3191" s="24" t="s">
        <v>148</v>
      </c>
    </row>
    <row r="3192" customFormat="false" ht="18" hidden="false" customHeight="true" outlineLevel="0" collapsed="false">
      <c r="A3192" s="17" t="s">
        <v>114</v>
      </c>
      <c r="B3192" s="18" t="s">
        <v>209</v>
      </c>
      <c r="C3192" s="19" t="s">
        <v>137</v>
      </c>
      <c r="D3192" s="20"/>
      <c r="E3192" s="20"/>
      <c r="F3192" s="21" t="n">
        <f aca="false">'📋 Matches'!E72</f>
        <v>0</v>
      </c>
      <c r="G3192" s="21" t="n">
        <f aca="false">'📋 Matches'!F72</f>
        <v>0</v>
      </c>
      <c r="H3192" s="24" t="s">
        <v>148</v>
      </c>
      <c r="I3192" s="24" t="s">
        <v>148</v>
      </c>
      <c r="J3192" s="24" t="s">
        <v>148</v>
      </c>
      <c r="K3192" s="24" t="s">
        <v>148</v>
      </c>
      <c r="L3192" s="24" t="s">
        <v>148</v>
      </c>
    </row>
    <row r="3193" customFormat="false" ht="18" hidden="false" customHeight="true" outlineLevel="0" collapsed="false">
      <c r="A3193" s="17" t="s">
        <v>114</v>
      </c>
      <c r="B3193" s="18" t="s">
        <v>209</v>
      </c>
      <c r="C3193" s="19" t="s">
        <v>138</v>
      </c>
      <c r="D3193" s="20"/>
      <c r="E3193" s="20"/>
      <c r="F3193" s="21" t="n">
        <f aca="false">'📋 Matches'!E73</f>
        <v>0</v>
      </c>
      <c r="G3193" s="21" t="n">
        <f aca="false">'📋 Matches'!F73</f>
        <v>0</v>
      </c>
      <c r="H3193" s="24" t="s">
        <v>148</v>
      </c>
      <c r="I3193" s="24" t="s">
        <v>148</v>
      </c>
      <c r="J3193" s="24" t="s">
        <v>148</v>
      </c>
      <c r="K3193" s="24" t="s">
        <v>148</v>
      </c>
      <c r="L3193" s="24" t="s">
        <v>148</v>
      </c>
    </row>
    <row r="3194" customFormat="false" ht="18" hidden="false" customHeight="true" outlineLevel="0" collapsed="false">
      <c r="A3194" s="25" t="s">
        <v>9</v>
      </c>
      <c r="B3194" s="32" t="s">
        <v>210</v>
      </c>
      <c r="C3194" s="27" t="s">
        <v>10</v>
      </c>
      <c r="D3194" s="28" t="n">
        <v>1</v>
      </c>
      <c r="E3194" s="28" t="n">
        <v>3</v>
      </c>
      <c r="F3194" s="29" t="n">
        <f aca="false">'📋 Matches'!E2</f>
        <v>2</v>
      </c>
      <c r="G3194" s="29" t="n">
        <f aca="false">'📋 Matches'!F2</f>
        <v>0</v>
      </c>
      <c r="H3194" s="22" t="n">
        <f aca="false">IF(AND(ISNUMBER(F3194),ISNUMBER(G3194)),IF(SIGN(D3194-E3194)=SIGN(F3194-G3194),48,0),"")</f>
        <v>0</v>
      </c>
      <c r="I3194" s="22" t="n">
        <f aca="false">IF(AND(ISNUMBER(F3194),ISNUMBER(G3194)),IF(D3194=F3194,15,0),"")</f>
        <v>0</v>
      </c>
      <c r="J3194" s="22" t="n">
        <f aca="false">IF(AND(ISNUMBER(F3194),ISNUMBER(G3194)),IF(E3194=G3194,15,0),"")</f>
        <v>0</v>
      </c>
      <c r="K3194" s="22" t="n">
        <f aca="false">IF(AND(ISNUMBER(F3194),ISNUMBER(G3194)),IF(ABS(D3194-E3194)=ABS(F3194-G3194),12,0),"")</f>
        <v>12</v>
      </c>
      <c r="L3194" s="23" t="n">
        <f aca="false">IF(ISNUMBER(H3194),H3194+I3194+J3194+K3194,"")</f>
        <v>12</v>
      </c>
    </row>
    <row r="3195" customFormat="false" ht="18" hidden="false" customHeight="true" outlineLevel="0" collapsed="false">
      <c r="A3195" s="25" t="s">
        <v>9</v>
      </c>
      <c r="B3195" s="32" t="s">
        <v>210</v>
      </c>
      <c r="C3195" s="27" t="s">
        <v>14</v>
      </c>
      <c r="D3195" s="28" t="n">
        <v>3</v>
      </c>
      <c r="E3195" s="28" t="n">
        <v>2</v>
      </c>
      <c r="F3195" s="29" t="n">
        <f aca="false">'📋 Matches'!E3</f>
        <v>2</v>
      </c>
      <c r="G3195" s="29" t="n">
        <f aca="false">'📋 Matches'!F3</f>
        <v>1</v>
      </c>
      <c r="H3195" s="22" t="n">
        <f aca="false">IF(AND(ISNUMBER(F3195),ISNUMBER(G3195)),IF(SIGN(D3195-E3195)=SIGN(F3195-G3195),48,0),"")</f>
        <v>48</v>
      </c>
      <c r="I3195" s="22" t="n">
        <f aca="false">IF(AND(ISNUMBER(F3195),ISNUMBER(G3195)),IF(D3195=F3195,15,0),"")</f>
        <v>0</v>
      </c>
      <c r="J3195" s="22" t="n">
        <f aca="false">IF(AND(ISNUMBER(F3195),ISNUMBER(G3195)),IF(E3195=G3195,15,0),"")</f>
        <v>0</v>
      </c>
      <c r="K3195" s="22" t="n">
        <f aca="false">IF(AND(ISNUMBER(F3195),ISNUMBER(G3195)),IF(ABS(D3195-E3195)=ABS(F3195-G3195),12,0),"")</f>
        <v>12</v>
      </c>
      <c r="L3195" s="23" t="n">
        <f aca="false">IF(ISNUMBER(H3195),H3195+I3195+J3195+K3195,"")</f>
        <v>60</v>
      </c>
    </row>
    <row r="3196" customFormat="false" ht="18" hidden="false" customHeight="true" outlineLevel="0" collapsed="false">
      <c r="A3196" s="25" t="s">
        <v>9</v>
      </c>
      <c r="B3196" s="32" t="s">
        <v>210</v>
      </c>
      <c r="C3196" s="27" t="s">
        <v>17</v>
      </c>
      <c r="D3196" s="28" t="n">
        <v>2</v>
      </c>
      <c r="E3196" s="28" t="n">
        <v>0</v>
      </c>
      <c r="F3196" s="29" t="n">
        <f aca="false">'📋 Matches'!E4</f>
        <v>1</v>
      </c>
      <c r="G3196" s="29" t="n">
        <f aca="false">'📋 Matches'!F4</f>
        <v>1</v>
      </c>
      <c r="H3196" s="22" t="n">
        <f aca="false">IF(AND(ISNUMBER(F3196),ISNUMBER(G3196)),IF(SIGN(D3196-E3196)=SIGN(F3196-G3196),48,0),"")</f>
        <v>0</v>
      </c>
      <c r="I3196" s="22" t="n">
        <f aca="false">IF(AND(ISNUMBER(F3196),ISNUMBER(G3196)),IF(D3196=F3196,15,0),"")</f>
        <v>0</v>
      </c>
      <c r="J3196" s="22" t="n">
        <f aca="false">IF(AND(ISNUMBER(F3196),ISNUMBER(G3196)),IF(E3196=G3196,15,0),"")</f>
        <v>0</v>
      </c>
      <c r="K3196" s="22" t="n">
        <f aca="false">IF(AND(ISNUMBER(F3196),ISNUMBER(G3196)),IF(ABS(D3196-E3196)=ABS(F3196-G3196),12,0),"")</f>
        <v>0</v>
      </c>
      <c r="L3196" s="23" t="n">
        <f aca="false">IF(ISNUMBER(H3196),H3196+I3196+J3196+K3196,"")</f>
        <v>0</v>
      </c>
    </row>
    <row r="3197" customFormat="false" ht="18" hidden="false" customHeight="true" outlineLevel="0" collapsed="false">
      <c r="A3197" s="25" t="s">
        <v>9</v>
      </c>
      <c r="B3197" s="32" t="s">
        <v>210</v>
      </c>
      <c r="C3197" s="27" t="s">
        <v>20</v>
      </c>
      <c r="D3197" s="28" t="n">
        <v>3</v>
      </c>
      <c r="E3197" s="28" t="n">
        <v>1</v>
      </c>
      <c r="F3197" s="29" t="n">
        <f aca="false">'📋 Matches'!E5</f>
        <v>4</v>
      </c>
      <c r="G3197" s="29" t="n">
        <f aca="false">'📋 Matches'!F5</f>
        <v>1</v>
      </c>
      <c r="H3197" s="22" t="n">
        <f aca="false">IF(AND(ISNUMBER(F3197),ISNUMBER(G3197)),IF(SIGN(D3197-E3197)=SIGN(F3197-G3197),48,0),"")</f>
        <v>48</v>
      </c>
      <c r="I3197" s="22" t="n">
        <f aca="false">IF(AND(ISNUMBER(F3197),ISNUMBER(G3197)),IF(D3197=F3197,15,0),"")</f>
        <v>0</v>
      </c>
      <c r="J3197" s="22" t="n">
        <f aca="false">IF(AND(ISNUMBER(F3197),ISNUMBER(G3197)),IF(E3197=G3197,15,0),"")</f>
        <v>15</v>
      </c>
      <c r="K3197" s="22" t="n">
        <f aca="false">IF(AND(ISNUMBER(F3197),ISNUMBER(G3197)),IF(ABS(D3197-E3197)=ABS(F3197-G3197),12,0),"")</f>
        <v>0</v>
      </c>
      <c r="L3197" s="23" t="n">
        <f aca="false">IF(ISNUMBER(H3197),H3197+I3197+J3197+K3197,"")</f>
        <v>63</v>
      </c>
    </row>
    <row r="3198" customFormat="false" ht="18" hidden="false" customHeight="true" outlineLevel="0" collapsed="false">
      <c r="A3198" s="25" t="s">
        <v>9</v>
      </c>
      <c r="B3198" s="32" t="s">
        <v>210</v>
      </c>
      <c r="C3198" s="27" t="s">
        <v>23</v>
      </c>
      <c r="D3198" s="28" t="n">
        <v>2</v>
      </c>
      <c r="E3198" s="28" t="n">
        <v>1</v>
      </c>
      <c r="F3198" s="29" t="n">
        <f aca="false">'📋 Matches'!E6</f>
        <v>0</v>
      </c>
      <c r="G3198" s="29" t="n">
        <f aca="false">'📋 Matches'!F6</f>
        <v>0</v>
      </c>
      <c r="H3198" s="22" t="str">
        <f aca="false">IF(AND(ISNUMBER(F3198),ISNUMBER(G3198)),IF(SIGN(D3198-E3198)=SIGN(F3198-G3198),48,0),"")</f>
        <v/>
      </c>
      <c r="I3198" s="22" t="str">
        <f aca="false">IF(AND(ISNUMBER(F3198),ISNUMBER(G3198)),IF(D3198=F3198,15,0),"")</f>
        <v/>
      </c>
      <c r="J3198" s="22" t="str">
        <f aca="false">IF(AND(ISNUMBER(F3198),ISNUMBER(G3198)),IF(E3198=G3198,15,0),"")</f>
        <v/>
      </c>
      <c r="K3198" s="22" t="str">
        <f aca="false">IF(AND(ISNUMBER(F3198),ISNUMBER(G3198)),IF(ABS(D3198-E3198)=ABS(F3198-G3198),12,0),"")</f>
        <v/>
      </c>
      <c r="L3198" s="23" t="str">
        <f aca="false">IF(ISNUMBER(H3198),H3198+I3198+J3198+K3198,"")</f>
        <v/>
      </c>
    </row>
    <row r="3199" customFormat="false" ht="18" hidden="false" customHeight="true" outlineLevel="0" collapsed="false">
      <c r="A3199" s="25" t="s">
        <v>9</v>
      </c>
      <c r="B3199" s="32" t="s">
        <v>210</v>
      </c>
      <c r="C3199" s="27" t="s">
        <v>27</v>
      </c>
      <c r="D3199" s="28" t="n">
        <v>3</v>
      </c>
      <c r="E3199" s="28" t="n">
        <v>2</v>
      </c>
      <c r="F3199" s="29" t="n">
        <f aca="false">'📋 Matches'!E7</f>
        <v>0</v>
      </c>
      <c r="G3199" s="29" t="n">
        <f aca="false">'📋 Matches'!F7</f>
        <v>0</v>
      </c>
      <c r="H3199" s="22" t="str">
        <f aca="false">IF(AND(ISNUMBER(F3199),ISNUMBER(G3199)),IF(SIGN(D3199-E3199)=SIGN(F3199-G3199),48,0),"")</f>
        <v/>
      </c>
      <c r="I3199" s="22" t="str">
        <f aca="false">IF(AND(ISNUMBER(F3199),ISNUMBER(G3199)),IF(D3199=F3199,15,0),"")</f>
        <v/>
      </c>
      <c r="J3199" s="22" t="str">
        <f aca="false">IF(AND(ISNUMBER(F3199),ISNUMBER(G3199)),IF(E3199=G3199,15,0),"")</f>
        <v/>
      </c>
      <c r="K3199" s="22" t="str">
        <f aca="false">IF(AND(ISNUMBER(F3199),ISNUMBER(G3199)),IF(ABS(D3199-E3199)=ABS(F3199-G3199),12,0),"")</f>
        <v/>
      </c>
      <c r="L3199" s="23" t="str">
        <f aca="false">IF(ISNUMBER(H3199),H3199+I3199+J3199+K3199,"")</f>
        <v/>
      </c>
    </row>
    <row r="3200" customFormat="false" ht="18" hidden="false" customHeight="true" outlineLevel="0" collapsed="false">
      <c r="A3200" s="25" t="s">
        <v>9</v>
      </c>
      <c r="B3200" s="32" t="s">
        <v>210</v>
      </c>
      <c r="C3200" s="27" t="s">
        <v>30</v>
      </c>
      <c r="D3200" s="28" t="n">
        <v>0</v>
      </c>
      <c r="E3200" s="28" t="n">
        <v>3</v>
      </c>
      <c r="F3200" s="29" t="n">
        <f aca="false">'📋 Matches'!E8</f>
        <v>0</v>
      </c>
      <c r="G3200" s="29" t="n">
        <f aca="false">'📋 Matches'!F8</f>
        <v>0</v>
      </c>
      <c r="H3200" s="22" t="str">
        <f aca="false">IF(AND(ISNUMBER(F3200),ISNUMBER(G3200)),IF(SIGN(D3200-E3200)=SIGN(F3200-G3200),48,0),"")</f>
        <v/>
      </c>
      <c r="I3200" s="22" t="str">
        <f aca="false">IF(AND(ISNUMBER(F3200),ISNUMBER(G3200)),IF(D3200=F3200,15,0),"")</f>
        <v/>
      </c>
      <c r="J3200" s="22" t="str">
        <f aca="false">IF(AND(ISNUMBER(F3200),ISNUMBER(G3200)),IF(E3200=G3200,15,0),"")</f>
        <v/>
      </c>
      <c r="K3200" s="22" t="str">
        <f aca="false">IF(AND(ISNUMBER(F3200),ISNUMBER(G3200)),IF(ABS(D3200-E3200)=ABS(F3200-G3200),12,0),"")</f>
        <v/>
      </c>
      <c r="L3200" s="23" t="str">
        <f aca="false">IF(ISNUMBER(H3200),H3200+I3200+J3200+K3200,"")</f>
        <v/>
      </c>
    </row>
    <row r="3201" customFormat="false" ht="18" hidden="false" customHeight="true" outlineLevel="0" collapsed="false">
      <c r="A3201" s="25" t="s">
        <v>9</v>
      </c>
      <c r="B3201" s="32" t="s">
        <v>210</v>
      </c>
      <c r="C3201" s="27" t="s">
        <v>33</v>
      </c>
      <c r="D3201" s="28" t="n">
        <v>2</v>
      </c>
      <c r="E3201" s="28" t="n">
        <v>1</v>
      </c>
      <c r="F3201" s="29" t="n">
        <f aca="false">'📋 Matches'!E9</f>
        <v>0</v>
      </c>
      <c r="G3201" s="29" t="n">
        <f aca="false">'📋 Matches'!F9</f>
        <v>0</v>
      </c>
      <c r="H3201" s="22" t="str">
        <f aca="false">IF(AND(ISNUMBER(F3201),ISNUMBER(G3201)),IF(SIGN(D3201-E3201)=SIGN(F3201-G3201),48,0),"")</f>
        <v/>
      </c>
      <c r="I3201" s="22" t="str">
        <f aca="false">IF(AND(ISNUMBER(F3201),ISNUMBER(G3201)),IF(D3201=F3201,15,0),"")</f>
        <v/>
      </c>
      <c r="J3201" s="22" t="str">
        <f aca="false">IF(AND(ISNUMBER(F3201),ISNUMBER(G3201)),IF(E3201=G3201,15,0),"")</f>
        <v/>
      </c>
      <c r="K3201" s="22" t="str">
        <f aca="false">IF(AND(ISNUMBER(F3201),ISNUMBER(G3201)),IF(ABS(D3201-E3201)=ABS(F3201-G3201),12,0),"")</f>
        <v/>
      </c>
      <c r="L3201" s="23" t="str">
        <f aca="false">IF(ISNUMBER(H3201),H3201+I3201+J3201+K3201,"")</f>
        <v/>
      </c>
    </row>
    <row r="3202" customFormat="false" ht="18" hidden="false" customHeight="true" outlineLevel="0" collapsed="false">
      <c r="A3202" s="25" t="s">
        <v>9</v>
      </c>
      <c r="B3202" s="32" t="s">
        <v>210</v>
      </c>
      <c r="C3202" s="27" t="s">
        <v>36</v>
      </c>
      <c r="D3202" s="28" t="n">
        <v>3</v>
      </c>
      <c r="E3202" s="28" t="n">
        <v>0</v>
      </c>
      <c r="F3202" s="29" t="n">
        <f aca="false">'📋 Matches'!E10</f>
        <v>0</v>
      </c>
      <c r="G3202" s="29" t="n">
        <f aca="false">'📋 Matches'!F10</f>
        <v>0</v>
      </c>
      <c r="H3202" s="22" t="str">
        <f aca="false">IF(AND(ISNUMBER(F3202),ISNUMBER(G3202)),IF(SIGN(D3202-E3202)=SIGN(F3202-G3202),48,0),"")</f>
        <v/>
      </c>
      <c r="I3202" s="22" t="str">
        <f aca="false">IF(AND(ISNUMBER(F3202),ISNUMBER(G3202)),IF(D3202=F3202,15,0),"")</f>
        <v/>
      </c>
      <c r="J3202" s="22" t="str">
        <f aca="false">IF(AND(ISNUMBER(F3202),ISNUMBER(G3202)),IF(E3202=G3202,15,0),"")</f>
        <v/>
      </c>
      <c r="K3202" s="22" t="str">
        <f aca="false">IF(AND(ISNUMBER(F3202),ISNUMBER(G3202)),IF(ABS(D3202-E3202)=ABS(F3202-G3202),12,0),"")</f>
        <v/>
      </c>
      <c r="L3202" s="23" t="str">
        <f aca="false">IF(ISNUMBER(H3202),H3202+I3202+J3202+K3202,"")</f>
        <v/>
      </c>
    </row>
    <row r="3203" customFormat="false" ht="18" hidden="false" customHeight="true" outlineLevel="0" collapsed="false">
      <c r="A3203" s="25" t="s">
        <v>9</v>
      </c>
      <c r="B3203" s="32" t="s">
        <v>210</v>
      </c>
      <c r="C3203" s="27" t="s">
        <v>39</v>
      </c>
      <c r="D3203" s="28" t="n">
        <v>4</v>
      </c>
      <c r="E3203" s="28" t="n">
        <v>1</v>
      </c>
      <c r="F3203" s="29" t="n">
        <f aca="false">'📋 Matches'!E11</f>
        <v>0</v>
      </c>
      <c r="G3203" s="29" t="n">
        <f aca="false">'📋 Matches'!F11</f>
        <v>0</v>
      </c>
      <c r="H3203" s="22" t="str">
        <f aca="false">IF(AND(ISNUMBER(F3203),ISNUMBER(G3203)),IF(SIGN(D3203-E3203)=SIGN(F3203-G3203),48,0),"")</f>
        <v/>
      </c>
      <c r="I3203" s="22" t="str">
        <f aca="false">IF(AND(ISNUMBER(F3203),ISNUMBER(G3203)),IF(D3203=F3203,15,0),"")</f>
        <v/>
      </c>
      <c r="J3203" s="22" t="str">
        <f aca="false">IF(AND(ISNUMBER(F3203),ISNUMBER(G3203)),IF(E3203=G3203,15,0),"")</f>
        <v/>
      </c>
      <c r="K3203" s="22" t="str">
        <f aca="false">IF(AND(ISNUMBER(F3203),ISNUMBER(G3203)),IF(ABS(D3203-E3203)=ABS(F3203-G3203),12,0),"")</f>
        <v/>
      </c>
      <c r="L3203" s="23" t="str">
        <f aca="false">IF(ISNUMBER(H3203),H3203+I3203+J3203+K3203,"")</f>
        <v/>
      </c>
    </row>
    <row r="3204" customFormat="false" ht="18" hidden="false" customHeight="true" outlineLevel="0" collapsed="false">
      <c r="A3204" s="25" t="s">
        <v>9</v>
      </c>
      <c r="B3204" s="32" t="s">
        <v>210</v>
      </c>
      <c r="C3204" s="27" t="s">
        <v>42</v>
      </c>
      <c r="D3204" s="28" t="n">
        <v>0</v>
      </c>
      <c r="E3204" s="28" t="n">
        <v>3</v>
      </c>
      <c r="F3204" s="29" t="n">
        <f aca="false">'📋 Matches'!E12</f>
        <v>0</v>
      </c>
      <c r="G3204" s="29" t="n">
        <f aca="false">'📋 Matches'!F12</f>
        <v>0</v>
      </c>
      <c r="H3204" s="22" t="str">
        <f aca="false">IF(AND(ISNUMBER(F3204),ISNUMBER(G3204)),IF(SIGN(D3204-E3204)=SIGN(F3204-G3204),48,0),"")</f>
        <v/>
      </c>
      <c r="I3204" s="22" t="str">
        <f aca="false">IF(AND(ISNUMBER(F3204),ISNUMBER(G3204)),IF(D3204=F3204,15,0),"")</f>
        <v/>
      </c>
      <c r="J3204" s="22" t="str">
        <f aca="false">IF(AND(ISNUMBER(F3204),ISNUMBER(G3204)),IF(E3204=G3204,15,0),"")</f>
        <v/>
      </c>
      <c r="K3204" s="22" t="str">
        <f aca="false">IF(AND(ISNUMBER(F3204),ISNUMBER(G3204)),IF(ABS(D3204-E3204)=ABS(F3204-G3204),12,0),"")</f>
        <v/>
      </c>
      <c r="L3204" s="23" t="str">
        <f aca="false">IF(ISNUMBER(H3204),H3204+I3204+J3204+K3204,"")</f>
        <v/>
      </c>
    </row>
    <row r="3205" customFormat="false" ht="18" hidden="false" customHeight="true" outlineLevel="0" collapsed="false">
      <c r="A3205" s="25" t="s">
        <v>9</v>
      </c>
      <c r="B3205" s="32" t="s">
        <v>210</v>
      </c>
      <c r="C3205" s="27" t="s">
        <v>45</v>
      </c>
      <c r="D3205" s="28" t="n">
        <v>3</v>
      </c>
      <c r="E3205" s="28" t="n">
        <v>0</v>
      </c>
      <c r="F3205" s="29" t="n">
        <f aca="false">'📋 Matches'!E13</f>
        <v>0</v>
      </c>
      <c r="G3205" s="29" t="n">
        <f aca="false">'📋 Matches'!F13</f>
        <v>0</v>
      </c>
      <c r="H3205" s="22" t="str">
        <f aca="false">IF(AND(ISNUMBER(F3205),ISNUMBER(G3205)),IF(SIGN(D3205-E3205)=SIGN(F3205-G3205),48,0),"")</f>
        <v/>
      </c>
      <c r="I3205" s="22" t="str">
        <f aca="false">IF(AND(ISNUMBER(F3205),ISNUMBER(G3205)),IF(D3205=F3205,15,0),"")</f>
        <v/>
      </c>
      <c r="J3205" s="22" t="str">
        <f aca="false">IF(AND(ISNUMBER(F3205),ISNUMBER(G3205)),IF(E3205=G3205,15,0),"")</f>
        <v/>
      </c>
      <c r="K3205" s="22" t="str">
        <f aca="false">IF(AND(ISNUMBER(F3205),ISNUMBER(G3205)),IF(ABS(D3205-E3205)=ABS(F3205-G3205),12,0),"")</f>
        <v/>
      </c>
      <c r="L3205" s="23" t="str">
        <f aca="false">IF(ISNUMBER(H3205),H3205+I3205+J3205+K3205,"")</f>
        <v/>
      </c>
    </row>
    <row r="3206" customFormat="false" ht="18" hidden="false" customHeight="true" outlineLevel="0" collapsed="false">
      <c r="A3206" s="25" t="s">
        <v>9</v>
      </c>
      <c r="B3206" s="32" t="s">
        <v>210</v>
      </c>
      <c r="C3206" s="27" t="s">
        <v>48</v>
      </c>
      <c r="D3206" s="28" t="n">
        <v>4</v>
      </c>
      <c r="E3206" s="28" t="n">
        <v>0</v>
      </c>
      <c r="F3206" s="29" t="n">
        <f aca="false">'📋 Matches'!E14</f>
        <v>0</v>
      </c>
      <c r="G3206" s="29" t="n">
        <f aca="false">'📋 Matches'!F14</f>
        <v>0</v>
      </c>
      <c r="H3206" s="22" t="str">
        <f aca="false">IF(AND(ISNUMBER(F3206),ISNUMBER(G3206)),IF(SIGN(D3206-E3206)=SIGN(F3206-G3206),48,0),"")</f>
        <v/>
      </c>
      <c r="I3206" s="22" t="str">
        <f aca="false">IF(AND(ISNUMBER(F3206),ISNUMBER(G3206)),IF(D3206=F3206,15,0),"")</f>
        <v/>
      </c>
      <c r="J3206" s="22" t="str">
        <f aca="false">IF(AND(ISNUMBER(F3206),ISNUMBER(G3206)),IF(E3206=G3206,15,0),"")</f>
        <v/>
      </c>
      <c r="K3206" s="22" t="str">
        <f aca="false">IF(AND(ISNUMBER(F3206),ISNUMBER(G3206)),IF(ABS(D3206-E3206)=ABS(F3206-G3206),12,0),"")</f>
        <v/>
      </c>
      <c r="L3206" s="23" t="str">
        <f aca="false">IF(ISNUMBER(H3206),H3206+I3206+J3206+K3206,"")</f>
        <v/>
      </c>
    </row>
    <row r="3207" customFormat="false" ht="18" hidden="false" customHeight="true" outlineLevel="0" collapsed="false">
      <c r="A3207" s="25" t="s">
        <v>9</v>
      </c>
      <c r="B3207" s="32" t="s">
        <v>210</v>
      </c>
      <c r="C3207" s="27" t="s">
        <v>51</v>
      </c>
      <c r="D3207" s="28" t="n">
        <v>2</v>
      </c>
      <c r="E3207" s="28" t="n">
        <v>3</v>
      </c>
      <c r="F3207" s="29" t="n">
        <f aca="false">'📋 Matches'!E15</f>
        <v>0</v>
      </c>
      <c r="G3207" s="29" t="n">
        <f aca="false">'📋 Matches'!F15</f>
        <v>0</v>
      </c>
      <c r="H3207" s="22" t="str">
        <f aca="false">IF(AND(ISNUMBER(F3207),ISNUMBER(G3207)),IF(SIGN(D3207-E3207)=SIGN(F3207-G3207),48,0),"")</f>
        <v/>
      </c>
      <c r="I3207" s="22" t="str">
        <f aca="false">IF(AND(ISNUMBER(F3207),ISNUMBER(G3207)),IF(D3207=F3207,15,0),"")</f>
        <v/>
      </c>
      <c r="J3207" s="22" t="str">
        <f aca="false">IF(AND(ISNUMBER(F3207),ISNUMBER(G3207)),IF(E3207=G3207,15,0),"")</f>
        <v/>
      </c>
      <c r="K3207" s="22" t="str">
        <f aca="false">IF(AND(ISNUMBER(F3207),ISNUMBER(G3207)),IF(ABS(D3207-E3207)=ABS(F3207-G3207),12,0),"")</f>
        <v/>
      </c>
      <c r="L3207" s="23" t="str">
        <f aca="false">IF(ISNUMBER(H3207),H3207+I3207+J3207+K3207,"")</f>
        <v/>
      </c>
    </row>
    <row r="3208" customFormat="false" ht="18" hidden="false" customHeight="true" outlineLevel="0" collapsed="false">
      <c r="A3208" s="25" t="s">
        <v>9</v>
      </c>
      <c r="B3208" s="32" t="s">
        <v>210</v>
      </c>
      <c r="C3208" s="27" t="s">
        <v>54</v>
      </c>
      <c r="D3208" s="28" t="n">
        <v>3</v>
      </c>
      <c r="E3208" s="28" t="n">
        <v>2</v>
      </c>
      <c r="F3208" s="29" t="n">
        <f aca="false">'📋 Matches'!E16</f>
        <v>0</v>
      </c>
      <c r="G3208" s="29" t="n">
        <f aca="false">'📋 Matches'!F16</f>
        <v>0</v>
      </c>
      <c r="H3208" s="22" t="str">
        <f aca="false">IF(AND(ISNUMBER(F3208),ISNUMBER(G3208)),IF(SIGN(D3208-E3208)=SIGN(F3208-G3208),48,0),"")</f>
        <v/>
      </c>
      <c r="I3208" s="22" t="str">
        <f aca="false">IF(AND(ISNUMBER(F3208),ISNUMBER(G3208)),IF(D3208=F3208,15,0),"")</f>
        <v/>
      </c>
      <c r="J3208" s="22" t="str">
        <f aca="false">IF(AND(ISNUMBER(F3208),ISNUMBER(G3208)),IF(E3208=G3208,15,0),"")</f>
        <v/>
      </c>
      <c r="K3208" s="22" t="str">
        <f aca="false">IF(AND(ISNUMBER(F3208),ISNUMBER(G3208)),IF(ABS(D3208-E3208)=ABS(F3208-G3208),12,0),"")</f>
        <v/>
      </c>
      <c r="L3208" s="23" t="str">
        <f aca="false">IF(ISNUMBER(H3208),H3208+I3208+J3208+K3208,"")</f>
        <v/>
      </c>
    </row>
    <row r="3209" customFormat="false" ht="18" hidden="false" customHeight="true" outlineLevel="0" collapsed="false">
      <c r="A3209" s="25" t="s">
        <v>9</v>
      </c>
      <c r="B3209" s="32" t="s">
        <v>210</v>
      </c>
      <c r="C3209" s="27" t="s">
        <v>57</v>
      </c>
      <c r="D3209" s="28" t="n">
        <v>0</v>
      </c>
      <c r="E3209" s="28" t="n">
        <v>2</v>
      </c>
      <c r="F3209" s="29" t="n">
        <f aca="false">'📋 Matches'!E17</f>
        <v>0</v>
      </c>
      <c r="G3209" s="29" t="n">
        <f aca="false">'📋 Matches'!F17</f>
        <v>0</v>
      </c>
      <c r="H3209" s="22" t="str">
        <f aca="false">IF(AND(ISNUMBER(F3209),ISNUMBER(G3209)),IF(SIGN(D3209-E3209)=SIGN(F3209-G3209),48,0),"")</f>
        <v/>
      </c>
      <c r="I3209" s="22" t="str">
        <f aca="false">IF(AND(ISNUMBER(F3209),ISNUMBER(G3209)),IF(D3209=F3209,15,0),"")</f>
        <v/>
      </c>
      <c r="J3209" s="22" t="str">
        <f aca="false">IF(AND(ISNUMBER(F3209),ISNUMBER(G3209)),IF(E3209=G3209,15,0),"")</f>
        <v/>
      </c>
      <c r="K3209" s="22" t="str">
        <f aca="false">IF(AND(ISNUMBER(F3209),ISNUMBER(G3209)),IF(ABS(D3209-E3209)=ABS(F3209-G3209),12,0),"")</f>
        <v/>
      </c>
      <c r="L3209" s="23" t="str">
        <f aca="false">IF(ISNUMBER(H3209),H3209+I3209+J3209+K3209,"")</f>
        <v/>
      </c>
    </row>
    <row r="3210" customFormat="false" ht="18" hidden="false" customHeight="true" outlineLevel="0" collapsed="false">
      <c r="A3210" s="25" t="s">
        <v>9</v>
      </c>
      <c r="B3210" s="32" t="s">
        <v>210</v>
      </c>
      <c r="C3210" s="27" t="s">
        <v>60</v>
      </c>
      <c r="D3210" s="28" t="n">
        <v>5</v>
      </c>
      <c r="E3210" s="28" t="n">
        <v>1</v>
      </c>
      <c r="F3210" s="29" t="n">
        <f aca="false">'📋 Matches'!E18</f>
        <v>0</v>
      </c>
      <c r="G3210" s="29" t="n">
        <f aca="false">'📋 Matches'!F18</f>
        <v>0</v>
      </c>
      <c r="H3210" s="22" t="str">
        <f aca="false">IF(AND(ISNUMBER(F3210),ISNUMBER(G3210)),IF(SIGN(D3210-E3210)=SIGN(F3210-G3210),48,0),"")</f>
        <v/>
      </c>
      <c r="I3210" s="22" t="str">
        <f aca="false">IF(AND(ISNUMBER(F3210),ISNUMBER(G3210)),IF(D3210=F3210,15,0),"")</f>
        <v/>
      </c>
      <c r="J3210" s="22" t="str">
        <f aca="false">IF(AND(ISNUMBER(F3210),ISNUMBER(G3210)),IF(E3210=G3210,15,0),"")</f>
        <v/>
      </c>
      <c r="K3210" s="22" t="str">
        <f aca="false">IF(AND(ISNUMBER(F3210),ISNUMBER(G3210)),IF(ABS(D3210-E3210)=ABS(F3210-G3210),12,0),"")</f>
        <v/>
      </c>
      <c r="L3210" s="23" t="str">
        <f aca="false">IF(ISNUMBER(H3210),H3210+I3210+J3210+K3210,"")</f>
        <v/>
      </c>
    </row>
    <row r="3211" customFormat="false" ht="18" hidden="false" customHeight="true" outlineLevel="0" collapsed="false">
      <c r="A3211" s="25" t="s">
        <v>9</v>
      </c>
      <c r="B3211" s="32" t="s">
        <v>210</v>
      </c>
      <c r="C3211" s="27" t="s">
        <v>63</v>
      </c>
      <c r="D3211" s="28" t="n">
        <v>0</v>
      </c>
      <c r="E3211" s="28" t="n">
        <v>3</v>
      </c>
      <c r="F3211" s="29" t="n">
        <f aca="false">'📋 Matches'!E19</f>
        <v>0</v>
      </c>
      <c r="G3211" s="29" t="n">
        <f aca="false">'📋 Matches'!F19</f>
        <v>0</v>
      </c>
      <c r="H3211" s="22" t="str">
        <f aca="false">IF(AND(ISNUMBER(F3211),ISNUMBER(G3211)),IF(SIGN(D3211-E3211)=SIGN(F3211-G3211),48,0),"")</f>
        <v/>
      </c>
      <c r="I3211" s="22" t="str">
        <f aca="false">IF(AND(ISNUMBER(F3211),ISNUMBER(G3211)),IF(D3211=F3211,15,0),"")</f>
        <v/>
      </c>
      <c r="J3211" s="22" t="str">
        <f aca="false">IF(AND(ISNUMBER(F3211),ISNUMBER(G3211)),IF(E3211=G3211,15,0),"")</f>
        <v/>
      </c>
      <c r="K3211" s="22" t="str">
        <f aca="false">IF(AND(ISNUMBER(F3211),ISNUMBER(G3211)),IF(ABS(D3211-E3211)=ABS(F3211-G3211),12,0),"")</f>
        <v/>
      </c>
      <c r="L3211" s="23" t="str">
        <f aca="false">IF(ISNUMBER(H3211),H3211+I3211+J3211+K3211,"")</f>
        <v/>
      </c>
    </row>
    <row r="3212" customFormat="false" ht="18" hidden="false" customHeight="true" outlineLevel="0" collapsed="false">
      <c r="A3212" s="25" t="s">
        <v>9</v>
      </c>
      <c r="B3212" s="32" t="s">
        <v>210</v>
      </c>
      <c r="C3212" s="27" t="s">
        <v>66</v>
      </c>
      <c r="D3212" s="28" t="n">
        <v>4</v>
      </c>
      <c r="E3212" s="28" t="n">
        <v>0</v>
      </c>
      <c r="F3212" s="29" t="n">
        <f aca="false">'📋 Matches'!E20</f>
        <v>0</v>
      </c>
      <c r="G3212" s="29" t="n">
        <f aca="false">'📋 Matches'!F20</f>
        <v>0</v>
      </c>
      <c r="H3212" s="22" t="str">
        <f aca="false">IF(AND(ISNUMBER(F3212),ISNUMBER(G3212)),IF(SIGN(D3212-E3212)=SIGN(F3212-G3212),48,0),"")</f>
        <v/>
      </c>
      <c r="I3212" s="22" t="str">
        <f aca="false">IF(AND(ISNUMBER(F3212),ISNUMBER(G3212)),IF(D3212=F3212,15,0),"")</f>
        <v/>
      </c>
      <c r="J3212" s="22" t="str">
        <f aca="false">IF(AND(ISNUMBER(F3212),ISNUMBER(G3212)),IF(E3212=G3212,15,0),"")</f>
        <v/>
      </c>
      <c r="K3212" s="22" t="str">
        <f aca="false">IF(AND(ISNUMBER(F3212),ISNUMBER(G3212)),IF(ABS(D3212-E3212)=ABS(F3212-G3212),12,0),"")</f>
        <v/>
      </c>
      <c r="L3212" s="23" t="str">
        <f aca="false">IF(ISNUMBER(H3212),H3212+I3212+J3212+K3212,"")</f>
        <v/>
      </c>
    </row>
    <row r="3213" customFormat="false" ht="18" hidden="false" customHeight="true" outlineLevel="0" collapsed="false">
      <c r="A3213" s="25" t="s">
        <v>9</v>
      </c>
      <c r="B3213" s="32" t="s">
        <v>210</v>
      </c>
      <c r="C3213" s="27" t="s">
        <v>69</v>
      </c>
      <c r="D3213" s="28" t="n">
        <v>1</v>
      </c>
      <c r="E3213" s="28" t="n">
        <v>2</v>
      </c>
      <c r="F3213" s="29" t="n">
        <f aca="false">'📋 Matches'!E21</f>
        <v>0</v>
      </c>
      <c r="G3213" s="29" t="n">
        <f aca="false">'📋 Matches'!F21</f>
        <v>0</v>
      </c>
      <c r="H3213" s="22" t="str">
        <f aca="false">IF(AND(ISNUMBER(F3213),ISNUMBER(G3213)),IF(SIGN(D3213-E3213)=SIGN(F3213-G3213),48,0),"")</f>
        <v/>
      </c>
      <c r="I3213" s="22" t="str">
        <f aca="false">IF(AND(ISNUMBER(F3213),ISNUMBER(G3213)),IF(D3213=F3213,15,0),"")</f>
        <v/>
      </c>
      <c r="J3213" s="22" t="str">
        <f aca="false">IF(AND(ISNUMBER(F3213),ISNUMBER(G3213)),IF(E3213=G3213,15,0),"")</f>
        <v/>
      </c>
      <c r="K3213" s="22" t="str">
        <f aca="false">IF(AND(ISNUMBER(F3213),ISNUMBER(G3213)),IF(ABS(D3213-E3213)=ABS(F3213-G3213),12,0),"")</f>
        <v/>
      </c>
      <c r="L3213" s="23" t="str">
        <f aca="false">IF(ISNUMBER(H3213),H3213+I3213+J3213+K3213,"")</f>
        <v/>
      </c>
    </row>
    <row r="3214" customFormat="false" ht="18" hidden="false" customHeight="true" outlineLevel="0" collapsed="false">
      <c r="A3214" s="25" t="s">
        <v>9</v>
      </c>
      <c r="B3214" s="32" t="s">
        <v>210</v>
      </c>
      <c r="C3214" s="27" t="s">
        <v>72</v>
      </c>
      <c r="D3214" s="28" t="n">
        <v>4</v>
      </c>
      <c r="E3214" s="28" t="n">
        <v>1</v>
      </c>
      <c r="F3214" s="29" t="n">
        <f aca="false">'📋 Matches'!E22</f>
        <v>0</v>
      </c>
      <c r="G3214" s="29" t="n">
        <f aca="false">'📋 Matches'!F22</f>
        <v>0</v>
      </c>
      <c r="H3214" s="22" t="str">
        <f aca="false">IF(AND(ISNUMBER(F3214),ISNUMBER(G3214)),IF(SIGN(D3214-E3214)=SIGN(F3214-G3214),48,0),"")</f>
        <v/>
      </c>
      <c r="I3214" s="22" t="str">
        <f aca="false">IF(AND(ISNUMBER(F3214),ISNUMBER(G3214)),IF(D3214=F3214,15,0),"")</f>
        <v/>
      </c>
      <c r="J3214" s="22" t="str">
        <f aca="false">IF(AND(ISNUMBER(F3214),ISNUMBER(G3214)),IF(E3214=G3214,15,0),"")</f>
        <v/>
      </c>
      <c r="K3214" s="22" t="str">
        <f aca="false">IF(AND(ISNUMBER(F3214),ISNUMBER(G3214)),IF(ABS(D3214-E3214)=ABS(F3214-G3214),12,0),"")</f>
        <v/>
      </c>
      <c r="L3214" s="23" t="str">
        <f aca="false">IF(ISNUMBER(H3214),H3214+I3214+J3214+K3214,"")</f>
        <v/>
      </c>
    </row>
    <row r="3215" customFormat="false" ht="18" hidden="false" customHeight="true" outlineLevel="0" collapsed="false">
      <c r="A3215" s="25" t="s">
        <v>9</v>
      </c>
      <c r="B3215" s="32" t="s">
        <v>210</v>
      </c>
      <c r="C3215" s="27" t="s">
        <v>75</v>
      </c>
      <c r="D3215" s="28" t="n">
        <v>3</v>
      </c>
      <c r="E3215" s="28" t="n">
        <v>2</v>
      </c>
      <c r="F3215" s="29" t="n">
        <f aca="false">'📋 Matches'!E23</f>
        <v>0</v>
      </c>
      <c r="G3215" s="29" t="n">
        <f aca="false">'📋 Matches'!F23</f>
        <v>0</v>
      </c>
      <c r="H3215" s="22" t="str">
        <f aca="false">IF(AND(ISNUMBER(F3215),ISNUMBER(G3215)),IF(SIGN(D3215-E3215)=SIGN(F3215-G3215),48,0),"")</f>
        <v/>
      </c>
      <c r="I3215" s="22" t="str">
        <f aca="false">IF(AND(ISNUMBER(F3215),ISNUMBER(G3215)),IF(D3215=F3215,15,0),"")</f>
        <v/>
      </c>
      <c r="J3215" s="22" t="str">
        <f aca="false">IF(AND(ISNUMBER(F3215),ISNUMBER(G3215)),IF(E3215=G3215,15,0),"")</f>
        <v/>
      </c>
      <c r="K3215" s="22" t="str">
        <f aca="false">IF(AND(ISNUMBER(F3215),ISNUMBER(G3215)),IF(ABS(D3215-E3215)=ABS(F3215-G3215),12,0),"")</f>
        <v/>
      </c>
      <c r="L3215" s="23" t="str">
        <f aca="false">IF(ISNUMBER(H3215),H3215+I3215+J3215+K3215,"")</f>
        <v/>
      </c>
    </row>
    <row r="3216" customFormat="false" ht="18" hidden="false" customHeight="true" outlineLevel="0" collapsed="false">
      <c r="A3216" s="25" t="s">
        <v>9</v>
      </c>
      <c r="B3216" s="32" t="s">
        <v>210</v>
      </c>
      <c r="C3216" s="27" t="s">
        <v>78</v>
      </c>
      <c r="D3216" s="28" t="n">
        <v>2</v>
      </c>
      <c r="E3216" s="28" t="n">
        <v>0</v>
      </c>
      <c r="F3216" s="29" t="n">
        <f aca="false">'📋 Matches'!E24</f>
        <v>0</v>
      </c>
      <c r="G3216" s="29" t="n">
        <f aca="false">'📋 Matches'!F24</f>
        <v>0</v>
      </c>
      <c r="H3216" s="22" t="str">
        <f aca="false">IF(AND(ISNUMBER(F3216),ISNUMBER(G3216)),IF(SIGN(D3216-E3216)=SIGN(F3216-G3216),48,0),"")</f>
        <v/>
      </c>
      <c r="I3216" s="22" t="str">
        <f aca="false">IF(AND(ISNUMBER(F3216),ISNUMBER(G3216)),IF(D3216=F3216,15,0),"")</f>
        <v/>
      </c>
      <c r="J3216" s="22" t="str">
        <f aca="false">IF(AND(ISNUMBER(F3216),ISNUMBER(G3216)),IF(E3216=G3216,15,0),"")</f>
        <v/>
      </c>
      <c r="K3216" s="22" t="str">
        <f aca="false">IF(AND(ISNUMBER(F3216),ISNUMBER(G3216)),IF(ABS(D3216-E3216)=ABS(F3216-G3216),12,0),"")</f>
        <v/>
      </c>
      <c r="L3216" s="23" t="str">
        <f aca="false">IF(ISNUMBER(H3216),H3216+I3216+J3216+K3216,"")</f>
        <v/>
      </c>
    </row>
    <row r="3217" customFormat="false" ht="18" hidden="false" customHeight="true" outlineLevel="0" collapsed="false">
      <c r="A3217" s="25" t="s">
        <v>9</v>
      </c>
      <c r="B3217" s="32" t="s">
        <v>210</v>
      </c>
      <c r="C3217" s="27" t="s">
        <v>81</v>
      </c>
      <c r="D3217" s="28" t="n">
        <v>2</v>
      </c>
      <c r="E3217" s="28" t="n">
        <v>3</v>
      </c>
      <c r="F3217" s="29" t="n">
        <f aca="false">'📋 Matches'!E25</f>
        <v>0</v>
      </c>
      <c r="G3217" s="29" t="n">
        <f aca="false">'📋 Matches'!F25</f>
        <v>0</v>
      </c>
      <c r="H3217" s="22" t="str">
        <f aca="false">IF(AND(ISNUMBER(F3217),ISNUMBER(G3217)),IF(SIGN(D3217-E3217)=SIGN(F3217-G3217),48,0),"")</f>
        <v/>
      </c>
      <c r="I3217" s="22" t="str">
        <f aca="false">IF(AND(ISNUMBER(F3217),ISNUMBER(G3217)),IF(D3217=F3217,15,0),"")</f>
        <v/>
      </c>
      <c r="J3217" s="22" t="str">
        <f aca="false">IF(AND(ISNUMBER(F3217),ISNUMBER(G3217)),IF(E3217=G3217,15,0),"")</f>
        <v/>
      </c>
      <c r="K3217" s="22" t="str">
        <f aca="false">IF(AND(ISNUMBER(F3217),ISNUMBER(G3217)),IF(ABS(D3217-E3217)=ABS(F3217-G3217),12,0),"")</f>
        <v/>
      </c>
      <c r="L3217" s="23" t="str">
        <f aca="false">IF(ISNUMBER(H3217),H3217+I3217+J3217+K3217,"")</f>
        <v/>
      </c>
    </row>
    <row r="3218" customFormat="false" ht="18" hidden="false" customHeight="true" outlineLevel="0" collapsed="false">
      <c r="A3218" s="25" t="s">
        <v>84</v>
      </c>
      <c r="B3218" s="32" t="s">
        <v>210</v>
      </c>
      <c r="C3218" s="27" t="s">
        <v>85</v>
      </c>
      <c r="D3218" s="28"/>
      <c r="E3218" s="28"/>
      <c r="F3218" s="29" t="n">
        <f aca="false">'📋 Matches'!E26</f>
        <v>0</v>
      </c>
      <c r="G3218" s="29" t="n">
        <f aca="false">'📋 Matches'!F26</f>
        <v>0</v>
      </c>
      <c r="H3218" s="30" t="s">
        <v>148</v>
      </c>
      <c r="I3218" s="30" t="s">
        <v>148</v>
      </c>
      <c r="J3218" s="30" t="s">
        <v>148</v>
      </c>
      <c r="K3218" s="30" t="s">
        <v>148</v>
      </c>
      <c r="L3218" s="30" t="s">
        <v>148</v>
      </c>
    </row>
    <row r="3219" customFormat="false" ht="18" hidden="false" customHeight="true" outlineLevel="0" collapsed="false">
      <c r="A3219" s="25" t="s">
        <v>84</v>
      </c>
      <c r="B3219" s="32" t="s">
        <v>210</v>
      </c>
      <c r="C3219" s="27" t="s">
        <v>87</v>
      </c>
      <c r="D3219" s="28"/>
      <c r="E3219" s="28"/>
      <c r="F3219" s="29" t="n">
        <f aca="false">'📋 Matches'!E27</f>
        <v>0</v>
      </c>
      <c r="G3219" s="29" t="n">
        <f aca="false">'📋 Matches'!F27</f>
        <v>0</v>
      </c>
      <c r="H3219" s="30" t="s">
        <v>148</v>
      </c>
      <c r="I3219" s="30" t="s">
        <v>148</v>
      </c>
      <c r="J3219" s="30" t="s">
        <v>148</v>
      </c>
      <c r="K3219" s="30" t="s">
        <v>148</v>
      </c>
      <c r="L3219" s="30" t="s">
        <v>148</v>
      </c>
    </row>
    <row r="3220" customFormat="false" ht="18" hidden="false" customHeight="true" outlineLevel="0" collapsed="false">
      <c r="A3220" s="25" t="s">
        <v>84</v>
      </c>
      <c r="B3220" s="32" t="s">
        <v>210</v>
      </c>
      <c r="C3220" s="27" t="s">
        <v>89</v>
      </c>
      <c r="D3220" s="28"/>
      <c r="E3220" s="28"/>
      <c r="F3220" s="29" t="n">
        <f aca="false">'📋 Matches'!E28</f>
        <v>0</v>
      </c>
      <c r="G3220" s="29" t="n">
        <f aca="false">'📋 Matches'!F28</f>
        <v>0</v>
      </c>
      <c r="H3220" s="30" t="s">
        <v>148</v>
      </c>
      <c r="I3220" s="30" t="s">
        <v>148</v>
      </c>
      <c r="J3220" s="30" t="s">
        <v>148</v>
      </c>
      <c r="K3220" s="30" t="s">
        <v>148</v>
      </c>
      <c r="L3220" s="30" t="s">
        <v>148</v>
      </c>
    </row>
    <row r="3221" customFormat="false" ht="18" hidden="false" customHeight="true" outlineLevel="0" collapsed="false">
      <c r="A3221" s="25" t="s">
        <v>84</v>
      </c>
      <c r="B3221" s="32" t="s">
        <v>210</v>
      </c>
      <c r="C3221" s="27" t="s">
        <v>90</v>
      </c>
      <c r="D3221" s="28"/>
      <c r="E3221" s="28"/>
      <c r="F3221" s="29" t="n">
        <f aca="false">'📋 Matches'!E29</f>
        <v>0</v>
      </c>
      <c r="G3221" s="29" t="n">
        <f aca="false">'📋 Matches'!F29</f>
        <v>0</v>
      </c>
      <c r="H3221" s="30" t="s">
        <v>148</v>
      </c>
      <c r="I3221" s="30" t="s">
        <v>148</v>
      </c>
      <c r="J3221" s="30" t="s">
        <v>148</v>
      </c>
      <c r="K3221" s="30" t="s">
        <v>148</v>
      </c>
      <c r="L3221" s="30" t="s">
        <v>148</v>
      </c>
    </row>
    <row r="3222" customFormat="false" ht="18" hidden="false" customHeight="true" outlineLevel="0" collapsed="false">
      <c r="A3222" s="25" t="s">
        <v>84</v>
      </c>
      <c r="B3222" s="32" t="s">
        <v>210</v>
      </c>
      <c r="C3222" s="27" t="s">
        <v>91</v>
      </c>
      <c r="D3222" s="28"/>
      <c r="E3222" s="28"/>
      <c r="F3222" s="29" t="n">
        <f aca="false">'📋 Matches'!E30</f>
        <v>0</v>
      </c>
      <c r="G3222" s="29" t="n">
        <f aca="false">'📋 Matches'!F30</f>
        <v>0</v>
      </c>
      <c r="H3222" s="30" t="s">
        <v>148</v>
      </c>
      <c r="I3222" s="30" t="s">
        <v>148</v>
      </c>
      <c r="J3222" s="30" t="s">
        <v>148</v>
      </c>
      <c r="K3222" s="30" t="s">
        <v>148</v>
      </c>
      <c r="L3222" s="30" t="s">
        <v>148</v>
      </c>
    </row>
    <row r="3223" customFormat="false" ht="18" hidden="false" customHeight="true" outlineLevel="0" collapsed="false">
      <c r="A3223" s="25" t="s">
        <v>84</v>
      </c>
      <c r="B3223" s="32" t="s">
        <v>210</v>
      </c>
      <c r="C3223" s="27" t="s">
        <v>92</v>
      </c>
      <c r="D3223" s="28"/>
      <c r="E3223" s="28"/>
      <c r="F3223" s="29" t="n">
        <f aca="false">'📋 Matches'!E31</f>
        <v>0</v>
      </c>
      <c r="G3223" s="29" t="n">
        <f aca="false">'📋 Matches'!F31</f>
        <v>0</v>
      </c>
      <c r="H3223" s="30" t="s">
        <v>148</v>
      </c>
      <c r="I3223" s="30" t="s">
        <v>148</v>
      </c>
      <c r="J3223" s="30" t="s">
        <v>148</v>
      </c>
      <c r="K3223" s="30" t="s">
        <v>148</v>
      </c>
      <c r="L3223" s="30" t="s">
        <v>148</v>
      </c>
    </row>
    <row r="3224" customFormat="false" ht="18" hidden="false" customHeight="true" outlineLevel="0" collapsed="false">
      <c r="A3224" s="25" t="s">
        <v>84</v>
      </c>
      <c r="B3224" s="32" t="s">
        <v>210</v>
      </c>
      <c r="C3224" s="27" t="s">
        <v>93</v>
      </c>
      <c r="D3224" s="28"/>
      <c r="E3224" s="28"/>
      <c r="F3224" s="29" t="n">
        <f aca="false">'📋 Matches'!E32</f>
        <v>0</v>
      </c>
      <c r="G3224" s="29" t="n">
        <f aca="false">'📋 Matches'!F32</f>
        <v>0</v>
      </c>
      <c r="H3224" s="30" t="s">
        <v>148</v>
      </c>
      <c r="I3224" s="30" t="s">
        <v>148</v>
      </c>
      <c r="J3224" s="30" t="s">
        <v>148</v>
      </c>
      <c r="K3224" s="30" t="s">
        <v>148</v>
      </c>
      <c r="L3224" s="30" t="s">
        <v>148</v>
      </c>
    </row>
    <row r="3225" customFormat="false" ht="18" hidden="false" customHeight="true" outlineLevel="0" collapsed="false">
      <c r="A3225" s="25" t="s">
        <v>84</v>
      </c>
      <c r="B3225" s="32" t="s">
        <v>210</v>
      </c>
      <c r="C3225" s="27" t="s">
        <v>94</v>
      </c>
      <c r="D3225" s="28"/>
      <c r="E3225" s="28"/>
      <c r="F3225" s="29" t="n">
        <f aca="false">'📋 Matches'!E33</f>
        <v>0</v>
      </c>
      <c r="G3225" s="29" t="n">
        <f aca="false">'📋 Matches'!F33</f>
        <v>0</v>
      </c>
      <c r="H3225" s="30" t="s">
        <v>148</v>
      </c>
      <c r="I3225" s="30" t="s">
        <v>148</v>
      </c>
      <c r="J3225" s="30" t="s">
        <v>148</v>
      </c>
      <c r="K3225" s="30" t="s">
        <v>148</v>
      </c>
      <c r="L3225" s="30" t="s">
        <v>148</v>
      </c>
    </row>
    <row r="3226" customFormat="false" ht="18" hidden="false" customHeight="true" outlineLevel="0" collapsed="false">
      <c r="A3226" s="25" t="s">
        <v>84</v>
      </c>
      <c r="B3226" s="32" t="s">
        <v>210</v>
      </c>
      <c r="C3226" s="27" t="s">
        <v>96</v>
      </c>
      <c r="D3226" s="28"/>
      <c r="E3226" s="28"/>
      <c r="F3226" s="29" t="n">
        <f aca="false">'📋 Matches'!E34</f>
        <v>0</v>
      </c>
      <c r="G3226" s="29" t="n">
        <f aca="false">'📋 Matches'!F34</f>
        <v>0</v>
      </c>
      <c r="H3226" s="30" t="s">
        <v>148</v>
      </c>
      <c r="I3226" s="30" t="s">
        <v>148</v>
      </c>
      <c r="J3226" s="30" t="s">
        <v>148</v>
      </c>
      <c r="K3226" s="30" t="s">
        <v>148</v>
      </c>
      <c r="L3226" s="30" t="s">
        <v>148</v>
      </c>
    </row>
    <row r="3227" customFormat="false" ht="18" hidden="false" customHeight="true" outlineLevel="0" collapsed="false">
      <c r="A3227" s="25" t="s">
        <v>84</v>
      </c>
      <c r="B3227" s="32" t="s">
        <v>210</v>
      </c>
      <c r="C3227" s="27" t="s">
        <v>97</v>
      </c>
      <c r="D3227" s="28"/>
      <c r="E3227" s="28"/>
      <c r="F3227" s="29" t="n">
        <f aca="false">'📋 Matches'!E35</f>
        <v>0</v>
      </c>
      <c r="G3227" s="29" t="n">
        <f aca="false">'📋 Matches'!F35</f>
        <v>0</v>
      </c>
      <c r="H3227" s="30" t="s">
        <v>148</v>
      </c>
      <c r="I3227" s="30" t="s">
        <v>148</v>
      </c>
      <c r="J3227" s="30" t="s">
        <v>148</v>
      </c>
      <c r="K3227" s="30" t="s">
        <v>148</v>
      </c>
      <c r="L3227" s="30" t="s">
        <v>148</v>
      </c>
    </row>
    <row r="3228" customFormat="false" ht="18" hidden="false" customHeight="true" outlineLevel="0" collapsed="false">
      <c r="A3228" s="25" t="s">
        <v>84</v>
      </c>
      <c r="B3228" s="32" t="s">
        <v>210</v>
      </c>
      <c r="C3228" s="27" t="s">
        <v>98</v>
      </c>
      <c r="D3228" s="28"/>
      <c r="E3228" s="28"/>
      <c r="F3228" s="29" t="n">
        <f aca="false">'📋 Matches'!E36</f>
        <v>0</v>
      </c>
      <c r="G3228" s="29" t="n">
        <f aca="false">'📋 Matches'!F36</f>
        <v>0</v>
      </c>
      <c r="H3228" s="30" t="s">
        <v>148</v>
      </c>
      <c r="I3228" s="30" t="s">
        <v>148</v>
      </c>
      <c r="J3228" s="30" t="s">
        <v>148</v>
      </c>
      <c r="K3228" s="30" t="s">
        <v>148</v>
      </c>
      <c r="L3228" s="30" t="s">
        <v>148</v>
      </c>
    </row>
    <row r="3229" customFormat="false" ht="18" hidden="false" customHeight="true" outlineLevel="0" collapsed="false">
      <c r="A3229" s="25" t="s">
        <v>84</v>
      </c>
      <c r="B3229" s="32" t="s">
        <v>210</v>
      </c>
      <c r="C3229" s="27" t="s">
        <v>100</v>
      </c>
      <c r="D3229" s="28"/>
      <c r="E3229" s="28"/>
      <c r="F3229" s="29" t="n">
        <f aca="false">'📋 Matches'!E37</f>
        <v>0</v>
      </c>
      <c r="G3229" s="29" t="n">
        <f aca="false">'📋 Matches'!F37</f>
        <v>0</v>
      </c>
      <c r="H3229" s="30" t="s">
        <v>148</v>
      </c>
      <c r="I3229" s="30" t="s">
        <v>148</v>
      </c>
      <c r="J3229" s="30" t="s">
        <v>148</v>
      </c>
      <c r="K3229" s="30" t="s">
        <v>148</v>
      </c>
      <c r="L3229" s="30" t="s">
        <v>148</v>
      </c>
    </row>
    <row r="3230" customFormat="false" ht="18" hidden="false" customHeight="true" outlineLevel="0" collapsed="false">
      <c r="A3230" s="25" t="s">
        <v>84</v>
      </c>
      <c r="B3230" s="32" t="s">
        <v>210</v>
      </c>
      <c r="C3230" s="27" t="s">
        <v>101</v>
      </c>
      <c r="D3230" s="28"/>
      <c r="E3230" s="28"/>
      <c r="F3230" s="29" t="n">
        <f aca="false">'📋 Matches'!E38</f>
        <v>0</v>
      </c>
      <c r="G3230" s="29" t="n">
        <f aca="false">'📋 Matches'!F38</f>
        <v>0</v>
      </c>
      <c r="H3230" s="30" t="s">
        <v>148</v>
      </c>
      <c r="I3230" s="30" t="s">
        <v>148</v>
      </c>
      <c r="J3230" s="30" t="s">
        <v>148</v>
      </c>
      <c r="K3230" s="30" t="s">
        <v>148</v>
      </c>
      <c r="L3230" s="30" t="s">
        <v>148</v>
      </c>
    </row>
    <row r="3231" customFormat="false" ht="18" hidden="false" customHeight="true" outlineLevel="0" collapsed="false">
      <c r="A3231" s="25" t="s">
        <v>84</v>
      </c>
      <c r="B3231" s="32" t="s">
        <v>210</v>
      </c>
      <c r="C3231" s="27" t="s">
        <v>102</v>
      </c>
      <c r="D3231" s="28"/>
      <c r="E3231" s="28"/>
      <c r="F3231" s="29" t="n">
        <f aca="false">'📋 Matches'!E39</f>
        <v>0</v>
      </c>
      <c r="G3231" s="29" t="n">
        <f aca="false">'📋 Matches'!F39</f>
        <v>0</v>
      </c>
      <c r="H3231" s="30" t="s">
        <v>148</v>
      </c>
      <c r="I3231" s="30" t="s">
        <v>148</v>
      </c>
      <c r="J3231" s="30" t="s">
        <v>148</v>
      </c>
      <c r="K3231" s="30" t="s">
        <v>148</v>
      </c>
      <c r="L3231" s="30" t="s">
        <v>148</v>
      </c>
    </row>
    <row r="3232" customFormat="false" ht="18" hidden="false" customHeight="true" outlineLevel="0" collapsed="false">
      <c r="A3232" s="25" t="s">
        <v>84</v>
      </c>
      <c r="B3232" s="32" t="s">
        <v>210</v>
      </c>
      <c r="C3232" s="27" t="s">
        <v>103</v>
      </c>
      <c r="D3232" s="28"/>
      <c r="E3232" s="28"/>
      <c r="F3232" s="29" t="n">
        <f aca="false">'📋 Matches'!E40</f>
        <v>0</v>
      </c>
      <c r="G3232" s="29" t="n">
        <f aca="false">'📋 Matches'!F40</f>
        <v>0</v>
      </c>
      <c r="H3232" s="30" t="s">
        <v>148</v>
      </c>
      <c r="I3232" s="30" t="s">
        <v>148</v>
      </c>
      <c r="J3232" s="30" t="s">
        <v>148</v>
      </c>
      <c r="K3232" s="30" t="s">
        <v>148</v>
      </c>
      <c r="L3232" s="30" t="s">
        <v>148</v>
      </c>
    </row>
    <row r="3233" customFormat="false" ht="18" hidden="false" customHeight="true" outlineLevel="0" collapsed="false">
      <c r="A3233" s="25" t="s">
        <v>84</v>
      </c>
      <c r="B3233" s="32" t="s">
        <v>210</v>
      </c>
      <c r="C3233" s="27" t="s">
        <v>104</v>
      </c>
      <c r="D3233" s="28"/>
      <c r="E3233" s="28"/>
      <c r="F3233" s="29" t="n">
        <f aca="false">'📋 Matches'!E41</f>
        <v>0</v>
      </c>
      <c r="G3233" s="29" t="n">
        <f aca="false">'📋 Matches'!F41</f>
        <v>0</v>
      </c>
      <c r="H3233" s="30" t="s">
        <v>148</v>
      </c>
      <c r="I3233" s="30" t="s">
        <v>148</v>
      </c>
      <c r="J3233" s="30" t="s">
        <v>148</v>
      </c>
      <c r="K3233" s="30" t="s">
        <v>148</v>
      </c>
      <c r="L3233" s="30" t="s">
        <v>148</v>
      </c>
    </row>
    <row r="3234" customFormat="false" ht="18" hidden="false" customHeight="true" outlineLevel="0" collapsed="false">
      <c r="A3234" s="25" t="s">
        <v>84</v>
      </c>
      <c r="B3234" s="32" t="s">
        <v>210</v>
      </c>
      <c r="C3234" s="27" t="s">
        <v>105</v>
      </c>
      <c r="D3234" s="28"/>
      <c r="E3234" s="28"/>
      <c r="F3234" s="29" t="n">
        <f aca="false">'📋 Matches'!E42</f>
        <v>0</v>
      </c>
      <c r="G3234" s="29" t="n">
        <f aca="false">'📋 Matches'!F42</f>
        <v>0</v>
      </c>
      <c r="H3234" s="30" t="s">
        <v>148</v>
      </c>
      <c r="I3234" s="30" t="s">
        <v>148</v>
      </c>
      <c r="J3234" s="30" t="s">
        <v>148</v>
      </c>
      <c r="K3234" s="30" t="s">
        <v>148</v>
      </c>
      <c r="L3234" s="30" t="s">
        <v>148</v>
      </c>
    </row>
    <row r="3235" customFormat="false" ht="18" hidden="false" customHeight="true" outlineLevel="0" collapsed="false">
      <c r="A3235" s="25" t="s">
        <v>84</v>
      </c>
      <c r="B3235" s="32" t="s">
        <v>210</v>
      </c>
      <c r="C3235" s="27" t="s">
        <v>106</v>
      </c>
      <c r="D3235" s="28"/>
      <c r="E3235" s="28"/>
      <c r="F3235" s="29" t="n">
        <f aca="false">'📋 Matches'!E43</f>
        <v>0</v>
      </c>
      <c r="G3235" s="29" t="n">
        <f aca="false">'📋 Matches'!F43</f>
        <v>0</v>
      </c>
      <c r="H3235" s="30" t="s">
        <v>148</v>
      </c>
      <c r="I3235" s="30" t="s">
        <v>148</v>
      </c>
      <c r="J3235" s="30" t="s">
        <v>148</v>
      </c>
      <c r="K3235" s="30" t="s">
        <v>148</v>
      </c>
      <c r="L3235" s="30" t="s">
        <v>148</v>
      </c>
    </row>
    <row r="3236" customFormat="false" ht="18" hidden="false" customHeight="true" outlineLevel="0" collapsed="false">
      <c r="A3236" s="25" t="s">
        <v>84</v>
      </c>
      <c r="B3236" s="32" t="s">
        <v>210</v>
      </c>
      <c r="C3236" s="27" t="s">
        <v>107</v>
      </c>
      <c r="D3236" s="28"/>
      <c r="E3236" s="28"/>
      <c r="F3236" s="29" t="n">
        <f aca="false">'📋 Matches'!E44</f>
        <v>0</v>
      </c>
      <c r="G3236" s="29" t="n">
        <f aca="false">'📋 Matches'!F44</f>
        <v>0</v>
      </c>
      <c r="H3236" s="30" t="s">
        <v>148</v>
      </c>
      <c r="I3236" s="30" t="s">
        <v>148</v>
      </c>
      <c r="J3236" s="30" t="s">
        <v>148</v>
      </c>
      <c r="K3236" s="30" t="s">
        <v>148</v>
      </c>
      <c r="L3236" s="30" t="s">
        <v>148</v>
      </c>
    </row>
    <row r="3237" customFormat="false" ht="18" hidden="false" customHeight="true" outlineLevel="0" collapsed="false">
      <c r="A3237" s="25" t="s">
        <v>84</v>
      </c>
      <c r="B3237" s="32" t="s">
        <v>210</v>
      </c>
      <c r="C3237" s="27" t="s">
        <v>108</v>
      </c>
      <c r="D3237" s="28"/>
      <c r="E3237" s="28"/>
      <c r="F3237" s="29" t="n">
        <f aca="false">'📋 Matches'!E45</f>
        <v>0</v>
      </c>
      <c r="G3237" s="29" t="n">
        <f aca="false">'📋 Matches'!F45</f>
        <v>0</v>
      </c>
      <c r="H3237" s="30" t="s">
        <v>148</v>
      </c>
      <c r="I3237" s="30" t="s">
        <v>148</v>
      </c>
      <c r="J3237" s="30" t="s">
        <v>148</v>
      </c>
      <c r="K3237" s="30" t="s">
        <v>148</v>
      </c>
      <c r="L3237" s="30" t="s">
        <v>148</v>
      </c>
    </row>
    <row r="3238" customFormat="false" ht="18" hidden="false" customHeight="true" outlineLevel="0" collapsed="false">
      <c r="A3238" s="25" t="s">
        <v>84</v>
      </c>
      <c r="B3238" s="32" t="s">
        <v>210</v>
      </c>
      <c r="C3238" s="27" t="s">
        <v>109</v>
      </c>
      <c r="D3238" s="28"/>
      <c r="E3238" s="28"/>
      <c r="F3238" s="29" t="n">
        <f aca="false">'📋 Matches'!E46</f>
        <v>0</v>
      </c>
      <c r="G3238" s="29" t="n">
        <f aca="false">'📋 Matches'!F46</f>
        <v>0</v>
      </c>
      <c r="H3238" s="30" t="s">
        <v>148</v>
      </c>
      <c r="I3238" s="30" t="s">
        <v>148</v>
      </c>
      <c r="J3238" s="30" t="s">
        <v>148</v>
      </c>
      <c r="K3238" s="30" t="s">
        <v>148</v>
      </c>
      <c r="L3238" s="30" t="s">
        <v>148</v>
      </c>
    </row>
    <row r="3239" customFormat="false" ht="18" hidden="false" customHeight="true" outlineLevel="0" collapsed="false">
      <c r="A3239" s="25" t="s">
        <v>84</v>
      </c>
      <c r="B3239" s="32" t="s">
        <v>210</v>
      </c>
      <c r="C3239" s="27" t="s">
        <v>110</v>
      </c>
      <c r="D3239" s="28"/>
      <c r="E3239" s="28"/>
      <c r="F3239" s="29" t="n">
        <f aca="false">'📋 Matches'!E47</f>
        <v>0</v>
      </c>
      <c r="G3239" s="29" t="n">
        <f aca="false">'📋 Matches'!F47</f>
        <v>0</v>
      </c>
      <c r="H3239" s="30" t="s">
        <v>148</v>
      </c>
      <c r="I3239" s="30" t="s">
        <v>148</v>
      </c>
      <c r="J3239" s="30" t="s">
        <v>148</v>
      </c>
      <c r="K3239" s="30" t="s">
        <v>148</v>
      </c>
      <c r="L3239" s="30" t="s">
        <v>148</v>
      </c>
    </row>
    <row r="3240" customFormat="false" ht="18" hidden="false" customHeight="true" outlineLevel="0" collapsed="false">
      <c r="A3240" s="25" t="s">
        <v>84</v>
      </c>
      <c r="B3240" s="32" t="s">
        <v>210</v>
      </c>
      <c r="C3240" s="27" t="s">
        <v>111</v>
      </c>
      <c r="D3240" s="28"/>
      <c r="E3240" s="28"/>
      <c r="F3240" s="29" t="n">
        <f aca="false">'📋 Matches'!E48</f>
        <v>0</v>
      </c>
      <c r="G3240" s="29" t="n">
        <f aca="false">'📋 Matches'!F48</f>
        <v>0</v>
      </c>
      <c r="H3240" s="30" t="s">
        <v>148</v>
      </c>
      <c r="I3240" s="30" t="s">
        <v>148</v>
      </c>
      <c r="J3240" s="30" t="s">
        <v>148</v>
      </c>
      <c r="K3240" s="30" t="s">
        <v>148</v>
      </c>
      <c r="L3240" s="30" t="s">
        <v>148</v>
      </c>
    </row>
    <row r="3241" customFormat="false" ht="18" hidden="false" customHeight="true" outlineLevel="0" collapsed="false">
      <c r="A3241" s="25" t="s">
        <v>84</v>
      </c>
      <c r="B3241" s="32" t="s">
        <v>210</v>
      </c>
      <c r="C3241" s="27" t="s">
        <v>112</v>
      </c>
      <c r="D3241" s="28"/>
      <c r="E3241" s="28"/>
      <c r="F3241" s="29" t="n">
        <f aca="false">'📋 Matches'!E49</f>
        <v>0</v>
      </c>
      <c r="G3241" s="29" t="n">
        <f aca="false">'📋 Matches'!F49</f>
        <v>0</v>
      </c>
      <c r="H3241" s="30" t="s">
        <v>148</v>
      </c>
      <c r="I3241" s="30" t="s">
        <v>148</v>
      </c>
      <c r="J3241" s="30" t="s">
        <v>148</v>
      </c>
      <c r="K3241" s="30" t="s">
        <v>148</v>
      </c>
      <c r="L3241" s="30" t="s">
        <v>148</v>
      </c>
    </row>
    <row r="3242" customFormat="false" ht="18" hidden="false" customHeight="true" outlineLevel="0" collapsed="false">
      <c r="A3242" s="25" t="s">
        <v>114</v>
      </c>
      <c r="B3242" s="32" t="s">
        <v>210</v>
      </c>
      <c r="C3242" s="27" t="s">
        <v>115</v>
      </c>
      <c r="D3242" s="28"/>
      <c r="E3242" s="28"/>
      <c r="F3242" s="29" t="n">
        <f aca="false">'📋 Matches'!E50</f>
        <v>0</v>
      </c>
      <c r="G3242" s="29" t="n">
        <f aca="false">'📋 Matches'!F50</f>
        <v>0</v>
      </c>
      <c r="H3242" s="30" t="s">
        <v>148</v>
      </c>
      <c r="I3242" s="30" t="s">
        <v>148</v>
      </c>
      <c r="J3242" s="30" t="s">
        <v>148</v>
      </c>
      <c r="K3242" s="30" t="s">
        <v>148</v>
      </c>
      <c r="L3242" s="30" t="s">
        <v>148</v>
      </c>
    </row>
    <row r="3243" customFormat="false" ht="18" hidden="false" customHeight="true" outlineLevel="0" collapsed="false">
      <c r="A3243" s="25" t="s">
        <v>114</v>
      </c>
      <c r="B3243" s="32" t="s">
        <v>210</v>
      </c>
      <c r="C3243" s="27" t="s">
        <v>116</v>
      </c>
      <c r="D3243" s="28"/>
      <c r="E3243" s="28"/>
      <c r="F3243" s="29" t="n">
        <f aca="false">'📋 Matches'!E51</f>
        <v>0</v>
      </c>
      <c r="G3243" s="29" t="n">
        <f aca="false">'📋 Matches'!F51</f>
        <v>0</v>
      </c>
      <c r="H3243" s="30" t="s">
        <v>148</v>
      </c>
      <c r="I3243" s="30" t="s">
        <v>148</v>
      </c>
      <c r="J3243" s="30" t="s">
        <v>148</v>
      </c>
      <c r="K3243" s="30" t="s">
        <v>148</v>
      </c>
      <c r="L3243" s="30" t="s">
        <v>148</v>
      </c>
    </row>
    <row r="3244" customFormat="false" ht="18" hidden="false" customHeight="true" outlineLevel="0" collapsed="false">
      <c r="A3244" s="25" t="s">
        <v>114</v>
      </c>
      <c r="B3244" s="32" t="s">
        <v>210</v>
      </c>
      <c r="C3244" s="27" t="s">
        <v>117</v>
      </c>
      <c r="D3244" s="28"/>
      <c r="E3244" s="28"/>
      <c r="F3244" s="29" t="n">
        <f aca="false">'📋 Matches'!E52</f>
        <v>0</v>
      </c>
      <c r="G3244" s="29" t="n">
        <f aca="false">'📋 Matches'!F52</f>
        <v>0</v>
      </c>
      <c r="H3244" s="30" t="s">
        <v>148</v>
      </c>
      <c r="I3244" s="30" t="s">
        <v>148</v>
      </c>
      <c r="J3244" s="30" t="s">
        <v>148</v>
      </c>
      <c r="K3244" s="30" t="s">
        <v>148</v>
      </c>
      <c r="L3244" s="30" t="s">
        <v>148</v>
      </c>
    </row>
    <row r="3245" customFormat="false" ht="18" hidden="false" customHeight="true" outlineLevel="0" collapsed="false">
      <c r="A3245" s="25" t="s">
        <v>114</v>
      </c>
      <c r="B3245" s="32" t="s">
        <v>210</v>
      </c>
      <c r="C3245" s="27" t="s">
        <v>118</v>
      </c>
      <c r="D3245" s="28"/>
      <c r="E3245" s="28"/>
      <c r="F3245" s="29" t="n">
        <f aca="false">'📋 Matches'!E53</f>
        <v>0</v>
      </c>
      <c r="G3245" s="29" t="n">
        <f aca="false">'📋 Matches'!F53</f>
        <v>0</v>
      </c>
      <c r="H3245" s="30" t="s">
        <v>148</v>
      </c>
      <c r="I3245" s="30" t="s">
        <v>148</v>
      </c>
      <c r="J3245" s="30" t="s">
        <v>148</v>
      </c>
      <c r="K3245" s="30" t="s">
        <v>148</v>
      </c>
      <c r="L3245" s="30" t="s">
        <v>148</v>
      </c>
    </row>
    <row r="3246" customFormat="false" ht="18" hidden="false" customHeight="true" outlineLevel="0" collapsed="false">
      <c r="A3246" s="25" t="s">
        <v>114</v>
      </c>
      <c r="B3246" s="32" t="s">
        <v>210</v>
      </c>
      <c r="C3246" s="27" t="s">
        <v>119</v>
      </c>
      <c r="D3246" s="28"/>
      <c r="E3246" s="28"/>
      <c r="F3246" s="29" t="n">
        <f aca="false">'📋 Matches'!E54</f>
        <v>0</v>
      </c>
      <c r="G3246" s="29" t="n">
        <f aca="false">'📋 Matches'!F54</f>
        <v>0</v>
      </c>
      <c r="H3246" s="30" t="s">
        <v>148</v>
      </c>
      <c r="I3246" s="30" t="s">
        <v>148</v>
      </c>
      <c r="J3246" s="30" t="s">
        <v>148</v>
      </c>
      <c r="K3246" s="30" t="s">
        <v>148</v>
      </c>
      <c r="L3246" s="30" t="s">
        <v>148</v>
      </c>
    </row>
    <row r="3247" customFormat="false" ht="18" hidden="false" customHeight="true" outlineLevel="0" collapsed="false">
      <c r="A3247" s="25" t="s">
        <v>114</v>
      </c>
      <c r="B3247" s="32" t="s">
        <v>210</v>
      </c>
      <c r="C3247" s="27" t="s">
        <v>120</v>
      </c>
      <c r="D3247" s="28"/>
      <c r="E3247" s="28"/>
      <c r="F3247" s="29" t="n">
        <f aca="false">'📋 Matches'!E55</f>
        <v>0</v>
      </c>
      <c r="G3247" s="29" t="n">
        <f aca="false">'📋 Matches'!F55</f>
        <v>0</v>
      </c>
      <c r="H3247" s="30" t="s">
        <v>148</v>
      </c>
      <c r="I3247" s="30" t="s">
        <v>148</v>
      </c>
      <c r="J3247" s="30" t="s">
        <v>148</v>
      </c>
      <c r="K3247" s="30" t="s">
        <v>148</v>
      </c>
      <c r="L3247" s="30" t="s">
        <v>148</v>
      </c>
    </row>
    <row r="3248" customFormat="false" ht="18" hidden="false" customHeight="true" outlineLevel="0" collapsed="false">
      <c r="A3248" s="25" t="s">
        <v>114</v>
      </c>
      <c r="B3248" s="32" t="s">
        <v>210</v>
      </c>
      <c r="C3248" s="27" t="s">
        <v>121</v>
      </c>
      <c r="D3248" s="28"/>
      <c r="E3248" s="28"/>
      <c r="F3248" s="29" t="n">
        <f aca="false">'📋 Matches'!E56</f>
        <v>0</v>
      </c>
      <c r="G3248" s="29" t="n">
        <f aca="false">'📋 Matches'!F56</f>
        <v>0</v>
      </c>
      <c r="H3248" s="30" t="s">
        <v>148</v>
      </c>
      <c r="I3248" s="30" t="s">
        <v>148</v>
      </c>
      <c r="J3248" s="30" t="s">
        <v>148</v>
      </c>
      <c r="K3248" s="30" t="s">
        <v>148</v>
      </c>
      <c r="L3248" s="30" t="s">
        <v>148</v>
      </c>
    </row>
    <row r="3249" customFormat="false" ht="18" hidden="false" customHeight="true" outlineLevel="0" collapsed="false">
      <c r="A3249" s="25" t="s">
        <v>114</v>
      </c>
      <c r="B3249" s="32" t="s">
        <v>210</v>
      </c>
      <c r="C3249" s="27" t="s">
        <v>122</v>
      </c>
      <c r="D3249" s="28"/>
      <c r="E3249" s="28"/>
      <c r="F3249" s="29" t="n">
        <f aca="false">'📋 Matches'!E57</f>
        <v>0</v>
      </c>
      <c r="G3249" s="29" t="n">
        <f aca="false">'📋 Matches'!F57</f>
        <v>0</v>
      </c>
      <c r="H3249" s="30" t="s">
        <v>148</v>
      </c>
      <c r="I3249" s="30" t="s">
        <v>148</v>
      </c>
      <c r="J3249" s="30" t="s">
        <v>148</v>
      </c>
      <c r="K3249" s="30" t="s">
        <v>148</v>
      </c>
      <c r="L3249" s="30" t="s">
        <v>148</v>
      </c>
    </row>
    <row r="3250" customFormat="false" ht="18" hidden="false" customHeight="true" outlineLevel="0" collapsed="false">
      <c r="A3250" s="25" t="s">
        <v>114</v>
      </c>
      <c r="B3250" s="32" t="s">
        <v>210</v>
      </c>
      <c r="C3250" s="27" t="s">
        <v>123</v>
      </c>
      <c r="D3250" s="28"/>
      <c r="E3250" s="28"/>
      <c r="F3250" s="29" t="n">
        <f aca="false">'📋 Matches'!E58</f>
        <v>0</v>
      </c>
      <c r="G3250" s="29" t="n">
        <f aca="false">'📋 Matches'!F58</f>
        <v>0</v>
      </c>
      <c r="H3250" s="30" t="s">
        <v>148</v>
      </c>
      <c r="I3250" s="30" t="s">
        <v>148</v>
      </c>
      <c r="J3250" s="30" t="s">
        <v>148</v>
      </c>
      <c r="K3250" s="30" t="s">
        <v>148</v>
      </c>
      <c r="L3250" s="30" t="s">
        <v>148</v>
      </c>
    </row>
    <row r="3251" customFormat="false" ht="18" hidden="false" customHeight="true" outlineLevel="0" collapsed="false">
      <c r="A3251" s="25" t="s">
        <v>114</v>
      </c>
      <c r="B3251" s="32" t="s">
        <v>210</v>
      </c>
      <c r="C3251" s="27" t="s">
        <v>124</v>
      </c>
      <c r="D3251" s="28"/>
      <c r="E3251" s="28"/>
      <c r="F3251" s="29" t="n">
        <f aca="false">'📋 Matches'!E59</f>
        <v>0</v>
      </c>
      <c r="G3251" s="29" t="n">
        <f aca="false">'📋 Matches'!F59</f>
        <v>0</v>
      </c>
      <c r="H3251" s="30" t="s">
        <v>148</v>
      </c>
      <c r="I3251" s="30" t="s">
        <v>148</v>
      </c>
      <c r="J3251" s="30" t="s">
        <v>148</v>
      </c>
      <c r="K3251" s="30" t="s">
        <v>148</v>
      </c>
      <c r="L3251" s="30" t="s">
        <v>148</v>
      </c>
    </row>
    <row r="3252" customFormat="false" ht="18" hidden="false" customHeight="true" outlineLevel="0" collapsed="false">
      <c r="A3252" s="25" t="s">
        <v>114</v>
      </c>
      <c r="B3252" s="32" t="s">
        <v>210</v>
      </c>
      <c r="C3252" s="27" t="s">
        <v>125</v>
      </c>
      <c r="D3252" s="28"/>
      <c r="E3252" s="28"/>
      <c r="F3252" s="29" t="n">
        <f aca="false">'📋 Matches'!E60</f>
        <v>0</v>
      </c>
      <c r="G3252" s="29" t="n">
        <f aca="false">'📋 Matches'!F60</f>
        <v>0</v>
      </c>
      <c r="H3252" s="30" t="s">
        <v>148</v>
      </c>
      <c r="I3252" s="30" t="s">
        <v>148</v>
      </c>
      <c r="J3252" s="30" t="s">
        <v>148</v>
      </c>
      <c r="K3252" s="30" t="s">
        <v>148</v>
      </c>
      <c r="L3252" s="30" t="s">
        <v>148</v>
      </c>
    </row>
    <row r="3253" customFormat="false" ht="18" hidden="false" customHeight="true" outlineLevel="0" collapsed="false">
      <c r="A3253" s="25" t="s">
        <v>114</v>
      </c>
      <c r="B3253" s="32" t="s">
        <v>210</v>
      </c>
      <c r="C3253" s="27" t="s">
        <v>126</v>
      </c>
      <c r="D3253" s="28"/>
      <c r="E3253" s="28"/>
      <c r="F3253" s="29" t="n">
        <f aca="false">'📋 Matches'!E61</f>
        <v>0</v>
      </c>
      <c r="G3253" s="29" t="n">
        <f aca="false">'📋 Matches'!F61</f>
        <v>0</v>
      </c>
      <c r="H3253" s="30" t="s">
        <v>148</v>
      </c>
      <c r="I3253" s="30" t="s">
        <v>148</v>
      </c>
      <c r="J3253" s="30" t="s">
        <v>148</v>
      </c>
      <c r="K3253" s="30" t="s">
        <v>148</v>
      </c>
      <c r="L3253" s="30" t="s">
        <v>148</v>
      </c>
    </row>
    <row r="3254" customFormat="false" ht="18" hidden="false" customHeight="true" outlineLevel="0" collapsed="false">
      <c r="A3254" s="25" t="s">
        <v>114</v>
      </c>
      <c r="B3254" s="32" t="s">
        <v>210</v>
      </c>
      <c r="C3254" s="27" t="s">
        <v>127</v>
      </c>
      <c r="D3254" s="28"/>
      <c r="E3254" s="28"/>
      <c r="F3254" s="29" t="n">
        <f aca="false">'📋 Matches'!E62</f>
        <v>0</v>
      </c>
      <c r="G3254" s="29" t="n">
        <f aca="false">'📋 Matches'!F62</f>
        <v>0</v>
      </c>
      <c r="H3254" s="30" t="s">
        <v>148</v>
      </c>
      <c r="I3254" s="30" t="s">
        <v>148</v>
      </c>
      <c r="J3254" s="30" t="s">
        <v>148</v>
      </c>
      <c r="K3254" s="30" t="s">
        <v>148</v>
      </c>
      <c r="L3254" s="30" t="s">
        <v>148</v>
      </c>
    </row>
    <row r="3255" customFormat="false" ht="18" hidden="false" customHeight="true" outlineLevel="0" collapsed="false">
      <c r="A3255" s="25" t="s">
        <v>114</v>
      </c>
      <c r="B3255" s="32" t="s">
        <v>210</v>
      </c>
      <c r="C3255" s="27" t="s">
        <v>128</v>
      </c>
      <c r="D3255" s="28"/>
      <c r="E3255" s="28"/>
      <c r="F3255" s="29" t="n">
        <f aca="false">'📋 Matches'!E63</f>
        <v>0</v>
      </c>
      <c r="G3255" s="29" t="n">
        <f aca="false">'📋 Matches'!F63</f>
        <v>0</v>
      </c>
      <c r="H3255" s="30" t="s">
        <v>148</v>
      </c>
      <c r="I3255" s="30" t="s">
        <v>148</v>
      </c>
      <c r="J3255" s="30" t="s">
        <v>148</v>
      </c>
      <c r="K3255" s="30" t="s">
        <v>148</v>
      </c>
      <c r="L3255" s="30" t="s">
        <v>148</v>
      </c>
    </row>
    <row r="3256" customFormat="false" ht="18" hidden="false" customHeight="true" outlineLevel="0" collapsed="false">
      <c r="A3256" s="25" t="s">
        <v>114</v>
      </c>
      <c r="B3256" s="32" t="s">
        <v>210</v>
      </c>
      <c r="C3256" s="27" t="s">
        <v>129</v>
      </c>
      <c r="D3256" s="28"/>
      <c r="E3256" s="28"/>
      <c r="F3256" s="29" t="n">
        <f aca="false">'📋 Matches'!E64</f>
        <v>0</v>
      </c>
      <c r="G3256" s="29" t="n">
        <f aca="false">'📋 Matches'!F64</f>
        <v>0</v>
      </c>
      <c r="H3256" s="30" t="s">
        <v>148</v>
      </c>
      <c r="I3256" s="30" t="s">
        <v>148</v>
      </c>
      <c r="J3256" s="30" t="s">
        <v>148</v>
      </c>
      <c r="K3256" s="30" t="s">
        <v>148</v>
      </c>
      <c r="L3256" s="30" t="s">
        <v>148</v>
      </c>
    </row>
    <row r="3257" customFormat="false" ht="18" hidden="false" customHeight="true" outlineLevel="0" collapsed="false">
      <c r="A3257" s="25" t="s">
        <v>114</v>
      </c>
      <c r="B3257" s="32" t="s">
        <v>210</v>
      </c>
      <c r="C3257" s="27" t="s">
        <v>130</v>
      </c>
      <c r="D3257" s="28"/>
      <c r="E3257" s="28"/>
      <c r="F3257" s="29" t="n">
        <f aca="false">'📋 Matches'!E65</f>
        <v>0</v>
      </c>
      <c r="G3257" s="29" t="n">
        <f aca="false">'📋 Matches'!F65</f>
        <v>0</v>
      </c>
      <c r="H3257" s="30" t="s">
        <v>148</v>
      </c>
      <c r="I3257" s="30" t="s">
        <v>148</v>
      </c>
      <c r="J3257" s="30" t="s">
        <v>148</v>
      </c>
      <c r="K3257" s="30" t="s">
        <v>148</v>
      </c>
      <c r="L3257" s="30" t="s">
        <v>148</v>
      </c>
    </row>
    <row r="3258" customFormat="false" ht="18" hidden="false" customHeight="true" outlineLevel="0" collapsed="false">
      <c r="A3258" s="25" t="s">
        <v>114</v>
      </c>
      <c r="B3258" s="32" t="s">
        <v>210</v>
      </c>
      <c r="C3258" s="27" t="s">
        <v>131</v>
      </c>
      <c r="D3258" s="28"/>
      <c r="E3258" s="28"/>
      <c r="F3258" s="29" t="n">
        <f aca="false">'📋 Matches'!E66</f>
        <v>0</v>
      </c>
      <c r="G3258" s="29" t="n">
        <f aca="false">'📋 Matches'!F66</f>
        <v>0</v>
      </c>
      <c r="H3258" s="30" t="s">
        <v>148</v>
      </c>
      <c r="I3258" s="30" t="s">
        <v>148</v>
      </c>
      <c r="J3258" s="30" t="s">
        <v>148</v>
      </c>
      <c r="K3258" s="30" t="s">
        <v>148</v>
      </c>
      <c r="L3258" s="30" t="s">
        <v>148</v>
      </c>
    </row>
    <row r="3259" customFormat="false" ht="18" hidden="false" customHeight="true" outlineLevel="0" collapsed="false">
      <c r="A3259" s="25" t="s">
        <v>114</v>
      </c>
      <c r="B3259" s="32" t="s">
        <v>210</v>
      </c>
      <c r="C3259" s="27" t="s">
        <v>132</v>
      </c>
      <c r="D3259" s="28"/>
      <c r="E3259" s="28"/>
      <c r="F3259" s="29" t="n">
        <f aca="false">'📋 Matches'!E67</f>
        <v>0</v>
      </c>
      <c r="G3259" s="29" t="n">
        <f aca="false">'📋 Matches'!F67</f>
        <v>0</v>
      </c>
      <c r="H3259" s="30" t="s">
        <v>148</v>
      </c>
      <c r="I3259" s="30" t="s">
        <v>148</v>
      </c>
      <c r="J3259" s="30" t="s">
        <v>148</v>
      </c>
      <c r="K3259" s="30" t="s">
        <v>148</v>
      </c>
      <c r="L3259" s="30" t="s">
        <v>148</v>
      </c>
    </row>
    <row r="3260" customFormat="false" ht="18" hidden="false" customHeight="true" outlineLevel="0" collapsed="false">
      <c r="A3260" s="25" t="s">
        <v>114</v>
      </c>
      <c r="B3260" s="32" t="s">
        <v>210</v>
      </c>
      <c r="C3260" s="27" t="s">
        <v>133</v>
      </c>
      <c r="D3260" s="28"/>
      <c r="E3260" s="28"/>
      <c r="F3260" s="29" t="n">
        <f aca="false">'📋 Matches'!E68</f>
        <v>0</v>
      </c>
      <c r="G3260" s="29" t="n">
        <f aca="false">'📋 Matches'!F68</f>
        <v>0</v>
      </c>
      <c r="H3260" s="30" t="s">
        <v>148</v>
      </c>
      <c r="I3260" s="30" t="s">
        <v>148</v>
      </c>
      <c r="J3260" s="30" t="s">
        <v>148</v>
      </c>
      <c r="K3260" s="30" t="s">
        <v>148</v>
      </c>
      <c r="L3260" s="30" t="s">
        <v>148</v>
      </c>
    </row>
    <row r="3261" customFormat="false" ht="18" hidden="false" customHeight="true" outlineLevel="0" collapsed="false">
      <c r="A3261" s="25" t="s">
        <v>114</v>
      </c>
      <c r="B3261" s="32" t="s">
        <v>210</v>
      </c>
      <c r="C3261" s="27" t="s">
        <v>134</v>
      </c>
      <c r="D3261" s="28"/>
      <c r="E3261" s="28"/>
      <c r="F3261" s="29" t="n">
        <f aca="false">'📋 Matches'!E69</f>
        <v>0</v>
      </c>
      <c r="G3261" s="29" t="n">
        <f aca="false">'📋 Matches'!F69</f>
        <v>0</v>
      </c>
      <c r="H3261" s="30" t="s">
        <v>148</v>
      </c>
      <c r="I3261" s="30" t="s">
        <v>148</v>
      </c>
      <c r="J3261" s="30" t="s">
        <v>148</v>
      </c>
      <c r="K3261" s="30" t="s">
        <v>148</v>
      </c>
      <c r="L3261" s="30" t="s">
        <v>148</v>
      </c>
    </row>
    <row r="3262" customFormat="false" ht="18" hidden="false" customHeight="true" outlineLevel="0" collapsed="false">
      <c r="A3262" s="25" t="s">
        <v>114</v>
      </c>
      <c r="B3262" s="32" t="s">
        <v>210</v>
      </c>
      <c r="C3262" s="27" t="s">
        <v>135</v>
      </c>
      <c r="D3262" s="28"/>
      <c r="E3262" s="28"/>
      <c r="F3262" s="29" t="n">
        <f aca="false">'📋 Matches'!E70</f>
        <v>0</v>
      </c>
      <c r="G3262" s="29" t="n">
        <f aca="false">'📋 Matches'!F70</f>
        <v>0</v>
      </c>
      <c r="H3262" s="30" t="s">
        <v>148</v>
      </c>
      <c r="I3262" s="30" t="s">
        <v>148</v>
      </c>
      <c r="J3262" s="30" t="s">
        <v>148</v>
      </c>
      <c r="K3262" s="30" t="s">
        <v>148</v>
      </c>
      <c r="L3262" s="30" t="s">
        <v>148</v>
      </c>
    </row>
    <row r="3263" customFormat="false" ht="18" hidden="false" customHeight="true" outlineLevel="0" collapsed="false">
      <c r="A3263" s="25" t="s">
        <v>114</v>
      </c>
      <c r="B3263" s="32" t="s">
        <v>210</v>
      </c>
      <c r="C3263" s="27" t="s">
        <v>136</v>
      </c>
      <c r="D3263" s="28"/>
      <c r="E3263" s="28"/>
      <c r="F3263" s="29" t="n">
        <f aca="false">'📋 Matches'!E71</f>
        <v>0</v>
      </c>
      <c r="G3263" s="29" t="n">
        <f aca="false">'📋 Matches'!F71</f>
        <v>0</v>
      </c>
      <c r="H3263" s="30" t="s">
        <v>148</v>
      </c>
      <c r="I3263" s="30" t="s">
        <v>148</v>
      </c>
      <c r="J3263" s="30" t="s">
        <v>148</v>
      </c>
      <c r="K3263" s="30" t="s">
        <v>148</v>
      </c>
      <c r="L3263" s="30" t="s">
        <v>148</v>
      </c>
    </row>
    <row r="3264" customFormat="false" ht="18" hidden="false" customHeight="true" outlineLevel="0" collapsed="false">
      <c r="A3264" s="25" t="s">
        <v>114</v>
      </c>
      <c r="B3264" s="32" t="s">
        <v>210</v>
      </c>
      <c r="C3264" s="27" t="s">
        <v>137</v>
      </c>
      <c r="D3264" s="28"/>
      <c r="E3264" s="28"/>
      <c r="F3264" s="29" t="n">
        <f aca="false">'📋 Matches'!E72</f>
        <v>0</v>
      </c>
      <c r="G3264" s="29" t="n">
        <f aca="false">'📋 Matches'!F72</f>
        <v>0</v>
      </c>
      <c r="H3264" s="30" t="s">
        <v>148</v>
      </c>
      <c r="I3264" s="30" t="s">
        <v>148</v>
      </c>
      <c r="J3264" s="30" t="s">
        <v>148</v>
      </c>
      <c r="K3264" s="30" t="s">
        <v>148</v>
      </c>
      <c r="L3264" s="30" t="s">
        <v>148</v>
      </c>
    </row>
    <row r="3265" customFormat="false" ht="18" hidden="false" customHeight="true" outlineLevel="0" collapsed="false">
      <c r="A3265" s="25" t="s">
        <v>114</v>
      </c>
      <c r="B3265" s="32" t="s">
        <v>210</v>
      </c>
      <c r="C3265" s="27" t="s">
        <v>138</v>
      </c>
      <c r="D3265" s="28"/>
      <c r="E3265" s="28"/>
      <c r="F3265" s="29" t="n">
        <f aca="false">'📋 Matches'!E73</f>
        <v>0</v>
      </c>
      <c r="G3265" s="29" t="n">
        <f aca="false">'📋 Matches'!F73</f>
        <v>0</v>
      </c>
      <c r="H3265" s="30" t="s">
        <v>148</v>
      </c>
      <c r="I3265" s="30" t="s">
        <v>148</v>
      </c>
      <c r="J3265" s="30" t="s">
        <v>148</v>
      </c>
      <c r="K3265" s="30" t="s">
        <v>148</v>
      </c>
      <c r="L3265" s="30" t="s">
        <v>148</v>
      </c>
    </row>
  </sheetData>
  <autoFilter ref="A1:L32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8" min="4" style="0" width="10"/>
  </cols>
  <sheetData>
    <row r="1" customFormat="false" ht="39.75" hidden="false" customHeight="true" outlineLevel="0" collapsed="false">
      <c r="A1" s="1" t="s">
        <v>211</v>
      </c>
      <c r="B1" s="1" t="s">
        <v>139</v>
      </c>
      <c r="C1" s="1" t="s">
        <v>146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</row>
    <row r="2" customFormat="false" ht="21.75" hidden="false" customHeight="true" outlineLevel="0" collapsed="false">
      <c r="A2" s="33" t="n">
        <v>1</v>
      </c>
      <c r="B2" s="34" t="s">
        <v>147</v>
      </c>
      <c r="C2" s="35" t="n">
        <f aca="false">IFERROR(SUMIF('📊 Predictions'!B:B,B2,'📊 Predictions'!L:L),0)</f>
        <v>87</v>
      </c>
      <c r="D2" s="36" t="n">
        <f aca="false">IFERROR(SUMIF('📊 Predictions'!B:B,B2,'📊 Predictions'!H:H),0)</f>
        <v>48</v>
      </c>
      <c r="E2" s="36" t="n">
        <f aca="false">IFERROR(SUMIF('📊 Predictions'!B:B,B2,'📊 Predictions'!I:I),0)</f>
        <v>0</v>
      </c>
      <c r="F2" s="36" t="n">
        <f aca="false">IFERROR(SUMIF('📊 Predictions'!B:B,B2,'📊 Predictions'!J:J),0)</f>
        <v>15</v>
      </c>
      <c r="G2" s="36" t="n">
        <f aca="false">IFERROR(SUMIF('📊 Predictions'!B:B,B2,'📊 Predictions'!K:K),0)</f>
        <v>24</v>
      </c>
      <c r="H2" s="37" t="n">
        <f aca="false">IFERROR(COUNTIF('📊 Predictions'!B:B,B2),0)</f>
        <v>72</v>
      </c>
    </row>
    <row r="3" customFormat="false" ht="21.75" hidden="false" customHeight="true" outlineLevel="0" collapsed="false">
      <c r="A3" s="38" t="n">
        <v>2</v>
      </c>
      <c r="B3" s="39" t="s">
        <v>149</v>
      </c>
      <c r="C3" s="35" t="n">
        <f aca="false">IFERROR(SUMIF('📊 Predictions'!B:B,B3,'📊 Predictions'!L:L),0)</f>
        <v>93</v>
      </c>
      <c r="D3" s="40" t="n">
        <f aca="false">IFERROR(SUMIF('📊 Predictions'!B:B,B3,'📊 Predictions'!H:H),0)</f>
        <v>48</v>
      </c>
      <c r="E3" s="40" t="n">
        <f aca="false">IFERROR(SUMIF('📊 Predictions'!B:B,B3,'📊 Predictions'!I:I),0)</f>
        <v>45</v>
      </c>
      <c r="F3" s="40" t="n">
        <f aca="false">IFERROR(SUMIF('📊 Predictions'!B:B,B3,'📊 Predictions'!J:J),0)</f>
        <v>0</v>
      </c>
      <c r="G3" s="40" t="n">
        <f aca="false">IFERROR(SUMIF('📊 Predictions'!B:B,B3,'📊 Predictions'!K:K),0)</f>
        <v>0</v>
      </c>
      <c r="H3" s="41" t="n">
        <f aca="false">IFERROR(COUNTIF('📊 Predictions'!B:B,B3),0)</f>
        <v>72</v>
      </c>
    </row>
    <row r="4" customFormat="false" ht="21.75" hidden="false" customHeight="true" outlineLevel="0" collapsed="false">
      <c r="A4" s="38" t="n">
        <v>3</v>
      </c>
      <c r="B4" s="42" t="s">
        <v>150</v>
      </c>
      <c r="C4" s="35" t="n">
        <f aca="false">IFERROR(SUMIF('📊 Predictions'!B:B,B4,'📊 Predictions'!L:L),0)</f>
        <v>90</v>
      </c>
      <c r="D4" s="43" t="n">
        <f aca="false">IFERROR(SUMIF('📊 Predictions'!B:B,B4,'📊 Predictions'!H:H),0)</f>
        <v>48</v>
      </c>
      <c r="E4" s="43" t="n">
        <f aca="false">IFERROR(SUMIF('📊 Predictions'!B:B,B4,'📊 Predictions'!I:I),0)</f>
        <v>15</v>
      </c>
      <c r="F4" s="43" t="n">
        <f aca="false">IFERROR(SUMIF('📊 Predictions'!B:B,B4,'📊 Predictions'!J:J),0)</f>
        <v>15</v>
      </c>
      <c r="G4" s="43" t="n">
        <f aca="false">IFERROR(SUMIF('📊 Predictions'!B:B,B4,'📊 Predictions'!K:K),0)</f>
        <v>12</v>
      </c>
      <c r="H4" s="44" t="n">
        <f aca="false">IFERROR(COUNTIF('📊 Predictions'!B:B,B4),0)</f>
        <v>72</v>
      </c>
    </row>
    <row r="5" customFormat="false" ht="21.75" hidden="false" customHeight="true" outlineLevel="0" collapsed="false">
      <c r="A5" s="8" t="n">
        <v>4</v>
      </c>
      <c r="B5" s="45" t="s">
        <v>151</v>
      </c>
      <c r="C5" s="35" t="n">
        <f aca="false">IFERROR(SUMIF('📊 Predictions'!B:B,B5,'📊 Predictions'!L:L),0)</f>
        <v>204</v>
      </c>
      <c r="D5" s="10" t="n">
        <f aca="false">IFERROR(SUMIF('📊 Predictions'!B:B,B5,'📊 Predictions'!H:H),0)</f>
        <v>144</v>
      </c>
      <c r="E5" s="10" t="n">
        <f aca="false">IFERROR(SUMIF('📊 Predictions'!B:B,B5,'📊 Predictions'!I:I),0)</f>
        <v>30</v>
      </c>
      <c r="F5" s="10" t="n">
        <f aca="false">IFERROR(SUMIF('📊 Predictions'!B:B,B5,'📊 Predictions'!J:J),0)</f>
        <v>30</v>
      </c>
      <c r="G5" s="10" t="n">
        <f aca="false">IFERROR(SUMIF('📊 Predictions'!B:B,B5,'📊 Predictions'!K:K),0)</f>
        <v>0</v>
      </c>
      <c r="H5" s="46" t="n">
        <f aca="false">IFERROR(COUNTIF('📊 Predictions'!B:B,B5),0)</f>
        <v>72</v>
      </c>
    </row>
    <row r="6" customFormat="false" ht="21.75" hidden="false" customHeight="true" outlineLevel="0" collapsed="false">
      <c r="A6" s="2" t="n">
        <v>5</v>
      </c>
      <c r="B6" s="47" t="s">
        <v>152</v>
      </c>
      <c r="C6" s="35" t="n">
        <f aca="false">IFERROR(SUMIF('📊 Predictions'!B:B,B6,'📊 Predictions'!L:L),0)</f>
        <v>183</v>
      </c>
      <c r="D6" s="4" t="n">
        <f aca="false">IFERROR(SUMIF('📊 Predictions'!B:B,B6,'📊 Predictions'!H:H),0)</f>
        <v>96</v>
      </c>
      <c r="E6" s="4" t="n">
        <f aca="false">IFERROR(SUMIF('📊 Predictions'!B:B,B6,'📊 Predictions'!I:I),0)</f>
        <v>15</v>
      </c>
      <c r="F6" s="4" t="n">
        <f aca="false">IFERROR(SUMIF('📊 Predictions'!B:B,B6,'📊 Predictions'!J:J),0)</f>
        <v>60</v>
      </c>
      <c r="G6" s="4" t="n">
        <f aca="false">IFERROR(SUMIF('📊 Predictions'!B:B,B6,'📊 Predictions'!K:K),0)</f>
        <v>12</v>
      </c>
      <c r="H6" s="48" t="n">
        <f aca="false">IFERROR(COUNTIF('📊 Predictions'!B:B,B6),0)</f>
        <v>72</v>
      </c>
    </row>
    <row r="7" customFormat="false" ht="21.75" hidden="false" customHeight="true" outlineLevel="0" collapsed="false">
      <c r="A7" s="8" t="n">
        <v>6</v>
      </c>
      <c r="B7" s="45" t="s">
        <v>153</v>
      </c>
      <c r="C7" s="35" t="n">
        <f aca="false">IFERROR(SUMIF('📊 Predictions'!B:B,B7,'📊 Predictions'!L:L),0)</f>
        <v>153</v>
      </c>
      <c r="D7" s="10" t="n">
        <f aca="false">IFERROR(SUMIF('📊 Predictions'!B:B,B7,'📊 Predictions'!H:H),0)</f>
        <v>96</v>
      </c>
      <c r="E7" s="10" t="n">
        <f aca="false">IFERROR(SUMIF('📊 Predictions'!B:B,B7,'📊 Predictions'!I:I),0)</f>
        <v>30</v>
      </c>
      <c r="F7" s="10" t="n">
        <f aca="false">IFERROR(SUMIF('📊 Predictions'!B:B,B7,'📊 Predictions'!J:J),0)</f>
        <v>15</v>
      </c>
      <c r="G7" s="10" t="n">
        <f aca="false">IFERROR(SUMIF('📊 Predictions'!B:B,B7,'📊 Predictions'!K:K),0)</f>
        <v>12</v>
      </c>
      <c r="H7" s="46" t="n">
        <f aca="false">IFERROR(COUNTIF('📊 Predictions'!B:B,B7),0)</f>
        <v>72</v>
      </c>
    </row>
    <row r="8" customFormat="false" ht="21.75" hidden="false" customHeight="true" outlineLevel="0" collapsed="false">
      <c r="A8" s="2" t="n">
        <v>7</v>
      </c>
      <c r="B8" s="49" t="s">
        <v>154</v>
      </c>
      <c r="C8" s="35" t="n">
        <f aca="false">IFERROR(SUMIF('📊 Predictions'!B:B,B8,'📊 Predictions'!L:L),0)</f>
        <v>105</v>
      </c>
      <c r="D8" s="4" t="n">
        <f aca="false">IFERROR(SUMIF('📊 Predictions'!B:B,B8,'📊 Predictions'!H:H),0)</f>
        <v>48</v>
      </c>
      <c r="E8" s="4" t="n">
        <f aca="false">IFERROR(SUMIF('📊 Predictions'!B:B,B8,'📊 Predictions'!I:I),0)</f>
        <v>15</v>
      </c>
      <c r="F8" s="4" t="n">
        <f aca="false">IFERROR(SUMIF('📊 Predictions'!B:B,B8,'📊 Predictions'!J:J),0)</f>
        <v>30</v>
      </c>
      <c r="G8" s="4" t="n">
        <f aca="false">IFERROR(SUMIF('📊 Predictions'!B:B,B8,'📊 Predictions'!K:K),0)</f>
        <v>12</v>
      </c>
      <c r="H8" s="48" t="n">
        <f aca="false">IFERROR(COUNTIF('📊 Predictions'!B:B,B8),0)</f>
        <v>72</v>
      </c>
    </row>
    <row r="9" customFormat="false" ht="21.75" hidden="false" customHeight="true" outlineLevel="0" collapsed="false">
      <c r="A9" s="8" t="n">
        <v>8</v>
      </c>
      <c r="B9" s="50" t="s">
        <v>217</v>
      </c>
      <c r="C9" s="35" t="n">
        <f aca="false">IFERROR(SUMIF('📊 Predictions'!B:B,B9,'📊 Predictions'!L:L),0)</f>
        <v>243</v>
      </c>
      <c r="D9" s="10" t="n">
        <f aca="false">IFERROR(SUMIF('📊 Predictions'!B:B,B9,'📊 Predictions'!H:H),0)</f>
        <v>144</v>
      </c>
      <c r="E9" s="10" t="n">
        <f aca="false">IFERROR(SUMIF('📊 Predictions'!B:B,B9,'📊 Predictions'!I:I),0)</f>
        <v>30</v>
      </c>
      <c r="F9" s="10" t="n">
        <f aca="false">IFERROR(SUMIF('📊 Predictions'!B:B,B9,'📊 Predictions'!J:J),0)</f>
        <v>45</v>
      </c>
      <c r="G9" s="10" t="n">
        <f aca="false">IFERROR(SUMIF('📊 Predictions'!B:B,B9,'📊 Predictions'!K:K),0)</f>
        <v>24</v>
      </c>
      <c r="H9" s="46" t="n">
        <f aca="false">IFERROR(COUNTIF('📊 Predictions'!B:B,B9),0)</f>
        <v>72</v>
      </c>
    </row>
    <row r="10" customFormat="false" ht="21.75" hidden="false" customHeight="true" outlineLevel="0" collapsed="false">
      <c r="A10" s="2" t="n">
        <v>9</v>
      </c>
      <c r="B10" s="47" t="s">
        <v>156</v>
      </c>
      <c r="C10" s="35" t="n">
        <f aca="false">IFERROR(SUMIF('📊 Predictions'!B:B,B10,'📊 Predictions'!L:L),0)</f>
        <v>135</v>
      </c>
      <c r="D10" s="4" t="n">
        <f aca="false">IFERROR(SUMIF('📊 Predictions'!B:B,B10,'📊 Predictions'!H:H),0)</f>
        <v>96</v>
      </c>
      <c r="E10" s="4" t="n">
        <f aca="false">IFERROR(SUMIF('📊 Predictions'!B:B,B10,'📊 Predictions'!I:I),0)</f>
        <v>15</v>
      </c>
      <c r="F10" s="4" t="n">
        <f aca="false">IFERROR(SUMIF('📊 Predictions'!B:B,B10,'📊 Predictions'!J:J),0)</f>
        <v>0</v>
      </c>
      <c r="G10" s="4" t="n">
        <f aca="false">IFERROR(SUMIF('📊 Predictions'!B:B,B10,'📊 Predictions'!K:K),0)</f>
        <v>24</v>
      </c>
      <c r="H10" s="48" t="n">
        <f aca="false">IFERROR(COUNTIF('📊 Predictions'!B:B,B10),0)</f>
        <v>72</v>
      </c>
    </row>
    <row r="11" customFormat="false" ht="21.75" hidden="false" customHeight="true" outlineLevel="0" collapsed="false">
      <c r="A11" s="8" t="n">
        <v>10</v>
      </c>
      <c r="B11" s="45" t="s">
        <v>157</v>
      </c>
      <c r="C11" s="35" t="n">
        <f aca="false">IFERROR(SUMIF('📊 Predictions'!B:B,B11,'📊 Predictions'!L:L),0)</f>
        <v>183</v>
      </c>
      <c r="D11" s="10" t="n">
        <f aca="false">IFERROR(SUMIF('📊 Predictions'!B:B,B11,'📊 Predictions'!H:H),0)</f>
        <v>96</v>
      </c>
      <c r="E11" s="10" t="n">
        <f aca="false">IFERROR(SUMIF('📊 Predictions'!B:B,B11,'📊 Predictions'!I:I),0)</f>
        <v>15</v>
      </c>
      <c r="F11" s="10" t="n">
        <f aca="false">IFERROR(SUMIF('📊 Predictions'!B:B,B11,'📊 Predictions'!J:J),0)</f>
        <v>60</v>
      </c>
      <c r="G11" s="10" t="n">
        <f aca="false">IFERROR(SUMIF('📊 Predictions'!B:B,B11,'📊 Predictions'!K:K),0)</f>
        <v>12</v>
      </c>
      <c r="H11" s="46" t="n">
        <f aca="false">IFERROR(COUNTIF('📊 Predictions'!B:B,B11),0)</f>
        <v>72</v>
      </c>
    </row>
    <row r="12" customFormat="false" ht="21.75" hidden="false" customHeight="true" outlineLevel="0" collapsed="false">
      <c r="A12" s="2" t="n">
        <v>11</v>
      </c>
      <c r="B12" s="49" t="s">
        <v>158</v>
      </c>
      <c r="C12" s="35" t="n">
        <f aca="false">IFERROR(SUMIF('📊 Predictions'!B:B,B12,'📊 Predictions'!L:L),0)</f>
        <v>93</v>
      </c>
      <c r="D12" s="4" t="n">
        <f aca="false">IFERROR(SUMIF('📊 Predictions'!B:B,B12,'📊 Predictions'!H:H),0)</f>
        <v>48</v>
      </c>
      <c r="E12" s="4" t="n">
        <f aca="false">IFERROR(SUMIF('📊 Predictions'!B:B,B12,'📊 Predictions'!I:I),0)</f>
        <v>15</v>
      </c>
      <c r="F12" s="4" t="n">
        <f aca="false">IFERROR(SUMIF('📊 Predictions'!B:B,B12,'📊 Predictions'!J:J),0)</f>
        <v>30</v>
      </c>
      <c r="G12" s="4" t="n">
        <f aca="false">IFERROR(SUMIF('📊 Predictions'!B:B,B12,'📊 Predictions'!K:K),0)</f>
        <v>0</v>
      </c>
      <c r="H12" s="48" t="n">
        <f aca="false">IFERROR(COUNTIF('📊 Predictions'!B:B,B12),0)</f>
        <v>72</v>
      </c>
    </row>
    <row r="13" customFormat="false" ht="21.75" hidden="false" customHeight="true" outlineLevel="0" collapsed="false">
      <c r="A13" s="8" t="n">
        <v>12</v>
      </c>
      <c r="B13" s="45" t="s">
        <v>159</v>
      </c>
      <c r="C13" s="35" t="n">
        <f aca="false">IFERROR(SUMIF('📊 Predictions'!B:B,B13,'📊 Predictions'!L:L),0)</f>
        <v>183</v>
      </c>
      <c r="D13" s="10" t="n">
        <f aca="false">IFERROR(SUMIF('📊 Predictions'!B:B,B13,'📊 Predictions'!H:H),0)</f>
        <v>96</v>
      </c>
      <c r="E13" s="10" t="n">
        <f aca="false">IFERROR(SUMIF('📊 Predictions'!B:B,B13,'📊 Predictions'!I:I),0)</f>
        <v>30</v>
      </c>
      <c r="F13" s="10" t="n">
        <f aca="false">IFERROR(SUMIF('📊 Predictions'!B:B,B13,'📊 Predictions'!J:J),0)</f>
        <v>45</v>
      </c>
      <c r="G13" s="10" t="n">
        <f aca="false">IFERROR(SUMIF('📊 Predictions'!B:B,B13,'📊 Predictions'!K:K),0)</f>
        <v>12</v>
      </c>
      <c r="H13" s="46" t="n">
        <f aca="false">IFERROR(COUNTIF('📊 Predictions'!B:B,B13),0)</f>
        <v>72</v>
      </c>
    </row>
    <row r="14" customFormat="false" ht="21.75" hidden="false" customHeight="true" outlineLevel="0" collapsed="false">
      <c r="A14" s="2" t="n">
        <v>13</v>
      </c>
      <c r="B14" s="47" t="s">
        <v>160</v>
      </c>
      <c r="C14" s="35" t="n">
        <f aca="false">IFERROR(SUMIF('📊 Predictions'!B:B,B14,'📊 Predictions'!L:L),0)</f>
        <v>171</v>
      </c>
      <c r="D14" s="4" t="n">
        <f aca="false">IFERROR(SUMIF('📊 Predictions'!B:B,B14,'📊 Predictions'!H:H),0)</f>
        <v>144</v>
      </c>
      <c r="E14" s="4" t="n">
        <f aca="false">IFERROR(SUMIF('📊 Predictions'!B:B,B14,'📊 Predictions'!I:I),0)</f>
        <v>15</v>
      </c>
      <c r="F14" s="4" t="n">
        <f aca="false">IFERROR(SUMIF('📊 Predictions'!B:B,B14,'📊 Predictions'!J:J),0)</f>
        <v>0</v>
      </c>
      <c r="G14" s="4" t="n">
        <f aca="false">IFERROR(SUMIF('📊 Predictions'!B:B,B14,'📊 Predictions'!K:K),0)</f>
        <v>12</v>
      </c>
      <c r="H14" s="48" t="n">
        <f aca="false">IFERROR(COUNTIF('📊 Predictions'!B:B,B14),0)</f>
        <v>72</v>
      </c>
    </row>
    <row r="15" customFormat="false" ht="21.75" hidden="false" customHeight="true" outlineLevel="0" collapsed="false">
      <c r="A15" s="8" t="n">
        <v>14</v>
      </c>
      <c r="B15" s="50" t="s">
        <v>161</v>
      </c>
      <c r="C15" s="35" t="n">
        <f aca="false">IFERROR(SUMIF('📊 Predictions'!B:B,B15,'📊 Predictions'!L:L),0)</f>
        <v>216</v>
      </c>
      <c r="D15" s="10" t="n">
        <f aca="false">IFERROR(SUMIF('📊 Predictions'!B:B,B15,'📊 Predictions'!H:H),0)</f>
        <v>144</v>
      </c>
      <c r="E15" s="10" t="n">
        <f aca="false">IFERROR(SUMIF('📊 Predictions'!B:B,B15,'📊 Predictions'!I:I),0)</f>
        <v>30</v>
      </c>
      <c r="F15" s="10" t="n">
        <f aca="false">IFERROR(SUMIF('📊 Predictions'!B:B,B15,'📊 Predictions'!J:J),0)</f>
        <v>30</v>
      </c>
      <c r="G15" s="10" t="n">
        <f aca="false">IFERROR(SUMIF('📊 Predictions'!B:B,B15,'📊 Predictions'!K:K),0)</f>
        <v>12</v>
      </c>
      <c r="H15" s="46" t="n">
        <f aca="false">IFERROR(COUNTIF('📊 Predictions'!B:B,B15),0)</f>
        <v>72</v>
      </c>
    </row>
    <row r="16" customFormat="false" ht="21.75" hidden="false" customHeight="true" outlineLevel="0" collapsed="false">
      <c r="A16" s="2" t="n">
        <v>15</v>
      </c>
      <c r="B16" s="47" t="s">
        <v>162</v>
      </c>
      <c r="C16" s="35" t="n">
        <f aca="false">IFERROR(SUMIF('📊 Predictions'!B:B,B16,'📊 Predictions'!L:L),0)</f>
        <v>216</v>
      </c>
      <c r="D16" s="4" t="n">
        <f aca="false">IFERROR(SUMIF('📊 Predictions'!B:B,B16,'📊 Predictions'!H:H),0)</f>
        <v>144</v>
      </c>
      <c r="E16" s="4" t="n">
        <f aca="false">IFERROR(SUMIF('📊 Predictions'!B:B,B16,'📊 Predictions'!I:I),0)</f>
        <v>30</v>
      </c>
      <c r="F16" s="4" t="n">
        <f aca="false">IFERROR(SUMIF('📊 Predictions'!B:B,B16,'📊 Predictions'!J:J),0)</f>
        <v>30</v>
      </c>
      <c r="G16" s="4" t="n">
        <f aca="false">IFERROR(SUMIF('📊 Predictions'!B:B,B16,'📊 Predictions'!K:K),0)</f>
        <v>12</v>
      </c>
      <c r="H16" s="48" t="n">
        <f aca="false">IFERROR(COUNTIF('📊 Predictions'!B:B,B16),0)</f>
        <v>72</v>
      </c>
    </row>
    <row r="17" customFormat="false" ht="21.75" hidden="false" customHeight="true" outlineLevel="0" collapsed="false">
      <c r="A17" s="8" t="n">
        <v>16</v>
      </c>
      <c r="B17" s="45" t="s">
        <v>163</v>
      </c>
      <c r="C17" s="35" t="n">
        <f aca="false">IFERROR(SUMIF('📊 Predictions'!B:B,B17,'📊 Predictions'!L:L),0)</f>
        <v>165</v>
      </c>
      <c r="D17" s="10" t="n">
        <f aca="false">IFERROR(SUMIF('📊 Predictions'!B:B,B17,'📊 Predictions'!H:H),0)</f>
        <v>96</v>
      </c>
      <c r="E17" s="10" t="n">
        <f aca="false">IFERROR(SUMIF('📊 Predictions'!B:B,B17,'📊 Predictions'!I:I),0)</f>
        <v>15</v>
      </c>
      <c r="F17" s="10" t="n">
        <f aca="false">IFERROR(SUMIF('📊 Predictions'!B:B,B17,'📊 Predictions'!J:J),0)</f>
        <v>30</v>
      </c>
      <c r="G17" s="10" t="n">
        <f aca="false">IFERROR(SUMIF('📊 Predictions'!B:B,B17,'📊 Predictions'!K:K),0)</f>
        <v>24</v>
      </c>
      <c r="H17" s="46" t="n">
        <f aca="false">IFERROR(COUNTIF('📊 Predictions'!B:B,B17),0)</f>
        <v>72</v>
      </c>
    </row>
    <row r="18" customFormat="false" ht="21.75" hidden="false" customHeight="true" outlineLevel="0" collapsed="false">
      <c r="A18" s="2" t="n">
        <v>17</v>
      </c>
      <c r="B18" s="47" t="s">
        <v>218</v>
      </c>
      <c r="C18" s="35" t="n">
        <f aca="false">IFERROR(SUMIF('📊 Predictions'!B:B,B18,'📊 Predictions'!L:L),0)</f>
        <v>126</v>
      </c>
      <c r="D18" s="4" t="n">
        <f aca="false">IFERROR(SUMIF('📊 Predictions'!B:B,B18,'📊 Predictions'!H:H),0)</f>
        <v>96</v>
      </c>
      <c r="E18" s="4" t="n">
        <f aca="false">IFERROR(SUMIF('📊 Predictions'!B:B,B18,'📊 Predictions'!I:I),0)</f>
        <v>15</v>
      </c>
      <c r="F18" s="4" t="n">
        <f aca="false">IFERROR(SUMIF('📊 Predictions'!B:B,B18,'📊 Predictions'!J:J),0)</f>
        <v>15</v>
      </c>
      <c r="G18" s="4" t="n">
        <f aca="false">IFERROR(SUMIF('📊 Predictions'!B:B,B18,'📊 Predictions'!K:K),0)</f>
        <v>0</v>
      </c>
      <c r="H18" s="48" t="n">
        <f aca="false">IFERROR(COUNTIF('📊 Predictions'!B:B,B18),0)</f>
        <v>72</v>
      </c>
    </row>
    <row r="19" customFormat="false" ht="21.75" hidden="false" customHeight="true" outlineLevel="0" collapsed="false">
      <c r="A19" s="8" t="n">
        <v>18</v>
      </c>
      <c r="B19" s="50" t="s">
        <v>165</v>
      </c>
      <c r="C19" s="35" t="n">
        <f aca="false">IFERROR(SUMIF('📊 Predictions'!B:B,B19,'📊 Predictions'!L:L),0)</f>
        <v>258</v>
      </c>
      <c r="D19" s="10" t="n">
        <f aca="false">IFERROR(SUMIF('📊 Predictions'!B:B,B19,'📊 Predictions'!H:H),0)</f>
        <v>144</v>
      </c>
      <c r="E19" s="10" t="n">
        <f aca="false">IFERROR(SUMIF('📊 Predictions'!B:B,B19,'📊 Predictions'!I:I),0)</f>
        <v>30</v>
      </c>
      <c r="F19" s="10" t="n">
        <f aca="false">IFERROR(SUMIF('📊 Predictions'!B:B,B19,'📊 Predictions'!J:J),0)</f>
        <v>60</v>
      </c>
      <c r="G19" s="10" t="n">
        <f aca="false">IFERROR(SUMIF('📊 Predictions'!B:B,B19,'📊 Predictions'!K:K),0)</f>
        <v>24</v>
      </c>
      <c r="H19" s="46" t="n">
        <f aca="false">IFERROR(COUNTIF('📊 Predictions'!B:B,B19),0)</f>
        <v>72</v>
      </c>
    </row>
    <row r="20" customFormat="false" ht="21.75" hidden="false" customHeight="true" outlineLevel="0" collapsed="false">
      <c r="A20" s="2" t="n">
        <v>19</v>
      </c>
      <c r="B20" s="47" t="s">
        <v>166</v>
      </c>
      <c r="C20" s="35" t="n">
        <f aca="false">IFERROR(SUMIF('📊 Predictions'!B:B,B20,'📊 Predictions'!L:L),0)</f>
        <v>120</v>
      </c>
      <c r="D20" s="4" t="n">
        <f aca="false">IFERROR(SUMIF('📊 Predictions'!B:B,B20,'📊 Predictions'!H:H),0)</f>
        <v>48</v>
      </c>
      <c r="E20" s="4" t="n">
        <f aca="false">IFERROR(SUMIF('📊 Predictions'!B:B,B20,'📊 Predictions'!I:I),0)</f>
        <v>30</v>
      </c>
      <c r="F20" s="4" t="n">
        <f aca="false">IFERROR(SUMIF('📊 Predictions'!B:B,B20,'📊 Predictions'!J:J),0)</f>
        <v>30</v>
      </c>
      <c r="G20" s="4" t="n">
        <f aca="false">IFERROR(SUMIF('📊 Predictions'!B:B,B20,'📊 Predictions'!K:K),0)</f>
        <v>12</v>
      </c>
      <c r="H20" s="48" t="n">
        <f aca="false">IFERROR(COUNTIF('📊 Predictions'!B:B,B20),0)</f>
        <v>72</v>
      </c>
    </row>
    <row r="21" customFormat="false" ht="21.75" hidden="false" customHeight="true" outlineLevel="0" collapsed="false">
      <c r="A21" s="8" t="n">
        <v>20</v>
      </c>
      <c r="B21" s="50" t="s">
        <v>167</v>
      </c>
      <c r="C21" s="35" t="n">
        <f aca="false">IFERROR(SUMIF('📊 Predictions'!B:B,B21,'📊 Predictions'!L:L),0)</f>
        <v>291</v>
      </c>
      <c r="D21" s="10" t="n">
        <f aca="false">IFERROR(SUMIF('📊 Predictions'!B:B,B21,'📊 Predictions'!H:H),0)</f>
        <v>192</v>
      </c>
      <c r="E21" s="10" t="n">
        <f aca="false">IFERROR(SUMIF('📊 Predictions'!B:B,B21,'📊 Predictions'!I:I),0)</f>
        <v>30</v>
      </c>
      <c r="F21" s="10" t="n">
        <f aca="false">IFERROR(SUMIF('📊 Predictions'!B:B,B21,'📊 Predictions'!J:J),0)</f>
        <v>45</v>
      </c>
      <c r="G21" s="10" t="n">
        <f aca="false">IFERROR(SUMIF('📊 Predictions'!B:B,B21,'📊 Predictions'!K:K),0)</f>
        <v>24</v>
      </c>
      <c r="H21" s="46" t="n">
        <f aca="false">IFERROR(COUNTIF('📊 Predictions'!B:B,B21),0)</f>
        <v>72</v>
      </c>
    </row>
    <row r="22" customFormat="false" ht="21.75" hidden="false" customHeight="true" outlineLevel="0" collapsed="false">
      <c r="A22" s="2" t="n">
        <v>21</v>
      </c>
      <c r="B22" s="47" t="s">
        <v>168</v>
      </c>
      <c r="C22" s="35" t="n">
        <f aca="false">IFERROR(SUMIF('📊 Predictions'!B:B,B22,'📊 Predictions'!L:L),0)</f>
        <v>225</v>
      </c>
      <c r="D22" s="4" t="n">
        <f aca="false">IFERROR(SUMIF('📊 Predictions'!B:B,B22,'📊 Predictions'!H:H),0)</f>
        <v>144</v>
      </c>
      <c r="E22" s="4" t="n">
        <f aca="false">IFERROR(SUMIF('📊 Predictions'!B:B,B22,'📊 Predictions'!I:I),0)</f>
        <v>15</v>
      </c>
      <c r="F22" s="4" t="n">
        <f aca="false">IFERROR(SUMIF('📊 Predictions'!B:B,B22,'📊 Predictions'!J:J),0)</f>
        <v>30</v>
      </c>
      <c r="G22" s="4" t="n">
        <f aca="false">IFERROR(SUMIF('📊 Predictions'!B:B,B22,'📊 Predictions'!K:K),0)</f>
        <v>36</v>
      </c>
      <c r="H22" s="48" t="n">
        <f aca="false">IFERROR(COUNTIF('📊 Predictions'!B:B,B22),0)</f>
        <v>72</v>
      </c>
    </row>
    <row r="23" customFormat="false" ht="21.75" hidden="false" customHeight="true" outlineLevel="0" collapsed="false">
      <c r="A23" s="8" t="n">
        <v>22</v>
      </c>
      <c r="B23" s="45" t="s">
        <v>169</v>
      </c>
      <c r="C23" s="35" t="n">
        <f aca="false">IFERROR(SUMIF('📊 Predictions'!B:B,B23,'📊 Predictions'!L:L),0)</f>
        <v>153</v>
      </c>
      <c r="D23" s="10" t="n">
        <f aca="false">IFERROR(SUMIF('📊 Predictions'!B:B,B23,'📊 Predictions'!H:H),0)</f>
        <v>96</v>
      </c>
      <c r="E23" s="10" t="n">
        <f aca="false">IFERROR(SUMIF('📊 Predictions'!B:B,B23,'📊 Predictions'!I:I),0)</f>
        <v>15</v>
      </c>
      <c r="F23" s="10" t="n">
        <f aca="false">IFERROR(SUMIF('📊 Predictions'!B:B,B23,'📊 Predictions'!J:J),0)</f>
        <v>30</v>
      </c>
      <c r="G23" s="10" t="n">
        <f aca="false">IFERROR(SUMIF('📊 Predictions'!B:B,B23,'📊 Predictions'!K:K),0)</f>
        <v>12</v>
      </c>
      <c r="H23" s="46" t="n">
        <f aca="false">IFERROR(COUNTIF('📊 Predictions'!B:B,B23),0)</f>
        <v>72</v>
      </c>
    </row>
    <row r="24" customFormat="false" ht="21.75" hidden="false" customHeight="true" outlineLevel="0" collapsed="false">
      <c r="A24" s="2" t="n">
        <v>23</v>
      </c>
      <c r="B24" s="49" t="s">
        <v>170</v>
      </c>
      <c r="C24" s="35" t="n">
        <f aca="false">IFERROR(SUMIF('📊 Predictions'!B:B,B24,'📊 Predictions'!L:L),0)</f>
        <v>105</v>
      </c>
      <c r="D24" s="4" t="n">
        <f aca="false">IFERROR(SUMIF('📊 Predictions'!B:B,B24,'📊 Predictions'!H:H),0)</f>
        <v>48</v>
      </c>
      <c r="E24" s="4" t="n">
        <f aca="false">IFERROR(SUMIF('📊 Predictions'!B:B,B24,'📊 Predictions'!I:I),0)</f>
        <v>15</v>
      </c>
      <c r="F24" s="4" t="n">
        <f aca="false">IFERROR(SUMIF('📊 Predictions'!B:B,B24,'📊 Predictions'!J:J),0)</f>
        <v>30</v>
      </c>
      <c r="G24" s="4" t="n">
        <f aca="false">IFERROR(SUMIF('📊 Predictions'!B:B,B24,'📊 Predictions'!K:K),0)</f>
        <v>12</v>
      </c>
      <c r="H24" s="48" t="n">
        <f aca="false">IFERROR(COUNTIF('📊 Predictions'!B:B,B24),0)</f>
        <v>72</v>
      </c>
    </row>
    <row r="25" customFormat="false" ht="21.75" hidden="false" customHeight="true" outlineLevel="0" collapsed="false">
      <c r="A25" s="8" t="n">
        <v>24</v>
      </c>
      <c r="B25" s="45" t="s">
        <v>171</v>
      </c>
      <c r="C25" s="35" t="n">
        <f aca="false">IFERROR(SUMIF('📊 Predictions'!B:B,B25,'📊 Predictions'!L:L),0)</f>
        <v>168</v>
      </c>
      <c r="D25" s="10" t="n">
        <f aca="false">IFERROR(SUMIF('📊 Predictions'!B:B,B25,'📊 Predictions'!H:H),0)</f>
        <v>96</v>
      </c>
      <c r="E25" s="10" t="n">
        <f aca="false">IFERROR(SUMIF('📊 Predictions'!B:B,B25,'📊 Predictions'!I:I),0)</f>
        <v>15</v>
      </c>
      <c r="F25" s="10" t="n">
        <f aca="false">IFERROR(SUMIF('📊 Predictions'!B:B,B25,'📊 Predictions'!J:J),0)</f>
        <v>45</v>
      </c>
      <c r="G25" s="10" t="n">
        <f aca="false">IFERROR(SUMIF('📊 Predictions'!B:B,B25,'📊 Predictions'!K:K),0)</f>
        <v>12</v>
      </c>
      <c r="H25" s="46" t="n">
        <f aca="false">IFERROR(COUNTIF('📊 Predictions'!B:B,B25),0)</f>
        <v>72</v>
      </c>
    </row>
    <row r="26" customFormat="false" ht="21.75" hidden="false" customHeight="true" outlineLevel="0" collapsed="false">
      <c r="A26" s="2" t="n">
        <v>25</v>
      </c>
      <c r="B26" s="47" t="s">
        <v>172</v>
      </c>
      <c r="C26" s="35" t="n">
        <f aca="false">IFERROR(SUMIF('📊 Predictions'!B:B,B26,'📊 Predictions'!L:L),0)</f>
        <v>141</v>
      </c>
      <c r="D26" s="4" t="n">
        <f aca="false">IFERROR(SUMIF('📊 Predictions'!B:B,B26,'📊 Predictions'!H:H),0)</f>
        <v>96</v>
      </c>
      <c r="E26" s="4" t="n">
        <f aca="false">IFERROR(SUMIF('📊 Predictions'!B:B,B26,'📊 Predictions'!I:I),0)</f>
        <v>15</v>
      </c>
      <c r="F26" s="4" t="n">
        <f aca="false">IFERROR(SUMIF('📊 Predictions'!B:B,B26,'📊 Predictions'!J:J),0)</f>
        <v>30</v>
      </c>
      <c r="G26" s="4" t="n">
        <f aca="false">IFERROR(SUMIF('📊 Predictions'!B:B,B26,'📊 Predictions'!K:K),0)</f>
        <v>0</v>
      </c>
      <c r="H26" s="48" t="n">
        <f aca="false">IFERROR(COUNTIF('📊 Predictions'!B:B,B26),0)</f>
        <v>72</v>
      </c>
    </row>
    <row r="27" customFormat="false" ht="21.75" hidden="false" customHeight="true" outlineLevel="0" collapsed="false">
      <c r="A27" s="8" t="n">
        <v>26</v>
      </c>
      <c r="B27" s="45" t="s">
        <v>173</v>
      </c>
      <c r="C27" s="35" t="n">
        <f aca="false">IFERROR(SUMIF('📊 Predictions'!B:B,B27,'📊 Predictions'!L:L),0)</f>
        <v>87</v>
      </c>
      <c r="D27" s="10" t="n">
        <f aca="false">IFERROR(SUMIF('📊 Predictions'!B:B,B27,'📊 Predictions'!H:H),0)</f>
        <v>48</v>
      </c>
      <c r="E27" s="10" t="n">
        <f aca="false">IFERROR(SUMIF('📊 Predictions'!B:B,B27,'📊 Predictions'!I:I),0)</f>
        <v>0</v>
      </c>
      <c r="F27" s="10" t="n">
        <f aca="false">IFERROR(SUMIF('📊 Predictions'!B:B,B27,'📊 Predictions'!J:J),0)</f>
        <v>15</v>
      </c>
      <c r="G27" s="10" t="n">
        <f aca="false">IFERROR(SUMIF('📊 Predictions'!B:B,B27,'📊 Predictions'!K:K),0)</f>
        <v>24</v>
      </c>
      <c r="H27" s="46" t="n">
        <f aca="false">IFERROR(COUNTIF('📊 Predictions'!B:B,B27),0)</f>
        <v>72</v>
      </c>
    </row>
    <row r="28" customFormat="false" ht="21.75" hidden="false" customHeight="true" outlineLevel="0" collapsed="false">
      <c r="A28" s="2" t="n">
        <v>27</v>
      </c>
      <c r="B28" s="49" t="s">
        <v>174</v>
      </c>
      <c r="C28" s="35" t="n">
        <f aca="false">IFERROR(SUMIF('📊 Predictions'!B:B,B28,'📊 Predictions'!L:L),0)</f>
        <v>186</v>
      </c>
      <c r="D28" s="4" t="n">
        <f aca="false">IFERROR(SUMIF('📊 Predictions'!B:B,B28,'📊 Predictions'!H:H),0)</f>
        <v>144</v>
      </c>
      <c r="E28" s="4" t="n">
        <f aca="false">IFERROR(SUMIF('📊 Predictions'!B:B,B28,'📊 Predictions'!I:I),0)</f>
        <v>30</v>
      </c>
      <c r="F28" s="4" t="n">
        <f aca="false">IFERROR(SUMIF('📊 Predictions'!B:B,B28,'📊 Predictions'!J:J),0)</f>
        <v>0</v>
      </c>
      <c r="G28" s="4" t="n">
        <f aca="false">IFERROR(SUMIF('📊 Predictions'!B:B,B28,'📊 Predictions'!K:K),0)</f>
        <v>12</v>
      </c>
      <c r="H28" s="48" t="n">
        <f aca="false">IFERROR(COUNTIF('📊 Predictions'!B:B,B28),0)</f>
        <v>72</v>
      </c>
    </row>
    <row r="29" customFormat="false" ht="21.75" hidden="false" customHeight="true" outlineLevel="0" collapsed="false">
      <c r="A29" s="8" t="n">
        <v>28</v>
      </c>
      <c r="B29" s="45" t="s">
        <v>175</v>
      </c>
      <c r="C29" s="35" t="n">
        <f aca="false">IFERROR(SUMIF('📊 Predictions'!B:B,B29,'📊 Predictions'!L:L),0)</f>
        <v>186</v>
      </c>
      <c r="D29" s="10" t="n">
        <f aca="false">IFERROR(SUMIF('📊 Predictions'!B:B,B29,'📊 Predictions'!H:H),0)</f>
        <v>144</v>
      </c>
      <c r="E29" s="10" t="n">
        <f aca="false">IFERROR(SUMIF('📊 Predictions'!B:B,B29,'📊 Predictions'!I:I),0)</f>
        <v>15</v>
      </c>
      <c r="F29" s="10" t="n">
        <f aca="false">IFERROR(SUMIF('📊 Predictions'!B:B,B29,'📊 Predictions'!J:J),0)</f>
        <v>15</v>
      </c>
      <c r="G29" s="10" t="n">
        <f aca="false">IFERROR(SUMIF('📊 Predictions'!B:B,B29,'📊 Predictions'!K:K),0)</f>
        <v>12</v>
      </c>
      <c r="H29" s="46" t="n">
        <f aca="false">IFERROR(COUNTIF('📊 Predictions'!B:B,B29),0)</f>
        <v>72</v>
      </c>
    </row>
    <row r="30" customFormat="false" ht="21.75" hidden="false" customHeight="true" outlineLevel="0" collapsed="false">
      <c r="A30" s="2" t="n">
        <v>29</v>
      </c>
      <c r="B30" s="49" t="s">
        <v>176</v>
      </c>
      <c r="C30" s="35" t="n">
        <f aca="false">IFERROR(SUMIF('📊 Predictions'!B:B,B30,'📊 Predictions'!L:L),0)</f>
        <v>189</v>
      </c>
      <c r="D30" s="4" t="n">
        <f aca="false">IFERROR(SUMIF('📊 Predictions'!B:B,B30,'📊 Predictions'!H:H),0)</f>
        <v>144</v>
      </c>
      <c r="E30" s="4" t="n">
        <f aca="false">IFERROR(SUMIF('📊 Predictions'!B:B,B30,'📊 Predictions'!I:I),0)</f>
        <v>45</v>
      </c>
      <c r="F30" s="4" t="n">
        <f aca="false">IFERROR(SUMIF('📊 Predictions'!B:B,B30,'📊 Predictions'!J:J),0)</f>
        <v>0</v>
      </c>
      <c r="G30" s="4" t="n">
        <f aca="false">IFERROR(SUMIF('📊 Predictions'!B:B,B30,'📊 Predictions'!K:K),0)</f>
        <v>0</v>
      </c>
      <c r="H30" s="48" t="n">
        <f aca="false">IFERROR(COUNTIF('📊 Predictions'!B:B,B30),0)</f>
        <v>72</v>
      </c>
    </row>
    <row r="31" customFormat="false" ht="21.75" hidden="false" customHeight="true" outlineLevel="0" collapsed="false">
      <c r="A31" s="8" t="n">
        <v>30</v>
      </c>
      <c r="B31" s="45" t="s">
        <v>177</v>
      </c>
      <c r="C31" s="35" t="n">
        <f aca="false">IFERROR(SUMIF('📊 Predictions'!B:B,B31,'📊 Predictions'!L:L),0)</f>
        <v>141</v>
      </c>
      <c r="D31" s="10" t="n">
        <f aca="false">IFERROR(SUMIF('📊 Predictions'!B:B,B31,'📊 Predictions'!H:H),0)</f>
        <v>96</v>
      </c>
      <c r="E31" s="10" t="n">
        <f aca="false">IFERROR(SUMIF('📊 Predictions'!B:B,B31,'📊 Predictions'!I:I),0)</f>
        <v>15</v>
      </c>
      <c r="F31" s="10" t="n">
        <f aca="false">IFERROR(SUMIF('📊 Predictions'!B:B,B31,'📊 Predictions'!J:J),0)</f>
        <v>30</v>
      </c>
      <c r="G31" s="10" t="n">
        <f aca="false">IFERROR(SUMIF('📊 Predictions'!B:B,B31,'📊 Predictions'!K:K),0)</f>
        <v>0</v>
      </c>
      <c r="H31" s="46" t="n">
        <f aca="false">IFERROR(COUNTIF('📊 Predictions'!B:B,B31),0)</f>
        <v>72</v>
      </c>
    </row>
    <row r="32" customFormat="false" ht="21.75" hidden="false" customHeight="true" outlineLevel="0" collapsed="false">
      <c r="A32" s="2" t="n">
        <v>31</v>
      </c>
      <c r="B32" s="47" t="s">
        <v>178</v>
      </c>
      <c r="C32" s="35" t="n">
        <f aca="false">IFERROR(SUMIF('📊 Predictions'!B:B,B32,'📊 Predictions'!L:L),0)</f>
        <v>216</v>
      </c>
      <c r="D32" s="4" t="n">
        <f aca="false">IFERROR(SUMIF('📊 Predictions'!B:B,B32,'📊 Predictions'!H:H),0)</f>
        <v>144</v>
      </c>
      <c r="E32" s="4" t="n">
        <f aca="false">IFERROR(SUMIF('📊 Predictions'!B:B,B32,'📊 Predictions'!I:I),0)</f>
        <v>15</v>
      </c>
      <c r="F32" s="4" t="n">
        <f aca="false">IFERROR(SUMIF('📊 Predictions'!B:B,B32,'📊 Predictions'!J:J),0)</f>
        <v>45</v>
      </c>
      <c r="G32" s="4" t="n">
        <f aca="false">IFERROR(SUMIF('📊 Predictions'!B:B,B32,'📊 Predictions'!K:K),0)</f>
        <v>12</v>
      </c>
      <c r="H32" s="48" t="n">
        <f aca="false">IFERROR(COUNTIF('📊 Predictions'!B:B,B32),0)</f>
        <v>72</v>
      </c>
    </row>
    <row r="33" customFormat="false" ht="21.75" hidden="false" customHeight="true" outlineLevel="0" collapsed="false">
      <c r="A33" s="8" t="n">
        <v>32</v>
      </c>
      <c r="B33" s="45" t="s">
        <v>179</v>
      </c>
      <c r="C33" s="35" t="n">
        <f aca="false">IFERROR(SUMIF('📊 Predictions'!B:B,B33,'📊 Predictions'!L:L),0)</f>
        <v>141</v>
      </c>
      <c r="D33" s="10" t="n">
        <f aca="false">IFERROR(SUMIF('📊 Predictions'!B:B,B33,'📊 Predictions'!H:H),0)</f>
        <v>96</v>
      </c>
      <c r="E33" s="10" t="n">
        <f aca="false">IFERROR(SUMIF('📊 Predictions'!B:B,B33,'📊 Predictions'!I:I),0)</f>
        <v>45</v>
      </c>
      <c r="F33" s="10" t="n">
        <f aca="false">IFERROR(SUMIF('📊 Predictions'!B:B,B33,'📊 Predictions'!J:J),0)</f>
        <v>0</v>
      </c>
      <c r="G33" s="10" t="n">
        <f aca="false">IFERROR(SUMIF('📊 Predictions'!B:B,B33,'📊 Predictions'!K:K),0)</f>
        <v>0</v>
      </c>
      <c r="H33" s="46" t="n">
        <f aca="false">IFERROR(COUNTIF('📊 Predictions'!B:B,B33),0)</f>
        <v>72</v>
      </c>
    </row>
    <row r="34" customFormat="false" ht="21.75" hidden="false" customHeight="true" outlineLevel="0" collapsed="false">
      <c r="A34" s="2" t="n">
        <v>33</v>
      </c>
      <c r="B34" s="49" t="s">
        <v>180</v>
      </c>
      <c r="C34" s="35" t="n">
        <f aca="false">IFERROR(SUMIF('📊 Predictions'!B:B,B34,'📊 Predictions'!L:L),0)</f>
        <v>261</v>
      </c>
      <c r="D34" s="4" t="n">
        <f aca="false">IFERROR(SUMIF('📊 Predictions'!B:B,B34,'📊 Predictions'!H:H),0)</f>
        <v>192</v>
      </c>
      <c r="E34" s="4" t="n">
        <f aca="false">IFERROR(SUMIF('📊 Predictions'!B:B,B34,'📊 Predictions'!I:I),0)</f>
        <v>15</v>
      </c>
      <c r="F34" s="4" t="n">
        <f aca="false">IFERROR(SUMIF('📊 Predictions'!B:B,B34,'📊 Predictions'!J:J),0)</f>
        <v>30</v>
      </c>
      <c r="G34" s="4" t="n">
        <f aca="false">IFERROR(SUMIF('📊 Predictions'!B:B,B34,'📊 Predictions'!K:K),0)</f>
        <v>24</v>
      </c>
      <c r="H34" s="48" t="n">
        <f aca="false">IFERROR(COUNTIF('📊 Predictions'!B:B,B34),0)</f>
        <v>72</v>
      </c>
    </row>
    <row r="35" customFormat="false" ht="21.75" hidden="false" customHeight="true" outlineLevel="0" collapsed="false">
      <c r="A35" s="8" t="n">
        <v>34</v>
      </c>
      <c r="B35" s="50" t="s">
        <v>181</v>
      </c>
      <c r="C35" s="35" t="n">
        <f aca="false">IFERROR(SUMIF('📊 Predictions'!B:B,B35,'📊 Predictions'!L:L),0)</f>
        <v>216</v>
      </c>
      <c r="D35" s="10" t="n">
        <f aca="false">IFERROR(SUMIF('📊 Predictions'!B:B,B35,'📊 Predictions'!H:H),0)</f>
        <v>144</v>
      </c>
      <c r="E35" s="10" t="n">
        <f aca="false">IFERROR(SUMIF('📊 Predictions'!B:B,B35,'📊 Predictions'!I:I),0)</f>
        <v>30</v>
      </c>
      <c r="F35" s="10" t="n">
        <f aca="false">IFERROR(SUMIF('📊 Predictions'!B:B,B35,'📊 Predictions'!J:J),0)</f>
        <v>30</v>
      </c>
      <c r="G35" s="10" t="n">
        <f aca="false">IFERROR(SUMIF('📊 Predictions'!B:B,B35,'📊 Predictions'!K:K),0)</f>
        <v>12</v>
      </c>
      <c r="H35" s="46" t="n">
        <f aca="false">IFERROR(COUNTIF('📊 Predictions'!B:B,B35),0)</f>
        <v>72</v>
      </c>
    </row>
    <row r="36" customFormat="false" ht="21.75" hidden="false" customHeight="true" outlineLevel="0" collapsed="false">
      <c r="A36" s="2" t="n">
        <v>35</v>
      </c>
      <c r="B36" s="49" t="s">
        <v>183</v>
      </c>
      <c r="C36" s="35" t="n">
        <f aca="false">IFERROR(SUMIF('📊 Predictions'!B:B,B36,'📊 Predictions'!L:L),0)</f>
        <v>234</v>
      </c>
      <c r="D36" s="4" t="n">
        <f aca="false">IFERROR(SUMIF('📊 Predictions'!B:B,B36,'📊 Predictions'!H:H),0)</f>
        <v>192</v>
      </c>
      <c r="E36" s="4" t="n">
        <f aca="false">IFERROR(SUMIF('📊 Predictions'!B:B,B36,'📊 Predictions'!I:I),0)</f>
        <v>15</v>
      </c>
      <c r="F36" s="4" t="n">
        <f aca="false">IFERROR(SUMIF('📊 Predictions'!B:B,B36,'📊 Predictions'!J:J),0)</f>
        <v>15</v>
      </c>
      <c r="G36" s="4" t="n">
        <f aca="false">IFERROR(SUMIF('📊 Predictions'!B:B,B36,'📊 Predictions'!K:K),0)</f>
        <v>12</v>
      </c>
      <c r="H36" s="48" t="n">
        <f aca="false">IFERROR(COUNTIF('📊 Predictions'!B:B,B36),0)</f>
        <v>24</v>
      </c>
    </row>
    <row r="37" customFormat="false" ht="21.75" hidden="false" customHeight="true" outlineLevel="0" collapsed="false">
      <c r="A37" s="8" t="n">
        <v>36</v>
      </c>
      <c r="B37" s="45" t="s">
        <v>184</v>
      </c>
      <c r="C37" s="35" t="n">
        <f aca="false">IFERROR(SUMIF('📊 Predictions'!B:B,B37,'📊 Predictions'!L:L),0)</f>
        <v>333</v>
      </c>
      <c r="D37" s="10" t="n">
        <f aca="false">IFERROR(SUMIF('📊 Predictions'!B:B,B37,'📊 Predictions'!H:H),0)</f>
        <v>192</v>
      </c>
      <c r="E37" s="10" t="n">
        <f aca="false">IFERROR(SUMIF('📊 Predictions'!B:B,B37,'📊 Predictions'!I:I),0)</f>
        <v>45</v>
      </c>
      <c r="F37" s="10" t="n">
        <f aca="false">IFERROR(SUMIF('📊 Predictions'!B:B,B37,'📊 Predictions'!J:J),0)</f>
        <v>60</v>
      </c>
      <c r="G37" s="10" t="n">
        <f aca="false">IFERROR(SUMIF('📊 Predictions'!B:B,B37,'📊 Predictions'!K:K),0)</f>
        <v>36</v>
      </c>
      <c r="H37" s="46" t="n">
        <f aca="false">IFERROR(COUNTIF('📊 Predictions'!B:B,B37),0)</f>
        <v>24</v>
      </c>
    </row>
    <row r="38" customFormat="false" ht="21.75" hidden="false" customHeight="true" outlineLevel="0" collapsed="false">
      <c r="A38" s="2" t="n">
        <v>37</v>
      </c>
      <c r="B38" s="49" t="s">
        <v>185</v>
      </c>
      <c r="C38" s="35" t="n">
        <f aca="false">IFERROR(SUMIF('📊 Predictions'!B:B,B38,'📊 Predictions'!L:L),0)</f>
        <v>165</v>
      </c>
      <c r="D38" s="4" t="n">
        <f aca="false">IFERROR(SUMIF('📊 Predictions'!B:B,B38,'📊 Predictions'!H:H),0)</f>
        <v>96</v>
      </c>
      <c r="E38" s="4" t="n">
        <f aca="false">IFERROR(SUMIF('📊 Predictions'!B:B,B38,'📊 Predictions'!I:I),0)</f>
        <v>30</v>
      </c>
      <c r="F38" s="4" t="n">
        <f aca="false">IFERROR(SUMIF('📊 Predictions'!B:B,B38,'📊 Predictions'!J:J),0)</f>
        <v>15</v>
      </c>
      <c r="G38" s="4" t="n">
        <f aca="false">IFERROR(SUMIF('📊 Predictions'!B:B,B38,'📊 Predictions'!K:K),0)</f>
        <v>24</v>
      </c>
      <c r="H38" s="48" t="n">
        <f aca="false">IFERROR(COUNTIF('📊 Predictions'!B:B,B38),0)</f>
        <v>24</v>
      </c>
    </row>
    <row r="39" customFormat="false" ht="21.75" hidden="false" customHeight="true" outlineLevel="0" collapsed="false">
      <c r="A39" s="8" t="n">
        <v>38</v>
      </c>
      <c r="B39" s="50" t="s">
        <v>186</v>
      </c>
      <c r="C39" s="35" t="n">
        <f aca="false">IFERROR(SUMIF('📊 Predictions'!B:B,B39,'📊 Predictions'!L:L),0)</f>
        <v>93</v>
      </c>
      <c r="D39" s="10" t="n">
        <f aca="false">IFERROR(SUMIF('📊 Predictions'!B:B,B39,'📊 Predictions'!H:H),0)</f>
        <v>48</v>
      </c>
      <c r="E39" s="10" t="n">
        <f aca="false">IFERROR(SUMIF('📊 Predictions'!B:B,B39,'📊 Predictions'!I:I),0)</f>
        <v>15</v>
      </c>
      <c r="F39" s="10" t="n">
        <f aca="false">IFERROR(SUMIF('📊 Predictions'!B:B,B39,'📊 Predictions'!J:J),0)</f>
        <v>30</v>
      </c>
      <c r="G39" s="10" t="n">
        <f aca="false">IFERROR(SUMIF('📊 Predictions'!B:B,B39,'📊 Predictions'!K:K),0)</f>
        <v>0</v>
      </c>
      <c r="H39" s="46" t="n">
        <f aca="false">IFERROR(COUNTIF('📊 Predictions'!B:B,B39),0)</f>
        <v>24</v>
      </c>
    </row>
    <row r="40" customFormat="false" ht="21.75" hidden="false" customHeight="true" outlineLevel="0" collapsed="false">
      <c r="A40" s="2" t="n">
        <v>39</v>
      </c>
      <c r="B40" s="47" t="s">
        <v>187</v>
      </c>
      <c r="C40" s="35" t="n">
        <f aca="false">IFERROR(SUMIF('📊 Predictions'!B:B,B40,'📊 Predictions'!L:L),0)</f>
        <v>126</v>
      </c>
      <c r="D40" s="4" t="n">
        <f aca="false">IFERROR(SUMIF('📊 Predictions'!B:B,B40,'📊 Predictions'!H:H),0)</f>
        <v>96</v>
      </c>
      <c r="E40" s="4" t="n">
        <f aca="false">IFERROR(SUMIF('📊 Predictions'!B:B,B40,'📊 Predictions'!I:I),0)</f>
        <v>15</v>
      </c>
      <c r="F40" s="4" t="n">
        <f aca="false">IFERROR(SUMIF('📊 Predictions'!B:B,B40,'📊 Predictions'!J:J),0)</f>
        <v>15</v>
      </c>
      <c r="G40" s="4" t="n">
        <f aca="false">IFERROR(SUMIF('📊 Predictions'!B:B,B40,'📊 Predictions'!K:K),0)</f>
        <v>0</v>
      </c>
      <c r="H40" s="48" t="n">
        <f aca="false">IFERROR(COUNTIF('📊 Predictions'!B:B,B40),0)</f>
        <v>24</v>
      </c>
    </row>
    <row r="41" customFormat="false" ht="21.75" hidden="false" customHeight="true" outlineLevel="0" collapsed="false">
      <c r="A41" s="8" t="n">
        <v>40</v>
      </c>
      <c r="B41" s="50" t="s">
        <v>188</v>
      </c>
      <c r="C41" s="35" t="n">
        <f aca="false">IFERROR(SUMIF('📊 Predictions'!B:B,B41,'📊 Predictions'!L:L),0)</f>
        <v>132</v>
      </c>
      <c r="D41" s="10" t="n">
        <f aca="false">IFERROR(SUMIF('📊 Predictions'!B:B,B41,'📊 Predictions'!H:H),0)</f>
        <v>48</v>
      </c>
      <c r="E41" s="10" t="n">
        <f aca="false">IFERROR(SUMIF('📊 Predictions'!B:B,B41,'📊 Predictions'!I:I),0)</f>
        <v>15</v>
      </c>
      <c r="F41" s="10" t="n">
        <f aca="false">IFERROR(SUMIF('📊 Predictions'!B:B,B41,'📊 Predictions'!J:J),0)</f>
        <v>45</v>
      </c>
      <c r="G41" s="10" t="n">
        <f aca="false">IFERROR(SUMIF('📊 Predictions'!B:B,B41,'📊 Predictions'!K:K),0)</f>
        <v>24</v>
      </c>
      <c r="H41" s="46" t="n">
        <f aca="false">IFERROR(COUNTIF('📊 Predictions'!B:B,B41),0)</f>
        <v>24</v>
      </c>
    </row>
    <row r="42" customFormat="false" ht="21.75" hidden="false" customHeight="true" outlineLevel="0" collapsed="false">
      <c r="A42" s="2" t="n">
        <v>41</v>
      </c>
      <c r="B42" s="49" t="s">
        <v>189</v>
      </c>
      <c r="C42" s="35" t="n">
        <f aca="false">IFERROR(SUMIF('📊 Predictions'!B:B,B42,'📊 Predictions'!L:L),0)</f>
        <v>213</v>
      </c>
      <c r="D42" s="4" t="n">
        <f aca="false">IFERROR(SUMIF('📊 Predictions'!B:B,B42,'📊 Predictions'!H:H),0)</f>
        <v>144</v>
      </c>
      <c r="E42" s="4" t="n">
        <f aca="false">IFERROR(SUMIF('📊 Predictions'!B:B,B42,'📊 Predictions'!I:I),0)</f>
        <v>30</v>
      </c>
      <c r="F42" s="4" t="n">
        <f aca="false">IFERROR(SUMIF('📊 Predictions'!B:B,B42,'📊 Predictions'!J:J),0)</f>
        <v>15</v>
      </c>
      <c r="G42" s="4" t="n">
        <f aca="false">IFERROR(SUMIF('📊 Predictions'!B:B,B42,'📊 Predictions'!K:K),0)</f>
        <v>24</v>
      </c>
      <c r="H42" s="48" t="n">
        <f aca="false">IFERROR(COUNTIF('📊 Predictions'!B:B,B42),0)</f>
        <v>24</v>
      </c>
    </row>
    <row r="43" customFormat="false" ht="21.75" hidden="false" customHeight="true" outlineLevel="0" collapsed="false">
      <c r="A43" s="8" t="n">
        <v>42</v>
      </c>
      <c r="B43" s="45" t="s">
        <v>190</v>
      </c>
      <c r="C43" s="35" t="n">
        <f aca="false">IFERROR(SUMIF('📊 Predictions'!B:B,B43,'📊 Predictions'!L:L),0)</f>
        <v>180</v>
      </c>
      <c r="D43" s="10" t="n">
        <f aca="false">IFERROR(SUMIF('📊 Predictions'!B:B,B43,'📊 Predictions'!H:H),0)</f>
        <v>96</v>
      </c>
      <c r="E43" s="10" t="n">
        <f aca="false">IFERROR(SUMIF('📊 Predictions'!B:B,B43,'📊 Predictions'!I:I),0)</f>
        <v>45</v>
      </c>
      <c r="F43" s="10" t="n">
        <f aca="false">IFERROR(SUMIF('📊 Predictions'!B:B,B43,'📊 Predictions'!J:J),0)</f>
        <v>15</v>
      </c>
      <c r="G43" s="10" t="n">
        <f aca="false">IFERROR(SUMIF('📊 Predictions'!B:B,B43,'📊 Predictions'!K:K),0)</f>
        <v>24</v>
      </c>
      <c r="H43" s="46" t="n">
        <f aca="false">IFERROR(COUNTIF('📊 Predictions'!B:B,B43),0)</f>
        <v>24</v>
      </c>
    </row>
    <row r="44" customFormat="false" ht="21.75" hidden="false" customHeight="true" outlineLevel="0" collapsed="false">
      <c r="A44" s="2" t="n">
        <v>43</v>
      </c>
      <c r="B44" s="49" t="s">
        <v>191</v>
      </c>
      <c r="C44" s="35" t="n">
        <f aca="false">IFERROR(SUMIF('📊 Predictions'!B:B,B44,'📊 Predictions'!L:L),0)</f>
        <v>291</v>
      </c>
      <c r="D44" s="4" t="n">
        <f aca="false">IFERROR(SUMIF('📊 Predictions'!B:B,B44,'📊 Predictions'!H:H),0)</f>
        <v>192</v>
      </c>
      <c r="E44" s="4" t="n">
        <f aca="false">IFERROR(SUMIF('📊 Predictions'!B:B,B44,'📊 Predictions'!I:I),0)</f>
        <v>30</v>
      </c>
      <c r="F44" s="4" t="n">
        <f aca="false">IFERROR(SUMIF('📊 Predictions'!B:B,B44,'📊 Predictions'!J:J),0)</f>
        <v>45</v>
      </c>
      <c r="G44" s="4" t="n">
        <f aca="false">IFERROR(SUMIF('📊 Predictions'!B:B,B44,'📊 Predictions'!K:K),0)</f>
        <v>24</v>
      </c>
      <c r="H44" s="48" t="n">
        <f aca="false">IFERROR(COUNTIF('📊 Predictions'!B:B,B44),0)</f>
        <v>24</v>
      </c>
    </row>
    <row r="45" customFormat="false" ht="21.75" hidden="false" customHeight="true" outlineLevel="0" collapsed="false">
      <c r="A45" s="8" t="n">
        <v>44</v>
      </c>
      <c r="B45" s="45" t="s">
        <v>192</v>
      </c>
      <c r="C45" s="35" t="n">
        <f aca="false">IFERROR(SUMIF('📊 Predictions'!B:B,B45,'📊 Predictions'!L:L),0)</f>
        <v>78</v>
      </c>
      <c r="D45" s="10" t="n">
        <f aca="false">IFERROR(SUMIF('📊 Predictions'!B:B,B45,'📊 Predictions'!H:H),0)</f>
        <v>48</v>
      </c>
      <c r="E45" s="10" t="n">
        <f aca="false">IFERROR(SUMIF('📊 Predictions'!B:B,B45,'📊 Predictions'!I:I),0)</f>
        <v>15</v>
      </c>
      <c r="F45" s="10" t="n">
        <f aca="false">IFERROR(SUMIF('📊 Predictions'!B:B,B45,'📊 Predictions'!J:J),0)</f>
        <v>15</v>
      </c>
      <c r="G45" s="10" t="n">
        <f aca="false">IFERROR(SUMIF('📊 Predictions'!B:B,B45,'📊 Predictions'!K:K),0)</f>
        <v>0</v>
      </c>
      <c r="H45" s="46" t="n">
        <f aca="false">IFERROR(COUNTIF('📊 Predictions'!B:B,B45),0)</f>
        <v>24</v>
      </c>
    </row>
    <row r="46" customFormat="false" ht="21.75" hidden="false" customHeight="true" outlineLevel="0" collapsed="false">
      <c r="A46" s="2" t="n">
        <v>45</v>
      </c>
      <c r="B46" s="49" t="s">
        <v>193</v>
      </c>
      <c r="C46" s="35" t="n">
        <f aca="false">IFERROR(SUMIF('📊 Predictions'!B:B,B46,'📊 Predictions'!L:L),0)</f>
        <v>189</v>
      </c>
      <c r="D46" s="4" t="n">
        <f aca="false">IFERROR(SUMIF('📊 Predictions'!B:B,B46,'📊 Predictions'!H:H),0)</f>
        <v>144</v>
      </c>
      <c r="E46" s="4" t="n">
        <f aca="false">IFERROR(SUMIF('📊 Predictions'!B:B,B46,'📊 Predictions'!I:I),0)</f>
        <v>15</v>
      </c>
      <c r="F46" s="4" t="n">
        <f aca="false">IFERROR(SUMIF('📊 Predictions'!B:B,B46,'📊 Predictions'!J:J),0)</f>
        <v>30</v>
      </c>
      <c r="G46" s="4" t="n">
        <f aca="false">IFERROR(SUMIF('📊 Predictions'!B:B,B46,'📊 Predictions'!K:K),0)</f>
        <v>0</v>
      </c>
      <c r="H46" s="48" t="n">
        <f aca="false">IFERROR(COUNTIF('📊 Predictions'!B:B,B46),0)</f>
        <v>24</v>
      </c>
    </row>
    <row r="47" customFormat="false" ht="21.75" hidden="false" customHeight="true" outlineLevel="0" collapsed="false">
      <c r="A47" s="8" t="n">
        <v>46</v>
      </c>
      <c r="B47" s="45" t="s">
        <v>194</v>
      </c>
      <c r="C47" s="35" t="n">
        <f aca="false">IFERROR(SUMIF('📊 Predictions'!B:B,B47,'📊 Predictions'!L:L),0)</f>
        <v>168</v>
      </c>
      <c r="D47" s="10" t="n">
        <f aca="false">IFERROR(SUMIF('📊 Predictions'!B:B,B47,'📊 Predictions'!H:H),0)</f>
        <v>96</v>
      </c>
      <c r="E47" s="10" t="n">
        <f aca="false">IFERROR(SUMIF('📊 Predictions'!B:B,B47,'📊 Predictions'!I:I),0)</f>
        <v>15</v>
      </c>
      <c r="F47" s="10" t="n">
        <f aca="false">IFERROR(SUMIF('📊 Predictions'!B:B,B47,'📊 Predictions'!J:J),0)</f>
        <v>45</v>
      </c>
      <c r="G47" s="10" t="n">
        <f aca="false">IFERROR(SUMIF('📊 Predictions'!B:B,B47,'📊 Predictions'!K:K),0)</f>
        <v>12</v>
      </c>
      <c r="H47" s="46" t="n">
        <f aca="false">IFERROR(COUNTIF('📊 Predictions'!B:B,B47),0)</f>
        <v>24</v>
      </c>
    </row>
    <row r="48" customFormat="false" ht="21.75" hidden="false" customHeight="true" outlineLevel="0" collapsed="false">
      <c r="A48" s="2" t="n">
        <v>47</v>
      </c>
      <c r="B48" s="47" t="s">
        <v>195</v>
      </c>
      <c r="C48" s="35" t="n">
        <f aca="false">IFERROR(SUMIF('📊 Predictions'!B:B,B48,'📊 Predictions'!L:L),0)</f>
        <v>189</v>
      </c>
      <c r="D48" s="4" t="n">
        <f aca="false">IFERROR(SUMIF('📊 Predictions'!B:B,B48,'📊 Predictions'!H:H),0)</f>
        <v>144</v>
      </c>
      <c r="E48" s="4" t="n">
        <f aca="false">IFERROR(SUMIF('📊 Predictions'!B:B,B48,'📊 Predictions'!I:I),0)</f>
        <v>15</v>
      </c>
      <c r="F48" s="4" t="n">
        <f aca="false">IFERROR(SUMIF('📊 Predictions'!B:B,B48,'📊 Predictions'!J:J),0)</f>
        <v>30</v>
      </c>
      <c r="G48" s="4" t="n">
        <f aca="false">IFERROR(SUMIF('📊 Predictions'!B:B,B48,'📊 Predictions'!K:K),0)</f>
        <v>0</v>
      </c>
      <c r="H48" s="48" t="n">
        <f aca="false">IFERROR(COUNTIF('📊 Predictions'!B:B,B48),0)</f>
        <v>24</v>
      </c>
    </row>
    <row r="49" customFormat="false" ht="21.75" hidden="false" customHeight="true" outlineLevel="0" collapsed="false">
      <c r="A49" s="8" t="n">
        <v>48</v>
      </c>
      <c r="B49" s="50" t="s">
        <v>196</v>
      </c>
      <c r="C49" s="35" t="n">
        <f aca="false">IFERROR(SUMIF('📊 Predictions'!B:B,B49,'📊 Predictions'!L:L),0)</f>
        <v>135</v>
      </c>
      <c r="D49" s="10" t="n">
        <f aca="false">IFERROR(SUMIF('📊 Predictions'!B:B,B49,'📊 Predictions'!H:H),0)</f>
        <v>96</v>
      </c>
      <c r="E49" s="10" t="n">
        <f aca="false">IFERROR(SUMIF('📊 Predictions'!B:B,B49,'📊 Predictions'!I:I),0)</f>
        <v>15</v>
      </c>
      <c r="F49" s="10" t="n">
        <f aca="false">IFERROR(SUMIF('📊 Predictions'!B:B,B49,'📊 Predictions'!J:J),0)</f>
        <v>0</v>
      </c>
      <c r="G49" s="10" t="n">
        <f aca="false">IFERROR(SUMIF('📊 Predictions'!B:B,B49,'📊 Predictions'!K:K),0)</f>
        <v>24</v>
      </c>
      <c r="H49" s="46" t="n">
        <f aca="false">IFERROR(COUNTIF('📊 Predictions'!B:B,B49),0)</f>
        <v>24</v>
      </c>
    </row>
    <row r="50" customFormat="false" ht="21.75" hidden="false" customHeight="true" outlineLevel="0" collapsed="false">
      <c r="A50" s="2" t="n">
        <v>49</v>
      </c>
      <c r="B50" s="49" t="s">
        <v>197</v>
      </c>
      <c r="C50" s="35" t="n">
        <f aca="false">IFERROR(SUMIF('📊 Predictions'!B:B,B50,'📊 Predictions'!L:L),0)</f>
        <v>171</v>
      </c>
      <c r="D50" s="4" t="n">
        <f aca="false">IFERROR(SUMIF('📊 Predictions'!B:B,B50,'📊 Predictions'!H:H),0)</f>
        <v>144</v>
      </c>
      <c r="E50" s="4" t="n">
        <f aca="false">IFERROR(SUMIF('📊 Predictions'!B:B,B50,'📊 Predictions'!I:I),0)</f>
        <v>15</v>
      </c>
      <c r="F50" s="4" t="n">
        <f aca="false">IFERROR(SUMIF('📊 Predictions'!B:B,B50,'📊 Predictions'!J:J),0)</f>
        <v>0</v>
      </c>
      <c r="G50" s="4" t="n">
        <f aca="false">IFERROR(SUMIF('📊 Predictions'!B:B,B50,'📊 Predictions'!K:K),0)</f>
        <v>12</v>
      </c>
      <c r="H50" s="48" t="n">
        <f aca="false">IFERROR(COUNTIF('📊 Predictions'!B:B,B50),0)</f>
        <v>24</v>
      </c>
    </row>
    <row r="51" customFormat="false" ht="21.75" hidden="false" customHeight="true" outlineLevel="0" collapsed="false">
      <c r="A51" s="8" t="n">
        <v>50</v>
      </c>
      <c r="B51" s="50" t="s">
        <v>198</v>
      </c>
      <c r="C51" s="35" t="n">
        <f aca="false">IFERROR(SUMIF('📊 Predictions'!B:B,B51,'📊 Predictions'!L:L),0)</f>
        <v>126</v>
      </c>
      <c r="D51" s="10" t="n">
        <f aca="false">IFERROR(SUMIF('📊 Predictions'!B:B,B51,'📊 Predictions'!H:H),0)</f>
        <v>96</v>
      </c>
      <c r="E51" s="10" t="n">
        <f aca="false">IFERROR(SUMIF('📊 Predictions'!B:B,B51,'📊 Predictions'!I:I),0)</f>
        <v>15</v>
      </c>
      <c r="F51" s="10" t="n">
        <f aca="false">IFERROR(SUMIF('📊 Predictions'!B:B,B51,'📊 Predictions'!J:J),0)</f>
        <v>15</v>
      </c>
      <c r="G51" s="10" t="n">
        <f aca="false">IFERROR(SUMIF('📊 Predictions'!B:B,B51,'📊 Predictions'!K:K),0)</f>
        <v>0</v>
      </c>
      <c r="H51" s="46" t="n">
        <f aca="false">IFERROR(COUNTIF('📊 Predictions'!B:B,B51),0)</f>
        <v>24</v>
      </c>
    </row>
    <row r="52" customFormat="false" ht="21.75" hidden="false" customHeight="true" outlineLevel="0" collapsed="false">
      <c r="A52" s="2" t="n">
        <v>51</v>
      </c>
      <c r="B52" s="49" t="s">
        <v>199</v>
      </c>
      <c r="C52" s="35" t="n">
        <f aca="false">IFERROR(SUMIF('📊 Predictions'!B:B,B52,'📊 Predictions'!L:L),0)</f>
        <v>168</v>
      </c>
      <c r="D52" s="4" t="n">
        <f aca="false">IFERROR(SUMIF('📊 Predictions'!B:B,B52,'📊 Predictions'!H:H),0)</f>
        <v>96</v>
      </c>
      <c r="E52" s="4" t="n">
        <f aca="false">IFERROR(SUMIF('📊 Predictions'!B:B,B52,'📊 Predictions'!I:I),0)</f>
        <v>15</v>
      </c>
      <c r="F52" s="4" t="n">
        <f aca="false">IFERROR(SUMIF('📊 Predictions'!B:B,B52,'📊 Predictions'!J:J),0)</f>
        <v>45</v>
      </c>
      <c r="G52" s="4" t="n">
        <f aca="false">IFERROR(SUMIF('📊 Predictions'!B:B,B52,'📊 Predictions'!K:K),0)</f>
        <v>12</v>
      </c>
      <c r="H52" s="48" t="n">
        <f aca="false">IFERROR(COUNTIF('📊 Predictions'!B:B,B52),0)</f>
        <v>24</v>
      </c>
    </row>
    <row r="53" customFormat="false" ht="21.75" hidden="false" customHeight="true" outlineLevel="0" collapsed="false">
      <c r="A53" s="8" t="n">
        <v>52</v>
      </c>
      <c r="B53" s="45" t="s">
        <v>200</v>
      </c>
      <c r="C53" s="35" t="n">
        <f aca="false">IFERROR(SUMIF('📊 Predictions'!B:B,B53,'📊 Predictions'!L:L),0)</f>
        <v>279</v>
      </c>
      <c r="D53" s="10" t="n">
        <f aca="false">IFERROR(SUMIF('📊 Predictions'!B:B,B53,'📊 Predictions'!H:H),0)</f>
        <v>192</v>
      </c>
      <c r="E53" s="10" t="n">
        <f aca="false">IFERROR(SUMIF('📊 Predictions'!B:B,B53,'📊 Predictions'!I:I),0)</f>
        <v>45</v>
      </c>
      <c r="F53" s="10" t="n">
        <f aca="false">IFERROR(SUMIF('📊 Predictions'!B:B,B53,'📊 Predictions'!J:J),0)</f>
        <v>30</v>
      </c>
      <c r="G53" s="10" t="n">
        <f aca="false">IFERROR(SUMIF('📊 Predictions'!B:B,B53,'📊 Predictions'!K:K),0)</f>
        <v>12</v>
      </c>
      <c r="H53" s="46" t="n">
        <f aca="false">IFERROR(COUNTIF('📊 Predictions'!B:B,B53),0)</f>
        <v>24</v>
      </c>
    </row>
    <row r="54" customFormat="false" ht="21.75" hidden="false" customHeight="true" outlineLevel="0" collapsed="false">
      <c r="A54" s="2" t="n">
        <v>53</v>
      </c>
      <c r="B54" s="49" t="s">
        <v>201</v>
      </c>
      <c r="C54" s="35" t="n">
        <f aca="false">IFERROR(SUMIF('📊 Predictions'!B:B,B54,'📊 Predictions'!L:L),0)</f>
        <v>138</v>
      </c>
      <c r="D54" s="4" t="n">
        <f aca="false">IFERROR(SUMIF('📊 Predictions'!B:B,B54,'📊 Predictions'!H:H),0)</f>
        <v>96</v>
      </c>
      <c r="E54" s="4" t="n">
        <f aca="false">IFERROR(SUMIF('📊 Predictions'!B:B,B54,'📊 Predictions'!I:I),0)</f>
        <v>15</v>
      </c>
      <c r="F54" s="4" t="n">
        <f aca="false">IFERROR(SUMIF('📊 Predictions'!B:B,B54,'📊 Predictions'!J:J),0)</f>
        <v>15</v>
      </c>
      <c r="G54" s="4" t="n">
        <f aca="false">IFERROR(SUMIF('📊 Predictions'!B:B,B54,'📊 Predictions'!K:K),0)</f>
        <v>12</v>
      </c>
      <c r="H54" s="48" t="n">
        <f aca="false">IFERROR(COUNTIF('📊 Predictions'!B:B,B54),0)</f>
        <v>24</v>
      </c>
    </row>
    <row r="55" customFormat="false" ht="21.75" hidden="false" customHeight="true" outlineLevel="0" collapsed="false">
      <c r="A55" s="8" t="n">
        <v>54</v>
      </c>
      <c r="B55" s="45" t="s">
        <v>202</v>
      </c>
      <c r="C55" s="35" t="n">
        <f aca="false">IFERROR(SUMIF('📊 Predictions'!B:B,B55,'📊 Predictions'!L:L),0)</f>
        <v>87</v>
      </c>
      <c r="D55" s="10" t="n">
        <f aca="false">IFERROR(SUMIF('📊 Predictions'!B:B,B55,'📊 Predictions'!H:H),0)</f>
        <v>48</v>
      </c>
      <c r="E55" s="10" t="n">
        <f aca="false">IFERROR(SUMIF('📊 Predictions'!B:B,B55,'📊 Predictions'!I:I),0)</f>
        <v>15</v>
      </c>
      <c r="F55" s="10" t="n">
        <f aca="false">IFERROR(SUMIF('📊 Predictions'!B:B,B55,'📊 Predictions'!J:J),0)</f>
        <v>0</v>
      </c>
      <c r="G55" s="10" t="n">
        <f aca="false">IFERROR(SUMIF('📊 Predictions'!B:B,B55,'📊 Predictions'!K:K),0)</f>
        <v>24</v>
      </c>
      <c r="H55" s="46" t="n">
        <f aca="false">IFERROR(COUNTIF('📊 Predictions'!B:B,B55),0)</f>
        <v>24</v>
      </c>
    </row>
    <row r="56" customFormat="false" ht="21.75" hidden="false" customHeight="true" outlineLevel="0" collapsed="false">
      <c r="A56" s="2" t="n">
        <v>55</v>
      </c>
      <c r="B56" s="49" t="s">
        <v>203</v>
      </c>
      <c r="C56" s="35" t="n">
        <f aca="false">IFERROR(SUMIF('📊 Predictions'!B:B,B56,'📊 Predictions'!L:L),0)</f>
        <v>153</v>
      </c>
      <c r="D56" s="4" t="n">
        <f aca="false">IFERROR(SUMIF('📊 Predictions'!B:B,B56,'📊 Predictions'!H:H),0)</f>
        <v>96</v>
      </c>
      <c r="E56" s="4" t="n">
        <f aca="false">IFERROR(SUMIF('📊 Predictions'!B:B,B56,'📊 Predictions'!I:I),0)</f>
        <v>30</v>
      </c>
      <c r="F56" s="4" t="n">
        <f aca="false">IFERROR(SUMIF('📊 Predictions'!B:B,B56,'📊 Predictions'!J:J),0)</f>
        <v>15</v>
      </c>
      <c r="G56" s="4" t="n">
        <f aca="false">IFERROR(SUMIF('📊 Predictions'!B:B,B56,'📊 Predictions'!K:K),0)</f>
        <v>12</v>
      </c>
      <c r="H56" s="48" t="n">
        <f aca="false">IFERROR(COUNTIF('📊 Predictions'!B:B,B56),0)</f>
        <v>24</v>
      </c>
    </row>
    <row r="57" customFormat="false" ht="21.75" hidden="false" customHeight="true" outlineLevel="0" collapsed="false">
      <c r="A57" s="8" t="n">
        <v>56</v>
      </c>
      <c r="B57" s="50" t="s">
        <v>204</v>
      </c>
      <c r="C57" s="35" t="n">
        <f aca="false">IFERROR(SUMIF('📊 Predictions'!B:B,B57,'📊 Predictions'!L:L),0)</f>
        <v>216</v>
      </c>
      <c r="D57" s="10" t="n">
        <f aca="false">IFERROR(SUMIF('📊 Predictions'!B:B,B57,'📊 Predictions'!H:H),0)</f>
        <v>144</v>
      </c>
      <c r="E57" s="10" t="n">
        <f aca="false">IFERROR(SUMIF('📊 Predictions'!B:B,B57,'📊 Predictions'!I:I),0)</f>
        <v>15</v>
      </c>
      <c r="F57" s="10" t="n">
        <f aca="false">IFERROR(SUMIF('📊 Predictions'!B:B,B57,'📊 Predictions'!J:J),0)</f>
        <v>45</v>
      </c>
      <c r="G57" s="10" t="n">
        <f aca="false">IFERROR(SUMIF('📊 Predictions'!B:B,B57,'📊 Predictions'!K:K),0)</f>
        <v>12</v>
      </c>
      <c r="H57" s="46" t="n">
        <f aca="false">IFERROR(COUNTIF('📊 Predictions'!B:B,B57),0)</f>
        <v>24</v>
      </c>
    </row>
    <row r="58" customFormat="false" ht="21.75" hidden="false" customHeight="true" outlineLevel="0" collapsed="false">
      <c r="A58" s="2" t="n">
        <v>57</v>
      </c>
      <c r="B58" s="47" t="s">
        <v>205</v>
      </c>
      <c r="C58" s="35" t="n">
        <f aca="false">IFERROR(SUMIF('📊 Predictions'!B:B,B58,'📊 Predictions'!L:L),0)</f>
        <v>93</v>
      </c>
      <c r="D58" s="4" t="n">
        <f aca="false">IFERROR(SUMIF('📊 Predictions'!B:B,B58,'📊 Predictions'!H:H),0)</f>
        <v>48</v>
      </c>
      <c r="E58" s="4" t="n">
        <f aca="false">IFERROR(SUMIF('📊 Predictions'!B:B,B58,'📊 Predictions'!I:I),0)</f>
        <v>15</v>
      </c>
      <c r="F58" s="4" t="n">
        <f aca="false">IFERROR(SUMIF('📊 Predictions'!B:B,B58,'📊 Predictions'!J:J),0)</f>
        <v>30</v>
      </c>
      <c r="G58" s="4" t="n">
        <f aca="false">IFERROR(SUMIF('📊 Predictions'!B:B,B58,'📊 Predictions'!K:K),0)</f>
        <v>0</v>
      </c>
      <c r="H58" s="48" t="n">
        <f aca="false">IFERROR(COUNTIF('📊 Predictions'!B:B,B58),0)</f>
        <v>24</v>
      </c>
    </row>
    <row r="59" customFormat="false" ht="21.75" hidden="false" customHeight="true" outlineLevel="0" collapsed="false">
      <c r="A59" s="8" t="n">
        <v>58</v>
      </c>
      <c r="B59" s="45" t="s">
        <v>206</v>
      </c>
      <c r="C59" s="35" t="n">
        <f aca="false">IFERROR(SUMIF('📊 Predictions'!B:B,B59,'📊 Predictions'!L:L),0)</f>
        <v>93</v>
      </c>
      <c r="D59" s="10" t="n">
        <f aca="false">IFERROR(SUMIF('📊 Predictions'!B:B,B59,'📊 Predictions'!H:H),0)</f>
        <v>48</v>
      </c>
      <c r="E59" s="10" t="n">
        <f aca="false">IFERROR(SUMIF('📊 Predictions'!B:B,B59,'📊 Predictions'!I:I),0)</f>
        <v>45</v>
      </c>
      <c r="F59" s="10" t="n">
        <f aca="false">IFERROR(SUMIF('📊 Predictions'!B:B,B59,'📊 Predictions'!J:J),0)</f>
        <v>0</v>
      </c>
      <c r="G59" s="10" t="n">
        <f aca="false">IFERROR(SUMIF('📊 Predictions'!B:B,B59,'📊 Predictions'!K:K),0)</f>
        <v>0</v>
      </c>
      <c r="H59" s="46" t="n">
        <f aca="false">IFERROR(COUNTIF('📊 Predictions'!B:B,B59),0)</f>
        <v>24</v>
      </c>
    </row>
    <row r="60" customFormat="false" ht="21.75" hidden="false" customHeight="true" outlineLevel="0" collapsed="false">
      <c r="A60" s="2" t="n">
        <v>59</v>
      </c>
      <c r="B60" s="49" t="s">
        <v>207</v>
      </c>
      <c r="C60" s="35" t="n">
        <f aca="false">IFERROR(SUMIF('📊 Predictions'!B:B,B60,'📊 Predictions'!L:L),0)</f>
        <v>225</v>
      </c>
      <c r="D60" s="4" t="n">
        <f aca="false">IFERROR(SUMIF('📊 Predictions'!B:B,B60,'📊 Predictions'!H:H),0)</f>
        <v>144</v>
      </c>
      <c r="E60" s="4" t="n">
        <f aca="false">IFERROR(SUMIF('📊 Predictions'!B:B,B60,'📊 Predictions'!I:I),0)</f>
        <v>30</v>
      </c>
      <c r="F60" s="4" t="n">
        <f aca="false">IFERROR(SUMIF('📊 Predictions'!B:B,B60,'📊 Predictions'!J:J),0)</f>
        <v>15</v>
      </c>
      <c r="G60" s="4" t="n">
        <f aca="false">IFERROR(SUMIF('📊 Predictions'!B:B,B60,'📊 Predictions'!K:K),0)</f>
        <v>36</v>
      </c>
      <c r="H60" s="48" t="n">
        <f aca="false">IFERROR(COUNTIF('📊 Predictions'!B:B,B60),0)</f>
        <v>24</v>
      </c>
    </row>
    <row r="61" customFormat="false" ht="21.75" hidden="false" customHeight="true" outlineLevel="0" collapsed="false">
      <c r="A61" s="8" t="n">
        <v>60</v>
      </c>
      <c r="B61" s="45" t="s">
        <v>208</v>
      </c>
      <c r="C61" s="35" t="n">
        <f aca="false">IFERROR(SUMIF('📊 Predictions'!B:B,B61,'📊 Predictions'!L:L),0)</f>
        <v>63</v>
      </c>
      <c r="D61" s="10" t="n">
        <f aca="false">IFERROR(SUMIF('📊 Predictions'!B:B,B61,'📊 Predictions'!H:H),0)</f>
        <v>48</v>
      </c>
      <c r="E61" s="10" t="n">
        <f aca="false">IFERROR(SUMIF('📊 Predictions'!B:B,B61,'📊 Predictions'!I:I),0)</f>
        <v>15</v>
      </c>
      <c r="F61" s="10" t="n">
        <f aca="false">IFERROR(SUMIF('📊 Predictions'!B:B,B61,'📊 Predictions'!J:J),0)</f>
        <v>0</v>
      </c>
      <c r="G61" s="10" t="n">
        <f aca="false">IFERROR(SUMIF('📊 Predictions'!B:B,B61,'📊 Predictions'!K:K),0)</f>
        <v>0</v>
      </c>
      <c r="H61" s="46" t="n">
        <f aca="false">IFERROR(COUNTIF('📊 Predictions'!B:B,B61),0)</f>
        <v>72</v>
      </c>
    </row>
    <row r="62" customFormat="false" ht="21.75" hidden="false" customHeight="true" outlineLevel="0" collapsed="false">
      <c r="A62" s="2" t="n">
        <v>61</v>
      </c>
      <c r="B62" s="49" t="s">
        <v>209</v>
      </c>
      <c r="C62" s="35" t="n">
        <f aca="false">IFERROR(SUMIF('📊 Predictions'!B:B,B62,'📊 Predictions'!L:L),0)</f>
        <v>195</v>
      </c>
      <c r="D62" s="4" t="n">
        <f aca="false">IFERROR(SUMIF('📊 Predictions'!B:B,B62,'📊 Predictions'!H:H),0)</f>
        <v>96</v>
      </c>
      <c r="E62" s="4" t="n">
        <f aca="false">IFERROR(SUMIF('📊 Predictions'!B:B,B62,'📊 Predictions'!I:I),0)</f>
        <v>30</v>
      </c>
      <c r="F62" s="4" t="n">
        <f aca="false">IFERROR(SUMIF('📊 Predictions'!B:B,B62,'📊 Predictions'!J:J),0)</f>
        <v>45</v>
      </c>
      <c r="G62" s="4" t="n">
        <f aca="false">IFERROR(SUMIF('📊 Predictions'!B:B,B62,'📊 Predictions'!K:K),0)</f>
        <v>24</v>
      </c>
      <c r="H62" s="48" t="n">
        <f aca="false">IFERROR(COUNTIF('📊 Predictions'!B:B,B62),0)</f>
        <v>72</v>
      </c>
    </row>
    <row r="63" customFormat="false" ht="21.75" hidden="false" customHeight="true" outlineLevel="0" collapsed="false">
      <c r="A63" s="8" t="n">
        <v>62</v>
      </c>
      <c r="B63" s="50" t="s">
        <v>210</v>
      </c>
      <c r="C63" s="35" t="n">
        <f aca="false">IFERROR(SUMIF('📊 Predictions'!B:B,B63,'📊 Predictions'!L:L),0)</f>
        <v>135</v>
      </c>
      <c r="D63" s="10" t="n">
        <f aca="false">IFERROR(SUMIF('📊 Predictions'!B:B,B63,'📊 Predictions'!H:H),0)</f>
        <v>96</v>
      </c>
      <c r="E63" s="10" t="n">
        <f aca="false">IFERROR(SUMIF('📊 Predictions'!B:B,B63,'📊 Predictions'!I:I),0)</f>
        <v>0</v>
      </c>
      <c r="F63" s="10" t="n">
        <f aca="false">IFERROR(SUMIF('📊 Predictions'!B:B,B63,'📊 Predictions'!J:J),0)</f>
        <v>15</v>
      </c>
      <c r="G63" s="10" t="n">
        <f aca="false">IFERROR(SUMIF('📊 Predictions'!B:B,B63,'📊 Predictions'!K:K),0)</f>
        <v>24</v>
      </c>
      <c r="H63" s="46" t="n">
        <f aca="false">IFERROR(COUNTIF('📊 Predictions'!B:B,B63),0)</f>
        <v>72</v>
      </c>
    </row>
    <row r="65" customFormat="false" ht="15" hidden="false" customHeight="false" outlineLevel="0" collapsed="false">
      <c r="A65" s="51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2026-06-13T12:21:23Z</dcterms:created>
  <dc:creator>openpyxl</dc:creator>
  <dc:description/>
  <dc:language>en-US</dc:language>
  <cp:lastModifiedBy/>
  <dcterms:modified xsi:type="dcterms:W3CDTF">2026-06-13T12:21:33Z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